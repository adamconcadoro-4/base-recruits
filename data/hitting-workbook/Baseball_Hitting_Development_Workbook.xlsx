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7.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ntents" sheetId="2" state="visible" r:id="rId4"/>
    <sheet name="How To Use" sheetId="3" state="visible" r:id="rId5"/>
    <sheet name="Players" sheetId="4" state="visible" r:id="rId6"/>
    <sheet name="Drill Index" sheetId="5" state="visible" r:id="rId7"/>
    <sheet name="Hitting Drills" sheetId="6" state="visible" r:id="rId8"/>
    <sheet name="Med Ball Library" sheetId="7" state="visible" r:id="rId9"/>
    <sheet name="Med Ball Progression" sheetId="8" state="visible" r:id="rId10"/>
    <sheet name="Youth Games" sheetId="9" state="visible" r:id="rId11"/>
    <sheet name="Rehearsals" sheetId="10" state="visible" r:id="rId12"/>
    <sheet name="Warm-Up Routines" sheetId="11" state="visible" r:id="rId13"/>
    <sheet name="Warm-Up Library" sheetId="12" state="visible" r:id="rId14"/>
    <sheet name="Troubleshooting" sheetId="13" state="visible" r:id="rId15"/>
    <sheet name="Mental Approach" sheetId="14" state="visible" r:id="rId16"/>
    <sheet name="Session Builder" sheetId="15" state="visible" r:id="rId17"/>
    <sheet name="Parents Guide" sheetId="16" state="visible" r:id="rId18"/>
    <sheet name="Coach-Parent Plan" sheetId="17" state="visible" r:id="rId19"/>
    <sheet name="Practice Log" sheetId="18" state="visible" r:id="rId20"/>
    <sheet name="Power Log" sheetId="19" state="visible" r:id="rId21"/>
    <sheet name="Readiness Log" sheetId="20" state="visible" r:id="rId22"/>
    <sheet name="Video Log" sheetId="21" state="visible" r:id="rId23"/>
    <sheet name="Dashboard" sheetId="22" state="visible" r:id="rId24"/>
    <sheet name="Parent Report" sheetId="23" state="visible" r:id="rId25"/>
    <sheet name="Export Log" sheetId="24" state="visible" r:id="rId26"/>
    <sheet name="Export &amp; Macro Guide" sheetId="25" state="visible" r:id="rId27"/>
    <sheet name="Equipment &amp; Safety" sheetId="26" state="visible" r:id="rId28"/>
    <sheet name="Basis &amp; Limits" sheetId="27" state="visible" r:id="rId29"/>
  </sheets>
  <definedNames>
    <definedName function="false" hidden="false" localSheetId="22" name="_xlnm.Print_Area" vbProcedure="false">'Parent Report'!$B$2:$E$30</definedName>
    <definedName function="false" hidden="true" localSheetId="17" name="_xlnm._FilterDatabase" vbProcedure="false">'Practice Log'!$B$4:$U$1004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<sst xmlns="http://schemas.openxmlformats.org/spreadsheetml/2006/main" count="2730" uniqueCount="1895">
  <si>
    <t xml:space="preserve">Baseball Hitting Development Workbook</t>
  </si>
  <si>
    <t xml:space="preserve">40 hitting drills · medicine-ball support · warm-ups · troubleshooting · mental approach · parents' guide · progress dashboard · parent reports</t>
  </si>
  <si>
    <t xml:space="preserve">Integrated edition v1.0</t>
  </si>
  <si>
    <t xml:space="preserve">Workbook details</t>
  </si>
  <si>
    <t xml:space="preserve">Team / organization</t>
  </si>
  <si>
    <t xml:space="preserve">Coach</t>
  </si>
  <si>
    <t xml:space="preserve">Season</t>
  </si>
  <si>
    <t xml:space="preserve">Workbook owner</t>
  </si>
  <si>
    <t xml:space="preserve">Last updated</t>
  </si>
  <si>
    <t xml:space="preserve">Inside</t>
  </si>
  <si>
    <t xml:space="preserve">40</t>
  </si>
  <si>
    <t xml:space="preserve">hitting drills (H01–H40)</t>
  </si>
  <si>
    <t xml:space="preserve">14</t>
  </si>
  <si>
    <t xml:space="preserve">medicine-ball exercises</t>
  </si>
  <si>
    <t xml:space="preserve">18</t>
  </si>
  <si>
    <t xml:space="preserve">troubleshooting guides</t>
  </si>
  <si>
    <t xml:space="preserve">6</t>
  </si>
  <si>
    <t xml:space="preserve">warm-up routines</t>
  </si>
  <si>
    <t xml:space="preserve">8</t>
  </si>
  <si>
    <t xml:space="preserve">session templates</t>
  </si>
  <si>
    <t xml:space="preserve">1</t>
  </si>
  <si>
    <t xml:space="preserve">dashboard + parent report</t>
  </si>
  <si>
    <t xml:space="preserve">Start here → Contents</t>
  </si>
  <si>
    <t xml:space="preserve">Suggested sets, reps, and rounds are coaching starting points, not individualized prescriptions. Adjust to age, experience, health, and total baseball workload. Stop for pain.</t>
  </si>
  <si>
    <t xml:space="preserve">← Contents</t>
  </si>
  <si>
    <t xml:space="preserve">Table of Contents</t>
  </si>
  <si>
    <t xml:space="preserve">Click any sheet name to jump to it. Every sheet has a '← Contents' link in cell B1.</t>
  </si>
  <si>
    <t xml:space="preserve">#</t>
  </si>
  <si>
    <t xml:space="preserve">Section</t>
  </si>
  <si>
    <t xml:space="preserve">Sheet</t>
  </si>
  <si>
    <t xml:space="preserve">What it contains</t>
  </si>
  <si>
    <t xml:space="preserve">Start</t>
  </si>
  <si>
    <t xml:space="preserve">Cover</t>
  </si>
  <si>
    <t xml:space="preserve">Title page</t>
  </si>
  <si>
    <t xml:space="preserve">Contents</t>
  </si>
  <si>
    <t xml:space="preserve">Clickable table of contents</t>
  </si>
  <si>
    <t xml:space="preserve">How To Use</t>
  </si>
  <si>
    <t xml:space="preserve">Quick-start steps and conventions</t>
  </si>
  <si>
    <t xml:space="preserve">Players &amp; goals</t>
  </si>
  <si>
    <t xml:space="preserve">Players</t>
  </si>
  <si>
    <t xml:space="preserve">Roster: Player ID, readiness, current focus, cue, review date</t>
  </si>
  <si>
    <t xml:space="preserve">Hitting library</t>
  </si>
  <si>
    <t xml:space="preserve">Drill Index</t>
  </si>
  <si>
    <t xml:space="preserve">All 40 hitting drills with links</t>
  </si>
  <si>
    <t xml:space="preserve">Hitting Drills</t>
  </si>
  <si>
    <t xml:space="preserve">Full library H01–H40: setup, steps, cues, mistakes, progressions</t>
  </si>
  <si>
    <t xml:space="preserve">Supporting training</t>
  </si>
  <si>
    <t xml:space="preserve">Med Ball Library</t>
  </si>
  <si>
    <t xml:space="preserve">14 medicine-ball exercises (M01–M14) with hitting pairings</t>
  </si>
  <si>
    <t xml:space="preserve">Med Ball Progression</t>
  </si>
  <si>
    <t xml:space="preserve">5-stage progression, readiness, ball weight, doses, mistakes</t>
  </si>
  <si>
    <t xml:space="preserve">Youth Games</t>
  </si>
  <si>
    <t xml:space="preserve">5 youth games (G01–G05)</t>
  </si>
  <si>
    <t xml:space="preserve">Rehearsals</t>
  </si>
  <si>
    <t xml:space="preserve">Dry rehearsals and feedback tools (R01–R07)</t>
  </si>
  <si>
    <t xml:space="preserve">Preparation</t>
  </si>
  <si>
    <t xml:space="preserve">Warm-Up Routines</t>
  </si>
  <si>
    <t xml:space="preserve">6 warm-up routines (WR1–WR6)</t>
  </si>
  <si>
    <t xml:space="preserve">Warm-Up Library</t>
  </si>
  <si>
    <t xml:space="preserve">14 warm-up activities (WU01–WU14)</t>
  </si>
  <si>
    <t xml:space="preserve">Coaching</t>
  </si>
  <si>
    <t xml:space="preserve">Troubleshooting</t>
  </si>
  <si>
    <t xml:space="preserve">18 common swing flaws (T01–T18) with linked drills</t>
  </si>
  <si>
    <t xml:space="preserve">Mental Approach</t>
  </si>
  <si>
    <t xml:space="preserve">Principles, at-bat routine, count approach, youth language</t>
  </si>
  <si>
    <t xml:space="preserve">Practice planning</t>
  </si>
  <si>
    <t xml:space="preserve">Session Builder</t>
  </si>
  <si>
    <t xml:space="preserve">8 practice templates and a weekly plan</t>
  </si>
  <si>
    <t xml:space="preserve">Home practice</t>
  </si>
  <si>
    <t xml:space="preserve">Parents Guide</t>
  </si>
  <si>
    <t xml:space="preserve">Home-practice guide, safety checklist, menu, sessions, language</t>
  </si>
  <si>
    <t xml:space="preserve">Coach-Parent Plan</t>
  </si>
  <si>
    <t xml:space="preserve">Per-player home goals approved by the coach</t>
  </si>
  <si>
    <t xml:space="preserve">Data entry</t>
  </si>
  <si>
    <t xml:space="preserve">Practice Log</t>
  </si>
  <si>
    <t xml:space="preserve">Hitting data entry — one row per drill round (feeds Dashboard)</t>
  </si>
  <si>
    <t xml:space="preserve">Power Log</t>
  </si>
  <si>
    <t xml:space="preserve">Medicine-ball data entry with total-throw formulas</t>
  </si>
  <si>
    <t xml:space="preserve">Readiness Log</t>
  </si>
  <si>
    <t xml:space="preserve">Pre-session readiness checks</t>
  </si>
  <si>
    <t xml:space="preserve">Video Log</t>
  </si>
  <si>
    <t xml:space="preserve">Video checkpoint reviews and retests</t>
  </si>
  <si>
    <t xml:space="preserve">Analysis</t>
  </si>
  <si>
    <t xml:space="preserve">Dashboard</t>
  </si>
  <si>
    <t xml:space="preserve">Player + date selection, KPIs, baseline comparison, charts</t>
  </si>
  <si>
    <t xml:space="preserve">Parent communication</t>
  </si>
  <si>
    <t xml:space="preserve">Parent Report</t>
  </si>
  <si>
    <t xml:space="preserve">Printable one-page player summary (exported by macro)</t>
  </si>
  <si>
    <t xml:space="preserve">Export Log</t>
  </si>
  <si>
    <t xml:space="preserve">Record of exported reports (filled by macro)</t>
  </si>
  <si>
    <t xml:space="preserve">Export &amp; Macro Guide</t>
  </si>
  <si>
    <t xml:space="preserve">PDF export, privacy checklist, macro install, button setup, troubleshooting</t>
  </si>
  <si>
    <t xml:space="preserve">Reference</t>
  </si>
  <si>
    <t xml:space="preserve">Equipment &amp; Safety</t>
  </si>
  <si>
    <t xml:space="preserve">Equipment list and safety rules</t>
  </si>
  <si>
    <t xml:space="preserve">Basis &amp; Limits</t>
  </si>
  <si>
    <t xml:space="preserve">Basis and limitations</t>
  </si>
  <si>
    <t xml:space="preserve">How To Use This Workbook</t>
  </si>
  <si>
    <t xml:space="preserve">Step</t>
  </si>
  <si>
    <t xml:space="preserve">Task</t>
  </si>
  <si>
    <t xml:space="preserve">How</t>
  </si>
  <si>
    <t xml:space="preserve">Add players</t>
  </si>
  <si>
    <t xml:space="preserve">Enter each player once on Players with a unique Player ID (e.g., P001). All logs and the dashboard use the ID, not the name.</t>
  </si>
  <si>
    <t xml:space="preserve">2</t>
  </si>
  <si>
    <t xml:space="preserve">Set a goal</t>
  </si>
  <si>
    <t xml:space="preserve">For each player record one current focus, one cue, assigned drill IDs, and a review date on Players.</t>
  </si>
  <si>
    <t xml:space="preserve">3</t>
  </si>
  <si>
    <t xml:space="preserve">Plan practice</t>
  </si>
  <si>
    <t xml:space="preserve">Pick a template on Session Builder, or build your own from Drill Index, Troubleshooting, and Warm-Up Routines.</t>
  </si>
  <si>
    <t xml:space="preserve">4</t>
  </si>
  <si>
    <t xml:space="preserve">Log practice</t>
  </si>
  <si>
    <t xml:space="preserve">Enter one row per drill round on Practice Log. Choose Player ID, Context, and Drill ID from the dropdowns. Leave a measure blank if you did not assess it — blank is not zero.</t>
  </si>
  <si>
    <t xml:space="preserve">5</t>
  </si>
  <si>
    <t xml:space="preserve">Practice minutes</t>
  </si>
  <si>
    <t xml:space="preserve">Enter minutes on each round row for the time that round took (do not repeat the whole session's minutes on every row).</t>
  </si>
  <si>
    <t xml:space="preserve">Check entries</t>
  </si>
  <si>
    <t xml:space="preserve">The 'Entry check' column flags impossible counts (e.g., solid contacts &gt; swings). Fix flagged rows before reporting.</t>
  </si>
  <si>
    <t xml:space="preserve">7</t>
  </si>
  <si>
    <t xml:space="preserve">Review progress</t>
  </si>
  <si>
    <t xml:space="preserve">On Dashboard choose a Player ID, start/end dates, and context. Optionally enter a baseline period to compare.</t>
  </si>
  <si>
    <t xml:space="preserve">Write the parent report</t>
  </si>
  <si>
    <t xml:space="preserve">On Parent Report type the three comment boxes (what went well, next focus, optional home task).</t>
  </si>
  <si>
    <t xml:space="preserve">9</t>
  </si>
  <si>
    <t xml:space="preserve">Export</t>
  </si>
  <si>
    <t xml:space="preserve">Desktop Excel: run the ExportPlayerReport macro (see Export &amp; Macro Guide) or File → Save As → PDF with only the Parent Report sheet selected.</t>
  </si>
  <si>
    <t xml:space="preserve">10</t>
  </si>
  <si>
    <t xml:space="preserve">Back up</t>
  </si>
  <si>
    <t xml:space="preserve">Save a dated copy regularly. Do not send the whole workbook to parents — it contains every player's data.</t>
  </si>
  <si>
    <t xml:space="preserve">Conventions</t>
  </si>
  <si>
    <t xml:space="preserve">Item</t>
  </si>
  <si>
    <t xml:space="preserve">Meaning</t>
  </si>
  <si>
    <t xml:space="preserve">Yellow cells</t>
  </si>
  <si>
    <t xml:space="preserve">Inputs you type or choose</t>
  </si>
  <si>
    <t xml:space="preserve">Navy headers</t>
  </si>
  <si>
    <t xml:space="preserve">Table headers</t>
  </si>
  <si>
    <t xml:space="preserve">H01–H40</t>
  </si>
  <si>
    <t xml:space="preserve">Hitting drills (the 40-drill count)</t>
  </si>
  <si>
    <t xml:space="preserve">M01–M14</t>
  </si>
  <si>
    <t xml:space="preserve">Medicine-ball exercises (supporting, not counted as hitting drills)</t>
  </si>
  <si>
    <t xml:space="preserve">G01–G05</t>
  </si>
  <si>
    <t xml:space="preserve">Youth games</t>
  </si>
  <si>
    <t xml:space="preserve">R01–R07</t>
  </si>
  <si>
    <t xml:space="preserve">Rehearsal and feedback tools</t>
  </si>
  <si>
    <t xml:space="preserve">WR / WU</t>
  </si>
  <si>
    <t xml:space="preserve">Warm-up routines / warm-up activities</t>
  </si>
  <si>
    <t xml:space="preserve">T01–T18</t>
  </si>
  <si>
    <t xml:space="preserve">Troubleshooting guides</t>
  </si>
  <si>
    <t xml:space="preserve">S1–S8</t>
  </si>
  <si>
    <t xml:space="preserve">Session templates</t>
  </si>
  <si>
    <t xml:space="preserve">Players &amp; Goals</t>
  </si>
  <si>
    <t xml:space="preserve">One row per player. Player ID must be unique. Yellow = input.</t>
  </si>
  <si>
    <t xml:space="preserve">Player ID</t>
  </si>
  <si>
    <t xml:space="preserve">Player name</t>
  </si>
  <si>
    <t xml:space="preserve">Team / group</t>
  </si>
  <si>
    <t xml:space="preserve">Bats (R/L/S)</t>
  </si>
  <si>
    <t xml:space="preserve">Readiness level</t>
  </si>
  <si>
    <t xml:space="preserve">Current focus</t>
  </si>
  <si>
    <t xml:space="preserve">Coaching cue</t>
  </si>
  <si>
    <t xml:space="preserve">Assigned drill IDs</t>
  </si>
  <si>
    <t xml:space="preserve">Review date</t>
  </si>
  <si>
    <t xml:space="preserve">Notes</t>
  </si>
  <si>
    <t xml:space="preserve">Drill Index — 40 Hitting Drills</t>
  </si>
  <si>
    <t xml:space="preserve">Click a drill name to open its full entry.</t>
  </si>
  <si>
    <t xml:space="preserve">ID</t>
  </si>
  <si>
    <t xml:space="preserve">Drill (click to open)</t>
  </si>
  <si>
    <t xml:space="preserve">Level</t>
  </si>
  <si>
    <t xml:space="preserve">Primary cue</t>
  </si>
  <si>
    <t xml:space="preserve">Suggested round</t>
  </si>
  <si>
    <t xml:space="preserve">H01</t>
  </si>
  <si>
    <t xml:space="preserve">A – Tee Contact &amp; Barrel Control</t>
  </si>
  <si>
    <t xml:space="preserve">Middle Tee Contact Baseline</t>
  </si>
  <si>
    <t xml:space="preserve">All</t>
  </si>
  <si>
    <t xml:space="preserve">Square it up, then add speed.</t>
  </si>
  <si>
    <t xml:space="preserve">4–6 swings</t>
  </si>
  <si>
    <t xml:space="preserve">H02</t>
  </si>
  <si>
    <t xml:space="preserve">Inside Tee Contact Point</t>
  </si>
  <si>
    <t xml:space="preserve">Quick turn, clean contact.</t>
  </si>
  <si>
    <t xml:space="preserve">H03</t>
  </si>
  <si>
    <t xml:space="preserve">Outside Tee Opposite-Field Drive</t>
  </si>
  <si>
    <t xml:space="preserve">Let it travel; drive through it.</t>
  </si>
  <si>
    <t xml:space="preserve">H04</t>
  </si>
  <si>
    <t xml:space="preserve">Top-of-Zone Tee</t>
  </si>
  <si>
    <t xml:space="preserve">Match the high pitch.</t>
  </si>
  <si>
    <t xml:space="preserve">5 high + 5 middle</t>
  </si>
  <si>
    <t xml:space="preserve">H05</t>
  </si>
  <si>
    <t xml:space="preserve">Bottom-of-Zone Tee</t>
  </si>
  <si>
    <t xml:space="preserve">Get to the low pitch, then turn.</t>
  </si>
  <si>
    <t xml:space="preserve">H06</t>
  </si>
  <si>
    <t xml:space="preserve">Low-Middle-High Tee Sequence</t>
  </si>
  <si>
    <t xml:space="preserve">Developing+</t>
  </si>
  <si>
    <t xml:space="preserve">Match the height.</t>
  </si>
  <si>
    <t xml:space="preserve">2 ladders (6 swings)</t>
  </si>
  <si>
    <t xml:space="preserve">H07</t>
  </si>
  <si>
    <t xml:space="preserve">Full Strike-Zone Tee Map</t>
  </si>
  <si>
    <t xml:space="preserve">Each zone has its own contact point.</t>
  </si>
  <si>
    <t xml:space="preserve">9 + 2–4 repeat swings</t>
  </si>
  <si>
    <t xml:space="preserve">H08</t>
  </si>
  <si>
    <t xml:space="preserve">Inside-Outside Tee Switch</t>
  </si>
  <si>
    <t xml:space="preserve">Same landing, different contact point.</t>
  </si>
  <si>
    <t xml:space="preserve">6 swings (3 each)</t>
  </si>
  <si>
    <t xml:space="preserve">H09</t>
  </si>
  <si>
    <t xml:space="preserve">Coach-Called Location Tee</t>
  </si>
  <si>
    <t xml:space="preserve">Match the contact to the location.</t>
  </si>
  <si>
    <t xml:space="preserve">6 swings</t>
  </si>
  <si>
    <t xml:space="preserve">H10</t>
  </si>
  <si>
    <t xml:space="preserve">Reduced-Ball Tee Precision</t>
  </si>
  <si>
    <t xml:space="preserve">Find the center.</t>
  </si>
  <si>
    <t xml:space="preserve">H11</t>
  </si>
  <si>
    <t xml:space="preserve">B – Movement Into Contact</t>
  </si>
  <si>
    <t xml:space="preserve">Fixed-Base Tee Swings</t>
  </si>
  <si>
    <t xml:space="preserve">Stable base, free turn.</t>
  </si>
  <si>
    <t xml:space="preserve">4 + 2 comparison</t>
  </si>
  <si>
    <t xml:space="preserve">H12</t>
  </si>
  <si>
    <t xml:space="preserve">Loaded-Hands Start Tee</t>
  </si>
  <si>
    <t xml:space="preserve">Turn from here.</t>
  </si>
  <si>
    <t xml:space="preserve">H13</t>
  </si>
  <si>
    <t xml:space="preserve">Stride, Hold, Swing Tee</t>
  </si>
  <si>
    <t xml:space="preserve">Arrive ready, then turn.</t>
  </si>
  <si>
    <t xml:space="preserve">H14</t>
  </si>
  <si>
    <t xml:space="preserve">Hold vs. Flow Tee Pairs</t>
  </si>
  <si>
    <t xml:space="preserve">Same landing, same ready position.</t>
  </si>
  <si>
    <t xml:space="preserve">4–6 pairs</t>
  </si>
  <si>
    <t xml:space="preserve">H15</t>
  </si>
  <si>
    <t xml:space="preserve">Marked Landing Tee</t>
  </si>
  <si>
    <t xml:space="preserve">Land on your spot.</t>
  </si>
  <si>
    <t xml:space="preserve">3 dry + 5–8 swings</t>
  </si>
  <si>
    <t xml:space="preserve">H16</t>
  </si>
  <si>
    <t xml:space="preserve">Lift-and-Hold Stride Tee</t>
  </si>
  <si>
    <t xml:space="preserve">Load, move, arrive balanced.</t>
  </si>
  <si>
    <t xml:space="preserve">5 swings</t>
  </si>
  <si>
    <t xml:space="preserve">H17</t>
  </si>
  <si>
    <t xml:space="preserve">Short-Tap Stride Tee</t>
  </si>
  <si>
    <t xml:space="preserve">Small and on time.</t>
  </si>
  <si>
    <t xml:space="preserve">H18</t>
  </si>
  <si>
    <t xml:space="preserve">Step-In Momentum Tee</t>
  </si>
  <si>
    <t xml:space="preserve">Experienced</t>
  </si>
  <si>
    <t xml:space="preserve">Move, land, turn.</t>
  </si>
  <si>
    <t xml:space="preserve">4 + 2 normal</t>
  </si>
  <si>
    <t xml:space="preserve">H19</t>
  </si>
  <si>
    <t xml:space="preserve">Open-Stance Start Tee</t>
  </si>
  <si>
    <t xml:space="preserve">Stay balanced and square it up.</t>
  </si>
  <si>
    <t xml:space="preserve">H20</t>
  </si>
  <si>
    <t xml:space="preserve">Closed-Stance Start Tee</t>
  </si>
  <si>
    <t xml:space="preserve">Turn freely from here.</t>
  </si>
  <si>
    <t xml:space="preserve">H21</t>
  </si>
  <si>
    <t xml:space="preserve">C – Moving-Ball Contact &amp; Timing</t>
  </si>
  <si>
    <t xml:space="preserve">Side-Angle Toss Contact</t>
  </si>
  <si>
    <t xml:space="preserve">Track it, square it.</t>
  </si>
  <si>
    <t xml:space="preserve">4–6 tosses</t>
  </si>
  <si>
    <t xml:space="preserve">H22</t>
  </si>
  <si>
    <t xml:space="preserve">Steady Middle Front Toss</t>
  </si>
  <si>
    <t xml:space="preserve">See the release, then hit.</t>
  </si>
  <si>
    <t xml:space="preserve">H23</t>
  </si>
  <si>
    <t xml:space="preserve">Inside-Lane Front Toss</t>
  </si>
  <si>
    <t xml:space="preserve">H24</t>
  </si>
  <si>
    <t xml:space="preserve">Outside-Lane Front Toss</t>
  </si>
  <si>
    <t xml:space="preserve">H25</t>
  </si>
  <si>
    <t xml:space="preserve">Up-Down Height Toss</t>
  </si>
  <si>
    <t xml:space="preserve">6 tosses</t>
  </si>
  <si>
    <t xml:space="preserve">H26</t>
  </si>
  <si>
    <t xml:space="preserve">In-Out Location Toss</t>
  </si>
  <si>
    <t xml:space="preserve">Match the contact to the pitch.</t>
  </si>
  <si>
    <t xml:space="preserve">H27</t>
  </si>
  <si>
    <t xml:space="preserve">Mixed-Location Read Toss</t>
  </si>
  <si>
    <t xml:space="preserve">Read it, then deliver.</t>
  </si>
  <si>
    <t xml:space="preserve">6–8 tosses</t>
  </si>
  <si>
    <t xml:space="preserve">H28</t>
  </si>
  <si>
    <t xml:space="preserve">Change-of-Speed Toss</t>
  </si>
  <si>
    <t xml:space="preserve">Wait for the ball, not the pattern.</t>
  </si>
  <si>
    <t xml:space="preserve">H29</t>
  </si>
  <si>
    <t xml:space="preserve">Varied-Delivery Timing Toss</t>
  </si>
  <si>
    <t xml:space="preserve">Move with the delivery; see the release.</t>
  </si>
  <si>
    <t xml:space="preserve">H30</t>
  </si>
  <si>
    <t xml:space="preserve">Open-Stance Front Toss</t>
  </si>
  <si>
    <t xml:space="preserve">3–4 + 3–4</t>
  </si>
  <si>
    <t xml:space="preserve">H31</t>
  </si>
  <si>
    <t xml:space="preserve">D – Pitch Selection, Counts &amp; Situations</t>
  </si>
  <si>
    <t xml:space="preserve">Track Two, Attack the Third</t>
  </si>
  <si>
    <t xml:space="preserve">Track two; attack a good third.</t>
  </si>
  <si>
    <t xml:space="preserve">2 sequences</t>
  </si>
  <si>
    <t xml:space="preserve">H32</t>
  </si>
  <si>
    <t xml:space="preserve">Single-Zone Hunt</t>
  </si>
  <si>
    <t xml:space="preserve">Know what you want.</t>
  </si>
  <si>
    <t xml:space="preserve">6–8 pitches</t>
  </si>
  <si>
    <t xml:space="preserve">H33</t>
  </si>
  <si>
    <t xml:space="preserve">Swing-or-Take Decisions</t>
  </si>
  <si>
    <t xml:space="preserve">Good pitch? Go.</t>
  </si>
  <si>
    <t xml:space="preserve">H34</t>
  </si>
  <si>
    <t xml:space="preserve">Edge-of-Zone Reads</t>
  </si>
  <si>
    <t xml:space="preserve">See it all the way.</t>
  </si>
  <si>
    <t xml:space="preserve">6 pitches</t>
  </si>
  <si>
    <t xml:space="preserve">H35</t>
  </si>
  <si>
    <t xml:space="preserve">First-Pitch Ready Round</t>
  </si>
  <si>
    <t xml:space="preserve">Ready to attack — not required to swing.</t>
  </si>
  <si>
    <t xml:space="preserve">4 first pitches</t>
  </si>
  <si>
    <t xml:space="preserve">H36</t>
  </si>
  <si>
    <t xml:space="preserve">Hitter's-Count Hunt</t>
  </si>
  <si>
    <t xml:space="preserve">Get your pitch.</t>
  </si>
  <si>
    <t xml:space="preserve">3 short at-bats</t>
  </si>
  <si>
    <t xml:space="preserve">H37</t>
  </si>
  <si>
    <t xml:space="preserve">Two-Strike Compete Round</t>
  </si>
  <si>
    <t xml:space="preserve">Compete with the pitch.</t>
  </si>
  <si>
    <t xml:space="preserve">H38</t>
  </si>
  <si>
    <t xml:space="preserve">Move-the-Runner At-Bats</t>
  </si>
  <si>
    <t xml:space="preserve">Know the job; choose the pitch.</t>
  </si>
  <si>
    <t xml:space="preserve">3 situational at-bats</t>
  </si>
  <si>
    <t xml:space="preserve">H39</t>
  </si>
  <si>
    <t xml:space="preserve">Score-the-Runner At-Bats</t>
  </si>
  <si>
    <t xml:space="preserve">Find a pitch you can drive.</t>
  </si>
  <si>
    <t xml:space="preserve">H40</t>
  </si>
  <si>
    <t xml:space="preserve">Full-Count Live Battles</t>
  </si>
  <si>
    <t xml:space="preserve">Compete, then review.</t>
  </si>
  <si>
    <t xml:space="preserve">2–4 at-bats</t>
  </si>
  <si>
    <t xml:space="preserve">Total hitting drills</t>
  </si>
  <si>
    <t xml:space="preserve">Count by section</t>
  </si>
  <si>
    <t xml:space="preserve">Hitting Drill Library (H01–H40)</t>
  </si>
  <si>
    <t xml:space="preserve">40 bat-to-ball drills. Rounds are suggested starting points. Use a helmet for all hitting.</t>
  </si>
  <si>
    <t xml:space="preserve">Drill</t>
  </si>
  <si>
    <t xml:space="preserve">Purpose</t>
  </si>
  <si>
    <t xml:space="preserve">Equipment</t>
  </si>
  <si>
    <t xml:space="preserve">Setup</t>
  </si>
  <si>
    <t xml:space="preserve">Execution steps</t>
  </si>
  <si>
    <t xml:space="preserve">Common mistake</t>
  </si>
  <si>
    <t xml:space="preserve">Correction</t>
  </si>
  <si>
    <t xml:space="preserve">Easier version</t>
  </si>
  <si>
    <t xml:space="preserve">Progression</t>
  </si>
  <si>
    <t xml:space="preserve">Success criteria / scoring</t>
  </si>
  <si>
    <t xml:space="preserve">Safety</t>
  </si>
  <si>
    <t xml:space="preserve">Establish a contact baseline at a comfortable middle location.</t>
  </si>
  <si>
    <t xml:space="preserve">Bat, fitted batting helmet, adjustable tee, practice balls, hitting net or cage</t>
  </si>
  <si>
    <t xml:space="preserve">Tee at a comfortable middle-height, middle-of-plate location slightly in front of the plate. Broad center-field target on the net.</t>
  </si>
  <si>
    <t xml:space="preserve">1) Take two easy rehearsal swings. 2) Hit 4–6 balls at controlled effort toward the center target. 3) Reset fully between swings. 4) Build to normal game intent on the last 2.</t>
  </si>
  <si>
    <t xml:space="preserve">Chasing distance and losing balance on every swing.</t>
  </si>
  <si>
    <t xml:space="preserve">Score solid contact first; add intent only when contact stays solid.</t>
  </si>
  <si>
    <t xml:space="preserve">Larger target; lighter effort.</t>
  </si>
  <si>
    <t xml:space="preserve">Alternate with H04/H05 heights; move to H22.</t>
  </si>
  <si>
    <t xml:space="preserve">4 of 6 solid contacts toward the broad target.</t>
  </si>
  <si>
    <t xml:space="preserve">Clear swing radius; no one stands near the hitter or in front of the net; helmet on; check tee stability.</t>
  </si>
  <si>
    <t xml:space="preserve">Deliver the barrel to an inside pitch with contact farther out front.</t>
  </si>
  <si>
    <t xml:space="preserve">Tee on the inner half, set farther forward than the away setup. Pull-side gap target.</t>
  </si>
  <si>
    <t xml:space="preserve">1) Confirm the contact point is out front. 2) Take 4–6 swings toward the pull-side gap. 3) Check that contact is on the barrel, not the handle.</t>
  </si>
  <si>
    <t xml:space="preserve">Tee set too deep, so the hitter gets jammed and learns to push the hands away.</t>
  </si>
  <si>
    <t xml:space="preserve">Move the tee forward until barrel contact is comfortable.</t>
  </si>
  <si>
    <t xml:space="preserve">Slightly less inside; slower swings.</t>
  </si>
  <si>
    <t xml:space="preserve">H08 Inside-Outside Tee Switch; H23 Inside-Lane Front Toss.</t>
  </si>
  <si>
    <t xml:space="preserve">Barrel contact on most swings; ball travels toward the pull-side gap.</t>
  </si>
  <si>
    <t xml:space="preserve">Cover the outer half without reaching or diving.</t>
  </si>
  <si>
    <t xml:space="preserve">Tee on the outer half at a deeper contact point. Opposite-field gap target.</t>
  </si>
  <si>
    <t xml:space="preserve">1) Let the ball 'travel' deeper. 2) Take 4–6 swings toward the opposite-field gap. 3) Keep the landing controlled; no step across the plate.</t>
  </si>
  <si>
    <t xml:space="preserve">Stepping across the plate or reaching with the arms to get to the ball.</t>
  </si>
  <si>
    <t xml:space="preserve">Use a flat landing marker (H15) and move the tee slightly closer.</t>
  </si>
  <si>
    <t xml:space="preserve">Tee slightly less away.</t>
  </si>
  <si>
    <t xml:space="preserve">H08; H24 Outside-Lane Front Toss.</t>
  </si>
  <si>
    <t xml:space="preserve">Firm opposite-gap contact with a consistent landing.</t>
  </si>
  <si>
    <t xml:space="preserve">Adjust posture and bat path to a higher pitch; reduce an unnecessary dip-and-lift.</t>
  </si>
  <si>
    <t xml:space="preserve">Tee near the top of the hitter's strike zone (not above it), 4–8 inches in front of the plate.</t>
  </si>
  <si>
    <t xml:space="preserve">1) Three slow rehearsal swings. 2) Hit 5 balls at controlled effort aiming for line drives. 3) Hit 5 from a middle-height tee. 4) Alternate high and middle.</t>
  </si>
  <si>
    <t xml:space="preserve">Coaching it as 'swing down' or chopping at every pitch.</t>
  </si>
  <si>
    <t xml:space="preserve">Ask for firm line drives, not ground balls; keep the normal swing shape.</t>
  </si>
  <si>
    <t xml:space="preserve">Tee slightly lower; controlled effort.</t>
  </si>
  <si>
    <t xml:space="preserve">H06 ladder; H25 high-low toss.</t>
  </si>
  <si>
    <t xml:space="preserve">Line drives without a large dip-and-lift; contact holds when the tee returns to middle.</t>
  </si>
  <si>
    <t xml:space="preserve">Adjust to lower strikes without collapsing or reaching.</t>
  </si>
  <si>
    <t xml:space="preserve">Tee near the bottom of the hitter's strike zone, slightly in front of the plate.</t>
  </si>
  <si>
    <t xml:space="preserve">1) Rehearse matching the low height with the legs and posture. 2) Hit 4–6 balls toward a broad line-drive target. 3) Reset between swings.</t>
  </si>
  <si>
    <t xml:space="preserve">Dropping the back shoulder to scoop, or bending only at the waist.</t>
  </si>
  <si>
    <t xml:space="preserve">Lower the target height expectation; use H06 to contrast heights.</t>
  </si>
  <si>
    <t xml:space="preserve">Tee slightly higher.</t>
  </si>
  <si>
    <t xml:space="preserve">H06; H25.</t>
  </si>
  <si>
    <t xml:space="preserve">Firm contact without falling off balance.</t>
  </si>
  <si>
    <t xml:space="preserve">Adjust barrel delivery to pitch height at a consistent plate location.</t>
  </si>
  <si>
    <t xml:space="preserve">One tee moved through low, middle, and high heights at the same plate location.</t>
  </si>
  <si>
    <t xml:space="preserve">1) Low → middle → high, one swing each. 2) Repeat. 3) Then use a changing order the hitter doesn't choose.</t>
  </si>
  <si>
    <t xml:space="preserve">Using the identical swing for every height.</t>
  </si>
  <si>
    <t xml:space="preserve">Pause between heights and name the height before each swing.</t>
  </si>
  <si>
    <t xml:space="preserve">Two heights only.</t>
  </si>
  <si>
    <t xml:space="preserve">H07; H25.</t>
  </si>
  <si>
    <t xml:space="preserve">Solid contact at all three heights in at least one ladder.</t>
  </si>
  <si>
    <t xml:space="preserve">Explore contact across three heights and three plate locations.</t>
  </si>
  <si>
    <t xml:space="preserve">Tape a 3×3 grid on the plate area or use markers; move the tee through the nine zones.</t>
  </si>
  <si>
    <t xml:space="preserve">1) One swing per zone in a set order. 2) Note zones with weak contact. 3) Repeat the two weakest zones.</t>
  </si>
  <si>
    <t xml:space="preserve">Leaving the tee at the same depth for inside and outside.</t>
  </si>
  <si>
    <t xml:space="preserve">Inside farther forward; outside deeper.</t>
  </si>
  <si>
    <t xml:space="preserve">Use only middle row (3 zones).</t>
  </si>
  <si>
    <t xml:space="preserve">H27 Mixed-Location Read Toss.</t>
  </si>
  <si>
    <t xml:space="preserve">Identifies weak zones; solid contact improves on the repeat swings.</t>
  </si>
  <si>
    <t xml:space="preserve">Change contact depth while keeping the landing consistent.</t>
  </si>
  <si>
    <t xml:space="preserve">Bat, fitted batting helmet, adjustable tee, practice balls, hitting net or cage; flat landing marker</t>
  </si>
  <si>
    <t xml:space="preserve">Two tees (or one moved) set inside/forward and away/deeper. Landing marker on the ground.</t>
  </si>
  <si>
    <t xml:space="preserve">1) Alternate inside and away. 2) Keep the same landing spot. 3) Seek pull-gap contact inside and opposite-gap contact away.</t>
  </si>
  <si>
    <t xml:space="preserve">Changing the stride direction to reach each location.</t>
  </si>
  <si>
    <t xml:space="preserve">Return to H15 landing-spot work, then retry.</t>
  </si>
  <si>
    <t xml:space="preserve">Two consecutive swings per location.</t>
  </si>
  <si>
    <t xml:space="preserve">H26 In-Out Location Toss.</t>
  </si>
  <si>
    <t xml:space="preserve">Consistent landing on at least 5 of 6 swings.</t>
  </si>
  <si>
    <t xml:space="preserve">Connect pitch location with an appropriate contact plan.</t>
  </si>
  <si>
    <t xml:space="preserve">Coach repositions the tee before the hitter sets up. Broad pull, middle, and opposite targets.</t>
  </si>
  <si>
    <t xml:space="preserve">1) Coach sets inside, middle, or away. 2) Hitter names the intended broad target. 3) One swing, then change location.</t>
  </si>
  <si>
    <t xml:space="preserve">Forcing every pitch opposite field, or slicing weakly and calling it success.</t>
  </si>
  <si>
    <t xml:space="preserve">Score solid contact and direction separately.</t>
  </si>
  <si>
    <t xml:space="preserve">Two locations only.</t>
  </si>
  <si>
    <t xml:space="preserve">H27; H32.</t>
  </si>
  <si>
    <t xml:space="preserve">Solid contact + intended direction on 4 of 6.</t>
  </si>
  <si>
    <t xml:space="preserve">Make centered contact the task.</t>
  </si>
  <si>
    <t xml:space="preserve">Bat, helmet, compatible tee, suitable smaller practice balls, net</t>
  </si>
  <si>
    <t xml:space="preserve">Tee sized for the smaller ball at a comfortable middle location.</t>
  </si>
  <si>
    <t xml:space="preserve">1) Normal two-handed swings. 2) Score clean, centered contact. 3) Finish with 2 normal-ball swings.</t>
  </si>
  <si>
    <t xml:space="preserve">Slowing the swing to guide the bat.</t>
  </si>
  <si>
    <t xml:space="preserve">Keep normal intent; accept misses as information.</t>
  </si>
  <si>
    <t xml:space="preserve">Normal ball on a tee.</t>
  </si>
  <si>
    <t xml:space="preserve">H22 with normal balls.</t>
  </si>
  <si>
    <t xml:space="preserve">Centered contact on at least half the swings without slowing down.</t>
  </si>
  <si>
    <t xml:space="preserve">Simplify the swing and isolate rotation and contact.</t>
  </si>
  <si>
    <t xml:space="preserve">Feet start near the hitter's normal landing width. Middle tee.</t>
  </si>
  <si>
    <t xml:space="preserve">1) Small gentle load. 2) Swing without stepping. 3) Let the hips and shoulders turn naturally. 4) Finish with 2 normal-stride swings for comparison.</t>
  </si>
  <si>
    <t xml:space="preserve">Holding the front shoulder or knee closed on purpose.</t>
  </si>
  <si>
    <t xml:space="preserve">Allow the back foot and hips to rotate; judge balance, not closedness.</t>
  </si>
  <si>
    <t xml:space="preserve">Slower effort.</t>
  </si>
  <si>
    <t xml:space="preserve">H12; H13.</t>
  </si>
  <si>
    <t xml:space="preserve">Balanced finish and solid contact; compare with normal swings.</t>
  </si>
  <si>
    <t xml:space="preserve">Examine barrel delivery after landing; separate stride problems from turn problems.</t>
  </si>
  <si>
    <t xml:space="preserve">Stride foot already down; hands comfortably loaded near the rear shoulder.</t>
  </si>
  <si>
    <t xml:space="preserve">1) Make a small gather. 2) Swing from there. 3) Compare with normal stride swings on video.</t>
  </si>
  <si>
    <t xml:space="preserve">Pushing both hands straight at the ball (casting) from the start.</t>
  </si>
  <si>
    <t xml:space="preserve">Feel the body turn deliver the barrel; reduce effort first.</t>
  </si>
  <si>
    <t xml:space="preserve">Fixed-Base Tee Swings (H11).</t>
  </si>
  <si>
    <t xml:space="preserve">H13; H04.</t>
  </si>
  <si>
    <t xml:space="preserve">If the dip or cast disappears here, the issue is in the load/stride; if not, it's in the first forward move.</t>
  </si>
  <si>
    <t xml:space="preserve">Organize the landing and launch position; address hands that sink during the stride.</t>
  </si>
  <si>
    <t xml:space="preserve">Middle tee. Video or mirror for feedback if available.</t>
  </si>
  <si>
    <t xml:space="preserve">1) Load and stride. 2) Pause 1–2 seconds at landing. 3) Check hands in a comfortable launch position (not collapsed to the waist). 4) Swing.</t>
  </si>
  <si>
    <t xml:space="preserve">Hiking the hands artificially high after landing.</t>
  </si>
  <si>
    <t xml:space="preserve">Look for a comfortable, repeatable launch, not a fixed hand height.</t>
  </si>
  <si>
    <t xml:space="preserve">Dry stride-pause without a ball.</t>
  </si>
  <si>
    <t xml:space="preserve">H14 contrast.</t>
  </si>
  <si>
    <t xml:space="preserve">Hands arrive in a usable launch position on most reps.</t>
  </si>
  <si>
    <t xml:space="preserve">Transfer a paused rehearsal back into a rhythmic swing.</t>
  </si>
  <si>
    <t xml:space="preserve">Middle tee.</t>
  </si>
  <si>
    <t xml:space="preserve">1) Paused swing (H13). 2) Continuous normal swing. 3) Alternate 4–6 pairs.</t>
  </si>
  <si>
    <t xml:space="preserve">Copying the pause into the game swing.</t>
  </si>
  <si>
    <t xml:space="preserve">Keep the continuous swing fully rhythmic.</t>
  </si>
  <si>
    <t xml:space="preserve">More paused reps first.</t>
  </si>
  <si>
    <t xml:space="preserve">H21/H22 moving ball.</t>
  </si>
  <si>
    <t xml:space="preserve">Continuous swings keep the improvement seen in paused swings.</t>
  </si>
  <si>
    <t xml:space="preserve">Make front-foot landing direction repeatable (stepping out or diving).</t>
  </si>
  <si>
    <t xml:space="preserve">Bat, fitted batting helmet, adjustable tee, practice balls, hitting net or cage; flat tape or chalk landing marker</t>
  </si>
  <si>
    <t xml:space="preserve">Flat marker at the intended landing spot; leave room for a comfortable toe angle.</t>
  </si>
  <si>
    <t xml:space="preserve">1) 3 dry strides to the marker. 2) Hit 5–8 balls. 3) Remove the marker for the last 2 swings.</t>
  </si>
  <si>
    <t xml:space="preserve">Looking down at the marker during the swing; locking the toe closed.</t>
  </si>
  <si>
    <t xml:space="preserve">Glance before, eyes on ball during; judge location, not toe angle.</t>
  </si>
  <si>
    <t xml:space="preserve">Dry strides only.</t>
  </si>
  <si>
    <t xml:space="preserve">H08; H24; H26.</t>
  </si>
  <si>
    <t xml:space="preserve">Lands near the marker on 4 of 5; keeps it with the marker removed.</t>
  </si>
  <si>
    <t xml:space="preserve">Control the move into landing from rear-side support.</t>
  </si>
  <si>
    <t xml:space="preserve">Bat, fitted batting helmet, adjustable tee, practice balls, hitting net or cage; landing marker</t>
  </si>
  <si>
    <t xml:space="preserve">Landing marker; middle tee.</t>
  </si>
  <si>
    <t xml:space="preserve">1) Small load. 2) Lift the front foot slightly and hold briefly. 3) Place it at the marker without tipping. 4) Swing.</t>
  </si>
  <si>
    <t xml:space="preserve">Long, stiff holds or collapsing the back knee.</t>
  </si>
  <si>
    <t xml:space="preserve">Keep the hover short — control, not a balance test.</t>
  </si>
  <si>
    <t xml:space="preserve">Dry hover reps.</t>
  </si>
  <si>
    <t xml:space="preserve">H14; H22.</t>
  </si>
  <si>
    <t xml:space="preserve">Lands balanced and on target on most reps.</t>
  </si>
  <si>
    <t xml:space="preserve">Reduce forward-move complexity (overstriding, lunging).</t>
  </si>
  <si>
    <t xml:space="preserve">1) Replace the stride with a small toe tap. 2) Swing. 3) Compare with 2 normal-stride swings.</t>
  </si>
  <si>
    <t xml:space="preserve">Turning the tap into a big lift.</t>
  </si>
  <si>
    <t xml:space="preserve">Keep the tap small and quiet.</t>
  </si>
  <si>
    <t xml:space="preserve">No-stride (H11).</t>
  </si>
  <si>
    <t xml:space="preserve">H28 timing toss.</t>
  </si>
  <si>
    <t xml:space="preserve">Balanced contact with less lunge.</t>
  </si>
  <si>
    <t xml:space="preserve">Explore rhythm and forward momentum into contact.</t>
  </si>
  <si>
    <t xml:space="preserve">Bat, fitted batting helmet, adjustable tee, practice balls, hitting net or cage; extra clear space behind the hitter</t>
  </si>
  <si>
    <t xml:space="preserve">Middle tee; clear space for 2–3 walking steps.</t>
  </si>
  <si>
    <t xml:space="preserve">1) Controlled walk-in steps toward the plate area. 2) Land and swing. 3) Finish with 2 normal swings.</t>
  </si>
  <si>
    <t xml:space="preserve">Rushing the walk and losing balance.</t>
  </si>
  <si>
    <t xml:space="preserve">Slow the steps; balance first.</t>
  </si>
  <si>
    <t xml:space="preserve">Single step approach.</t>
  </si>
  <si>
    <t xml:space="preserve">H22 Steady Middle Front Toss.</t>
  </si>
  <si>
    <t xml:space="preserve">Controlled landing and solid contact.</t>
  </si>
  <si>
    <t xml:space="preserve">Explore barrel delivery from a moderately open starting orientation.</t>
  </si>
  <si>
    <t xml:space="preserve">Hitter starts moderately open to the pitcher (comfortable, not extreme).</t>
  </si>
  <si>
    <t xml:space="preserve">1) Normal swings from the open setup. 2) Don't force a return to square. 3) Finish with 2 normal-stance swings.</t>
  </si>
  <si>
    <t xml:space="preserve">Treating the drill stance as a permanent change.</t>
  </si>
  <si>
    <t xml:space="preserve">Always finish with normal-stance comparison swings.</t>
  </si>
  <si>
    <t xml:space="preserve">Smaller offset.</t>
  </si>
  <si>
    <t xml:space="preserve">H30 Open-Stance Front Toss.</t>
  </si>
  <si>
    <t xml:space="preserve">Balanced, solid contact; normal swings unaffected.</t>
  </si>
  <si>
    <t xml:space="preserve">Explore rotation and contact from a moderately closed orientation.</t>
  </si>
  <si>
    <t xml:space="preserve">Hitter starts moderately closed; no strained hips, knees, or back.</t>
  </si>
  <si>
    <t xml:space="preserve">1) Normal swings from the closed setup. 2) Finish with 2 normal swings.</t>
  </si>
  <si>
    <t xml:space="preserve">Over-closing until rotation is uncomfortable.</t>
  </si>
  <si>
    <t xml:space="preserve">Reduce the offset immediately if anything strains.</t>
  </si>
  <si>
    <t xml:space="preserve">Alternate with H19.</t>
  </si>
  <si>
    <t xml:space="preserve">Comfortable rotation and solid contact.</t>
  </si>
  <si>
    <t xml:space="preserve">Introduce moving-ball contact.</t>
  </si>
  <si>
    <t xml:space="preserve">Bat, fitted helmet, practice balls, hitting net or cage, protective screen for the feeder (front toss) or safe offset position (side toss)</t>
  </si>
  <si>
    <t xml:space="preserve">Feeder safely offset to the side, outside the swing and batted-ball paths; toss into the hitting zone.</t>
  </si>
  <si>
    <t xml:space="preserve">1) Ready signal. 2) Underhand toss. 3) Track and make a normal two-handed swing. 4) Reset fully.</t>
  </si>
  <si>
    <t xml:space="preserve">Rapid-fire tosses that rush the hitter.</t>
  </si>
  <si>
    <t xml:space="preserve">Wait for the hitter's ready signal every time.</t>
  </si>
  <si>
    <t xml:space="preserve">Slower, higher-arc toss.</t>
  </si>
  <si>
    <t xml:space="preserve">H22.</t>
  </si>
  <si>
    <t xml:space="preserve">Solid contact on 4 of 6.</t>
  </si>
  <si>
    <t xml:space="preserve">Feeder behind a protective screen (front toss) or safely offset (side toss); hitter waits for a ready signal; helmet on; clear batted-ball path.</t>
  </si>
  <si>
    <t xml:space="preserve">Establish rhythm and timing against a consistent moving ball.</t>
  </si>
  <si>
    <t xml:space="preserve">Feeder behind a protective screen 15–20 ft in front; consistent middle tosses.</t>
  </si>
  <si>
    <t xml:space="preserve">1) Same release and location every pitch. 2) Hitter resets between pitches. 3) Score solid contact.</t>
  </si>
  <si>
    <t xml:space="preserve">Inconsistent tosses becoming the main challenge.</t>
  </si>
  <si>
    <t xml:space="preserve">Feeder practices location before the round.</t>
  </si>
  <si>
    <t xml:space="preserve">Side toss (H21).</t>
  </si>
  <si>
    <t xml:space="preserve">H23–H27.</t>
  </si>
  <si>
    <t xml:space="preserve">Solid contact on most tosses with the target movement intact.</t>
  </si>
  <si>
    <t xml:space="preserve">Apply inside-pitch contact to a moving ball.</t>
  </si>
  <si>
    <t xml:space="preserve">Manageable inner-half tosses from behind the screen.</t>
  </si>
  <si>
    <t xml:space="preserve">1) Contact farther out front. 2) Seek firm pull-side gap contact. 3) Reset between pitches.</t>
  </si>
  <si>
    <t xml:space="preserve">Keeping the hands in so long that the ball reaches the handle.</t>
  </si>
  <si>
    <t xml:space="preserve">Return to H02 and confirm the out-front contact point.</t>
  </si>
  <si>
    <t xml:space="preserve">Slightly less inside.</t>
  </si>
  <si>
    <t xml:space="preserve">H26.</t>
  </si>
  <si>
    <t xml:space="preserve">Barrel contact on most inside tosses.</t>
  </si>
  <si>
    <t xml:space="preserve">Cover the outer half without diving.</t>
  </si>
  <si>
    <t xml:space="preserve">Manageable outer-half tosses from behind the screen. Optional landing marker.</t>
  </si>
  <si>
    <t xml:space="preserve">1) Let it travel. 2) Firm opposite-gap contact. 3) Keep the landing controlled.</t>
  </si>
  <si>
    <t xml:space="preserve">Stepping across the plate to reach.</t>
  </si>
  <si>
    <t xml:space="preserve">Add the H15 landing marker.</t>
  </si>
  <si>
    <t xml:space="preserve">Slightly less away.</t>
  </si>
  <si>
    <t xml:space="preserve">Opposite-gap contact without diving on most tosses.</t>
  </si>
  <si>
    <t xml:space="preserve">Adjust to pitch height with a moving ball.</t>
  </si>
  <si>
    <t xml:space="preserve">Manageable upper- and lower-zone tosses.</t>
  </si>
  <si>
    <t xml:space="preserve">1) Alternate known high/low. 2) Then an unannounced order.</t>
  </si>
  <si>
    <t xml:space="preserve">Collapsing or reaching on every low pitch.</t>
  </si>
  <si>
    <t xml:space="preserve">Return to H06 ladder.</t>
  </si>
  <si>
    <t xml:space="preserve">Known order only.</t>
  </si>
  <si>
    <t xml:space="preserve">H27.</t>
  </si>
  <si>
    <t xml:space="preserve">Solid contact on both heights.</t>
  </si>
  <si>
    <t xml:space="preserve">Adjust contact depth and direction to location.</t>
  </si>
  <si>
    <t xml:space="preserve">Two manageable locations.</t>
  </si>
  <si>
    <t xml:space="preserve">1) Alternate inside and away in a known order. 2) Then vary the sequence without announcing it.</t>
  </si>
  <si>
    <t xml:space="preserve">Guessing location and committing early.</t>
  </si>
  <si>
    <t xml:space="preserve">Return to known order; track the ball longer.</t>
  </si>
  <si>
    <t xml:space="preserve">Appropriate direction and solid contact on most tosses.</t>
  </si>
  <si>
    <t xml:space="preserve">Respond to location rather than memorize a pattern.</t>
  </si>
  <si>
    <t xml:space="preserve">High-in, high-away, low-in, low-away with moderate location differences.</t>
  </si>
  <si>
    <t xml:space="preserve">1) Mixed order. 2) Score solid contact and intended direction separately.</t>
  </si>
  <si>
    <t xml:space="preserve">Feeder making the zones too extreme.</t>
  </si>
  <si>
    <t xml:space="preserve">Keep all zones within the hitter's manageable range.</t>
  </si>
  <si>
    <t xml:space="preserve">Two zones (H26).</t>
  </si>
  <si>
    <t xml:space="preserve">H32–H34.</t>
  </si>
  <si>
    <t xml:space="preserve">Solid contact on at least half, with appropriate direction.</t>
  </si>
  <si>
    <t xml:space="preserve">Adjust timing without rushing.</t>
  </si>
  <si>
    <t xml:space="preserve">Two manageable toss speeds; visible delivery.</t>
  </si>
  <si>
    <t xml:space="preserve">1) Predictable slow–normal alternation. 2) Then a mixed order.</t>
  </si>
  <si>
    <t xml:space="preserve">Lunging at the slower toss.</t>
  </si>
  <si>
    <t xml:space="preserve">Smaller stride (H17) and a later start on the slow toss.</t>
  </si>
  <si>
    <t xml:space="preserve">One speed.</t>
  </si>
  <si>
    <t xml:space="preserve">H29.</t>
  </si>
  <si>
    <t xml:space="preserve">On-time contact at both speeds.</t>
  </si>
  <si>
    <t xml:space="preserve">Track the release instead of guessing when the pitch is coming.</t>
  </si>
  <si>
    <t xml:space="preserve">Consistent release area; feeder varies delivery rhythm slightly.</t>
  </si>
  <si>
    <t xml:space="preserve">1) Modest rhythm changes. 2) Hitter resets between pitches.</t>
  </si>
  <si>
    <t xml:space="preserve">Turning it into a trick or quick-pitching the hitter.</t>
  </si>
  <si>
    <t xml:space="preserve">Keep the release visible and fair.</t>
  </si>
  <si>
    <t xml:space="preserve">Consistent rhythm (H22).</t>
  </si>
  <si>
    <t xml:space="preserve">H40 live at-bats.</t>
  </si>
  <si>
    <t xml:space="preserve">Stays on time on most tosses.</t>
  </si>
  <si>
    <t xml:space="preserve">Transfer an altered-position task to a moving ball.</t>
  </si>
  <si>
    <t xml:space="preserve">Comfortable open starting orientation; predictable tosses.</t>
  </si>
  <si>
    <t xml:space="preserve">1) 3–4 offset swings. 2) 3–4 normal-stance swings for comparison.</t>
  </si>
  <si>
    <t xml:space="preserve">Uncomfortable stance or treating it as a permanent setup.</t>
  </si>
  <si>
    <t xml:space="preserve">Reduce the offset; always compare with normal swings.</t>
  </si>
  <si>
    <t xml:space="preserve">H19 on the tee.</t>
  </si>
  <si>
    <t xml:space="preserve">Solid contact in both setups.</t>
  </si>
  <si>
    <t xml:space="preserve">Observe ball flight before committing to a swing.</t>
  </si>
  <si>
    <t xml:space="preserve">Front toss or coach BP; three-pitch sequences.</t>
  </si>
  <si>
    <t xml:space="preserve">1) Track pitches 1 and 2 without swinging. 2) Attack pitch 3 if suitable; take it if clearly not.</t>
  </si>
  <si>
    <t xml:space="preserve">Swinging at a bad third pitch because 'the drill says hit'.</t>
  </si>
  <si>
    <t xml:space="preserve">Reward a correct take on pitch 3.</t>
  </si>
  <si>
    <t xml:space="preserve">One take, then hit.</t>
  </si>
  <si>
    <t xml:space="preserve">H32.</t>
  </si>
  <si>
    <t xml:space="preserve">Correct decision on every third pitch.</t>
  </si>
  <si>
    <t xml:space="preserve">Pitcher behind an L-screen; follow league helmet and catcher-gear rules; control pitch counts for whoever throws; clear on-deck area.</t>
  </si>
  <si>
    <t xml:space="preserve">Practice a clear attack plan.</t>
  </si>
  <si>
    <t xml:space="preserve">Define a manageable attack area before the round.</t>
  </si>
  <si>
    <t xml:space="preserve">1) Swing at pitches in the area. 2) Take the rest, even some strikes. 3) Score plan-following.</t>
  </si>
  <si>
    <t xml:space="preserve">Abandoning the plan after one take.</t>
  </si>
  <si>
    <t xml:space="preserve">Score decisions first; contact second.</t>
  </si>
  <si>
    <t xml:space="preserve">Larger attack area.</t>
  </si>
  <si>
    <t xml:space="preserve">H34; H35.</t>
  </si>
  <si>
    <t xml:space="preserve">Follows the plan on at least 5 of 8 pitches.</t>
  </si>
  <si>
    <t xml:space="preserve">Establish basic swing selection.</t>
  </si>
  <si>
    <t xml:space="preserve">Mix clearly hittable pitches and clear balls.</t>
  </si>
  <si>
    <t xml:space="preserve">1) Record the swing/take decision first. 2) Record contact quality separately.</t>
  </si>
  <si>
    <t xml:space="preserve">Judging the decision by the result.</t>
  </si>
  <si>
    <t xml:space="preserve">Decision and outcome are scored separately.</t>
  </si>
  <si>
    <t xml:space="preserve">Very obvious balls/strikes.</t>
  </si>
  <si>
    <t xml:space="preserve">H34.</t>
  </si>
  <si>
    <t xml:space="preserve">Correct decisions on most pitches.</t>
  </si>
  <si>
    <t xml:space="preserve">Refine decisions on less obvious pitches.</t>
  </si>
  <si>
    <t xml:space="preserve">Bat, fitted helmet, baseballs, L-screen for the pitcher, cage or field, catcher gear if a catcher is used, score sheet</t>
  </si>
  <si>
    <t xml:space="preserve">Define the strike zone and task; present manageable pitches near one boundary at a time.</t>
  </si>
  <si>
    <t xml:space="preserve">1) One edge per round. 2) Discuss uncertain calls without treating close decisions as failure.</t>
  </si>
  <si>
    <t xml:space="preserve">Inconsistent feeder location becoming the main challenge.</t>
  </si>
  <si>
    <t xml:space="preserve">Use a skilled feeder or machine; mark 'unclear' when needed.</t>
  </si>
  <si>
    <t xml:space="preserve">H33 obvious pitches.</t>
  </si>
  <si>
    <t xml:space="preserve">H37; H40.</t>
  </si>
  <si>
    <t xml:space="preserve">Improves edge decisions across rounds.</t>
  </si>
  <si>
    <t xml:space="preserve">Practice prepared aggression without chasing.</t>
  </si>
  <si>
    <t xml:space="preserve">Mini at-bats starting 0–0.</t>
  </si>
  <si>
    <t xml:space="preserve">1) Hitter names an attack area. 2) Attack a pitch there; take an unsuitable pitch. 3) Reset.</t>
  </si>
  <si>
    <t xml:space="preserve">Swinging at any first pitch.</t>
  </si>
  <si>
    <t xml:space="preserve">Reward a good take as much as a good swing.</t>
  </si>
  <si>
    <t xml:space="preserve">Front toss version.</t>
  </si>
  <si>
    <t xml:space="preserve">H36.</t>
  </si>
  <si>
    <t xml:space="preserve">Swings at attackable first pitches; takes poor ones.</t>
  </si>
  <si>
    <t xml:space="preserve">Use a favorable count.</t>
  </si>
  <si>
    <t xml:space="preserve">Start at 2–0 or 3–1.</t>
  </si>
  <si>
    <t xml:space="preserve">1) Select a realistic damage area. 2) Continue the at-bat. 3) Evaluate approach separately from outcome.</t>
  </si>
  <si>
    <t xml:space="preserve">Expanding the zone in a hitter's count.</t>
  </si>
  <si>
    <t xml:space="preserve">Narrow the attack area.</t>
  </si>
  <si>
    <t xml:space="preserve">Front toss with a named zone.</t>
  </si>
  <si>
    <t xml:space="preserve">H40.</t>
  </si>
  <si>
    <t xml:space="preserve">Swings mostly at pitches in the damage area.</t>
  </si>
  <si>
    <t xml:space="preserve">Compete with two strikes.</t>
  </si>
  <si>
    <t xml:space="preserve">Start at 0–2, 1–2, or 2–2.</t>
  </si>
  <si>
    <t xml:space="preserve">1) Use appropriate competitive swings and takes. 2) Play until the at-bat ends.</t>
  </si>
  <si>
    <t xml:space="preserve">Rewarding swings at obvious balls as 'protecting'.</t>
  </si>
  <si>
    <t xml:space="preserve">Protect the zone, not the whole box.</t>
  </si>
  <si>
    <t xml:space="preserve">Front toss two-strike rounds.</t>
  </si>
  <si>
    <t xml:space="preserve">Puts strikes in play or fouls them; takes obvious balls.</t>
  </si>
  <si>
    <t xml:space="preserve">Connect a hitting plan to a game situation.</t>
  </si>
  <si>
    <t xml:space="preserve">Announce outs (fewer than two), runner on second, and team objective.</t>
  </si>
  <si>
    <t xml:space="preserve">1) Discuss which pitches support the task. 2) Play the sequence; don't force the same contact on every pitch.</t>
  </si>
  <si>
    <t xml:space="preserve">Forcing an unsuitable pitch toward a predetermined field.</t>
  </si>
  <si>
    <t xml:space="preserve">Choose the pitch first, then the job.</t>
  </si>
  <si>
    <t xml:space="preserve">Front toss with the situation called.</t>
  </si>
  <si>
    <t xml:space="preserve">H39; H40.</t>
  </si>
  <si>
    <t xml:space="preserve">Good decision quality and appropriate execution.</t>
  </si>
  <si>
    <t xml:space="preserve">Execute a scoring approach.</t>
  </si>
  <si>
    <t xml:space="preserve">Define outs, defensive alignment, and the intended task.</t>
  </si>
  <si>
    <t xml:space="preserve">1) Seek a pitch that can produce useful contact. 2) Record decision and execution separately.</t>
  </si>
  <si>
    <t xml:space="preserve">Sacrificing all pitch selection to 'put something in play'.</t>
  </si>
  <si>
    <t xml:space="preserve">Keep the attack area; adjust with two strikes only.</t>
  </si>
  <si>
    <t xml:space="preserve">Attacks drivable pitches; avoids weak chases.</t>
  </si>
  <si>
    <t xml:space="preserve">Integrate recognition, decisions, timing, and contact.</t>
  </si>
  <si>
    <t xml:space="preserve">Complete at-bats from 0–0 with a score sheet.</t>
  </si>
  <si>
    <t xml:space="preserve">1) Track balls, strikes, takes, fouls, and outcomes. 2) Minimal coaching during the at-bat. 3) Review afterward.</t>
  </si>
  <si>
    <t xml:space="preserve">Coaching mechanics between every pitch.</t>
  </si>
  <si>
    <t xml:space="preserve">Save feedback for after the at-bat.</t>
  </si>
  <si>
    <t xml:space="preserve">Count-start rounds (H35–H37).</t>
  </si>
  <si>
    <t xml:space="preserve">Game play.</t>
  </si>
  <si>
    <t xml:space="preserve">Decision and contact rates hold up against live pitching.</t>
  </si>
  <si>
    <t xml:space="preserve">Medicine-Ball Library (M01–M14)</t>
  </si>
  <si>
    <t xml:space="preserve">Supporting power work — not counted in the 40 hitting drills. Use one drill per session, then return to hitting.</t>
  </si>
  <si>
    <t xml:space="preserve">Exercise</t>
  </si>
  <si>
    <t xml:space="preserve">Stage / category</t>
  </si>
  <si>
    <t xml:space="preserve">Steps</t>
  </si>
  <si>
    <t xml:space="preserve">Cue</t>
  </si>
  <si>
    <t xml:space="preserve">Starting dose</t>
  </si>
  <si>
    <t xml:space="preserve">Rest</t>
  </si>
  <si>
    <t xml:space="preserve">Pair with hitting drill</t>
  </si>
  <si>
    <t xml:space="preserve">Watch for</t>
  </si>
  <si>
    <t xml:space="preserve">Ready to progress when</t>
  </si>
  <si>
    <t xml:space="preserve">M01</t>
  </si>
  <si>
    <t xml:space="preserve">Standing Hip-Turn Toss</t>
  </si>
  <si>
    <t xml:space="preserve">2 – Stationary rotation</t>
  </si>
  <si>
    <t xml:space="preserve">Load the rear hip and turn to deliver force without managing a stride.</t>
  </si>
  <si>
    <t xml:space="preserve">Side-on to the wall, athletic stance, ball near the rear hip.</t>
  </si>
  <si>
    <t xml:space="preserve">1) Small load into the rear hip. 2) Rotate through hips and torso. 3) Release toward the target. 4) Let the feet turn. 5) Reset fully.</t>
  </si>
  <si>
    <t xml:space="preserve">Load the hip, turn, release.</t>
  </si>
  <si>
    <t xml:space="preserve">2 × 3 per side</t>
  </si>
  <si>
    <t xml:space="preserve">60–120 sec</t>
  </si>
  <si>
    <t xml:space="preserve">H11, H01</t>
  </si>
  <si>
    <t xml:space="preserve">Arm-only throws; leaning back; feet stuck while twisting.</t>
  </si>
  <si>
    <t xml:space="preserve">Fast, repeatable release and controlled finish.</t>
  </si>
  <si>
    <t xml:space="preserve">Use a ball rated for the impact and a medicine-ball-rated wall or clear designated area; let rebounds settle; stop for pain.</t>
  </si>
  <si>
    <t xml:space="preserve">M02</t>
  </si>
  <si>
    <t xml:space="preserve">Stride-Hold Turn Throw</t>
  </si>
  <si>
    <t xml:space="preserve">Bridge (coaching adaptation)</t>
  </si>
  <si>
    <t xml:space="preserve">Connect a repeatable landing with the following turn.</t>
  </si>
  <si>
    <t xml:space="preserve">Flat landing marker; ball near the rear hip; side-on to the target.</t>
  </si>
  <si>
    <t xml:space="preserve">1) Small controlled stride. 2) Brief pause at landing. 3) Check landing direction. 4) Rotate and release. 5) Later remove the pause.</t>
  </si>
  <si>
    <t xml:space="preserve">Land on your spot, then turn.</t>
  </si>
  <si>
    <t xml:space="preserve">H15, H13, H14</t>
  </si>
  <si>
    <t xml:space="preserve">Cross-stepping, sweeping open, or locking the front foot closed.</t>
  </si>
  <si>
    <t xml:space="preserve">Lands on target with a controlled throw.</t>
  </si>
  <si>
    <t xml:space="preserve">M03</t>
  </si>
  <si>
    <t xml:space="preserve">Split-Stance Controlled-Turn Toss</t>
  </si>
  <si>
    <t xml:space="preserve">1 – Stationary anti-rotation</t>
  </si>
  <si>
    <t xml:space="preserve">Accept force on the front side with controlled upper-back rotation.</t>
  </si>
  <si>
    <t xml:space="preserve">Comfortable split stance side-on to the wall; lead knee softly bent.</t>
  </si>
  <si>
    <t xml:space="preserve">1) Hold the stance. 2) Controlled upper-back turn. 3) Keep the pelvis relatively quiet. 4) Finish without falling sideways.</t>
  </si>
  <si>
    <t xml:space="preserve">Strong base, smooth turn.</t>
  </si>
  <si>
    <t xml:space="preserve">2 × 2–3 per side</t>
  </si>
  <si>
    <t xml:space="preserve">60–90 sec</t>
  </si>
  <si>
    <t xml:space="preserve">Twisting through the low back; locking the front knee.</t>
  </si>
  <si>
    <t xml:space="preserve">Stable base and smooth release.</t>
  </si>
  <si>
    <t xml:space="preserve">M04</t>
  </si>
  <si>
    <t xml:space="preserve">Turn-and-Push Throw</t>
  </si>
  <si>
    <t xml:space="preserve">Feel the body turn deliver the arms instead of reaching outward early (casting).</t>
  </si>
  <si>
    <t xml:space="preserve">Side-on; ball near the rear shoulder with the other hand supporting.</t>
  </si>
  <si>
    <t xml:space="preserve">1) Gentle rear-hip load. 2) Turn through lower body and torso. 3) Short shot-put release. 4) Arm extends at the finish.</t>
  </si>
  <si>
    <t xml:space="preserve">Let the turn deliver the ball.</t>
  </si>
  <si>
    <t xml:space="preserve">H12, H13</t>
  </si>
  <si>
    <t xml:space="preserve">Pushing the ball before the body turns; back arching; shoulder discomfort.</t>
  </si>
  <si>
    <t xml:space="preserve">Coordinated release without an early push.</t>
  </si>
  <si>
    <t xml:space="preserve">M05</t>
  </si>
  <si>
    <t xml:space="preserve">Back-Step Load Toss</t>
  </si>
  <si>
    <t xml:space="preserve">4 – Eccentric preload</t>
  </si>
  <si>
    <t xml:space="preserve">Get into and out of the rear hip using the stretch-shortening cycle.</t>
  </si>
  <si>
    <t xml:space="preserve">Side-on; light ball near the rear hip; clear space.</t>
  </si>
  <si>
    <t xml:space="preserve">1) Small step back with the rear foot. 2) Accept the load in the rear hip. 3) Reverse toward the lead side. 4) Rotate and release.</t>
  </si>
  <si>
    <t xml:space="preserve">Get into the hip, then get out.</t>
  </si>
  <si>
    <t xml:space="preserve">90–120 sec</t>
  </si>
  <si>
    <t xml:space="preserve">H16, H22</t>
  </si>
  <si>
    <t xml:space="preserve">Big backward lunge; drifting forward early; arm-first throw.</t>
  </si>
  <si>
    <t xml:space="preserve">Controlled preload with a quick reversal.</t>
  </si>
  <si>
    <t xml:space="preserve">Use a ball rated for the impact and a medicine-ball-rated wall or clear designated area; let rebounds settle; stop for pain. Advanced: supervise.</t>
  </si>
  <si>
    <t xml:space="preserve">M06</t>
  </si>
  <si>
    <t xml:space="preserve">Crossover-Step Turn Throw</t>
  </si>
  <si>
    <t xml:space="preserve">3 – Momentum rotation</t>
  </si>
  <si>
    <t xml:space="preserve">Create momentum and transfer it into the front side.</t>
  </si>
  <si>
    <t xml:space="preserve">Side-on; short approach space.</t>
  </si>
  <si>
    <t xml:space="preserve">1) Small step toward the target with the lead foot. 2) Rear foot steps behind. 3) Replant lead foot, rotate, throw.</t>
  </si>
  <si>
    <t xml:space="preserve">Carry the momentum into the turn.</t>
  </si>
  <si>
    <t xml:space="preserve">H22, H28</t>
  </si>
  <si>
    <t xml:space="preserve">Running approach; uncontrolled landing; heavy ball slowing everything down.</t>
  </si>
  <si>
    <t xml:space="preserve">Controlled approach and lead-side support.</t>
  </si>
  <si>
    <t xml:space="preserve">M07</t>
  </si>
  <si>
    <t xml:space="preserve">Kneeling Controlled-Turn Throw</t>
  </si>
  <si>
    <t xml:space="preserve">Simplify the lower body to practice upper-back turn and a short release.</t>
  </si>
  <si>
    <t xml:space="preserve">Kneel on a pad, one knee down; ball near the rear shoulder.</t>
  </si>
  <si>
    <t xml:space="preserve">1) Tall position. 2) Small upper-back turn. 3) Short shot-put throw. 4) Finish without arching.</t>
  </si>
  <si>
    <t xml:space="preserve">Quiet base, smooth turn.</t>
  </si>
  <si>
    <t xml:space="preserve">Low-back twisting; arching; shoulder discomfort.</t>
  </si>
  <si>
    <t xml:space="preserve">Smooth release from a quiet base.</t>
  </si>
  <si>
    <t xml:space="preserve">M08</t>
  </si>
  <si>
    <t xml:space="preserve">Shuffle-Into-Turn Toss</t>
  </si>
  <si>
    <t xml:space="preserve">Add controlled lateral movement before the throw.</t>
  </si>
  <si>
    <t xml:space="preserve">Side-on; room for one short shuffle.</t>
  </si>
  <si>
    <t xml:space="preserve">1) One small lateral shuffle toward the target. 2) Establish lead-side support. 3) Rotate and throw.</t>
  </si>
  <si>
    <t xml:space="preserve">Move smoothly, turn fast.</t>
  </si>
  <si>
    <t xml:space="preserve">Crossing feet; running approach; throwing before the lead foot lands.</t>
  </si>
  <si>
    <t xml:space="preserve">Controlled shuffle and landing.</t>
  </si>
  <si>
    <t xml:space="preserve">M09</t>
  </si>
  <si>
    <t xml:space="preserve">Reverse-Shuffle Turn Toss</t>
  </si>
  <si>
    <t xml:space="preserve">3 – Momentum (advanced)</t>
  </si>
  <si>
    <t xml:space="preserve">Control and redirect momentum before rotating.</t>
  </si>
  <si>
    <t xml:space="preserve">Side-on; extra clear space.</t>
  </si>
  <si>
    <t xml:space="preserve">1) Small move away from target. 2) Reverse into a short shuffle. 3) Establish support. 4) Rotate and release.</t>
  </si>
  <si>
    <t xml:space="preserve">Control the change, then accelerate.</t>
  </si>
  <si>
    <t xml:space="preserve">1–2 × 2 per side</t>
  </si>
  <si>
    <t xml:space="preserve">~2 min</t>
  </si>
  <si>
    <t xml:space="preserve">H22, H40</t>
  </si>
  <si>
    <t xml:space="preserve">Slipping; big backward move; uncontrolled landing.</t>
  </si>
  <si>
    <t xml:space="preserve">Masters M08 first.</t>
  </si>
  <si>
    <t xml:space="preserve">M10</t>
  </si>
  <si>
    <t xml:space="preserve">Overhead Ball Slam</t>
  </si>
  <si>
    <t xml:space="preserve">General power</t>
  </si>
  <si>
    <t xml:space="preserve">Explosive total-body action without a rotational step.</t>
  </si>
  <si>
    <t xml:space="preserve">Slam-compatible, low-bounce ball; suitable floor.</t>
  </si>
  <si>
    <t xml:space="preserve">1) Raise the ball overhead without arching. 2) Drive it into the floor in front. 3) Keep face and feet clear. 4) Let it settle.</t>
  </si>
  <si>
    <t xml:space="preserve">Drive it down, finish balanced.</t>
  </si>
  <si>
    <t xml:space="preserve">1–2 × 3</t>
  </si>
  <si>
    <t xml:space="preserve">Excessive back extension; chasing rebounds.</t>
  </si>
  <si>
    <t xml:space="preserve">Controlled, repeatable slams.</t>
  </si>
  <si>
    <t xml:space="preserve">Slam ball only; never a wall ball. Use a ball rated for the impact and a medicine-ball-rated wall or clear designated area; let rebounds settle; stop for pain.</t>
  </si>
  <si>
    <t xml:space="preserve">M11</t>
  </si>
  <si>
    <t xml:space="preserve">Alternating Side Slam</t>
  </si>
  <si>
    <t xml:space="preserve">Add lateral movement to the Overhead Ball Slam (M10).</t>
  </si>
  <si>
    <t xml:space="preserve">Light slam-compatible ball.</t>
  </si>
  <si>
    <t xml:space="preserve">1) Lift overhead. 2) Small weight shift and slam just outside one foot. 3) Reset; alternate sides.</t>
  </si>
  <si>
    <t xml:space="preserve">Shift under control, slam beside you.</t>
  </si>
  <si>
    <t xml:space="preserve">H01, H22</t>
  </si>
  <si>
    <t xml:space="preserve">Big sideways bend; slamming near the foot.</t>
  </si>
  <si>
    <t xml:space="preserve">Controlled M10 first.</t>
  </si>
  <si>
    <t xml:space="preserve">Slam ball only. Use a ball rated for the impact and a medicine-ball-rated wall or clear designated area; let rebounds settle; stop for pain.</t>
  </si>
  <si>
    <t xml:space="preserve">M12</t>
  </si>
  <si>
    <t xml:space="preserve">Back-Lunge to Turn Throw</t>
  </si>
  <si>
    <t xml:space="preserve">Add a controlled lower-body transition before the throw.</t>
  </si>
  <si>
    <t xml:space="preserve">Side-on; ball near the rear shoulder.</t>
  </si>
  <si>
    <t xml:space="preserve">1) Shallow reverse lunge with the rear leg. 2) Return to stable standing. 3) Rotate and deliver the shot put.</t>
  </si>
  <si>
    <t xml:space="preserve">Stand strong, then deliver.</t>
  </si>
  <si>
    <t xml:space="preserve">Wobbling; rushing out of the lunge.</t>
  </si>
  <si>
    <t xml:space="preserve">Controls the lunge return.</t>
  </si>
  <si>
    <t xml:space="preserve">M13</t>
  </si>
  <si>
    <t xml:space="preserve">Hip-Transfer Overhead Slam</t>
  </si>
  <si>
    <t xml:space="preserve">Advanced integrated</t>
  </si>
  <si>
    <t xml:space="preserve">Combine rear-hip load, rotation, front-side support, and overhead release.</t>
  </si>
  <si>
    <t xml:space="preserve">Learn from a qualified coach first.</t>
  </si>
  <si>
    <t xml:space="preserve">1) Load the rear hip with ball overhead. 2) Transition through the hips. 3) Accept support on the lead side. 4) Forceful downward stomp.</t>
  </si>
  <si>
    <t xml:space="preserve">Stay in the rear hip, then transfer and finish.</t>
  </si>
  <si>
    <t xml:space="preserve">1 × 3–4 per side</t>
  </si>
  <si>
    <t xml:space="preserve">Offseason only</t>
  </si>
  <si>
    <t xml:space="preserve">Low-back arching; rushing rear-hip rotation; falling sideways.</t>
  </si>
  <si>
    <t xml:space="preserve">Simpler overhead and rotational work mastered.</t>
  </si>
  <si>
    <t xml:space="preserve">Slam ball only; qualified supervision. Use a ball rated for the impact and a medicine-ball-rated wall or clear designated area; let rebounds settle; stop for pain.</t>
  </si>
  <si>
    <t xml:space="preserve">M14</t>
  </si>
  <si>
    <t xml:space="preserve">Double-Hop Load Toss</t>
  </si>
  <si>
    <t xml:space="preserve">5 – Preload + momentum</t>
  </si>
  <si>
    <t xml:space="preserve">Combine rear-hip preload with momentum into the front side.</t>
  </si>
  <si>
    <t xml:space="preserve">Learn footwork without a ball first; light ball.</t>
  </si>
  <si>
    <t xml:space="preserve">1) Two small controlled hops. 2) Accept the preload in the rear hip. 3) Redirect toward the lead side. 4) Rotate and release.</t>
  </si>
  <si>
    <t xml:space="preserve">Absorb, redirect, release.</t>
  </si>
  <si>
    <t xml:space="preserve">Hops become a run; unstable landings; forced separation.</t>
  </si>
  <si>
    <t xml:space="preserve">Controls M05 and M06 separately.</t>
  </si>
  <si>
    <t xml:space="preserve">Use a ball rated for the impact and a medicine-ball-rated wall or clear designated area; let rebounds settle; stop for pain. Not for beginners; supervise.</t>
  </si>
  <si>
    <t xml:space="preserve">Medicine-Ball Progression, Loading &amp; Ball Weight</t>
  </si>
  <si>
    <t xml:space="preserve">Five-stage rotational progression (readiness ladder, not a calendar)</t>
  </si>
  <si>
    <t xml:space="preserve">Stage</t>
  </si>
  <si>
    <t xml:space="preserve">Main demand</t>
  </si>
  <si>
    <t xml:space="preserve">Example drills</t>
  </si>
  <si>
    <t xml:space="preserve">Establish before advancing</t>
  </si>
  <si>
    <t xml:space="preserve">Reason to stay here</t>
  </si>
  <si>
    <t xml:space="preserve">Stationary anti-rotation</t>
  </si>
  <si>
    <t xml:space="preserve">M03, M07</t>
  </si>
  <si>
    <t xml:space="preserve">Stable base, controlled upper-back movement</t>
  </si>
  <si>
    <t xml:space="preserve">Low-back compensation or base can't be controlled</t>
  </si>
  <si>
    <t xml:space="preserve">Stationary rotation</t>
  </si>
  <si>
    <t xml:space="preserve">M01, M04</t>
  </si>
  <si>
    <t xml:space="preserve">Coordinated hip load, turn, and release</t>
  </si>
  <si>
    <t xml:space="preserve">Loading or release inconsistent</t>
  </si>
  <si>
    <t xml:space="preserve">Momentum rotation</t>
  </si>
  <si>
    <t xml:space="preserve">M06, M08, M09</t>
  </si>
  <si>
    <t xml:space="preserve">Controlled approach and lead-side support</t>
  </si>
  <si>
    <t xml:space="preserve">Approach disrupts balance or timing</t>
  </si>
  <si>
    <t xml:space="preserve">Eccentric preload</t>
  </si>
  <si>
    <t xml:space="preserve">Accept and reverse rear-hip loading</t>
  </si>
  <si>
    <t xml:space="preserve">Rear-hip load can't be controlled</t>
  </si>
  <si>
    <t xml:space="preserve">Preload + momentum</t>
  </si>
  <si>
    <t xml:space="preserve">Control of stages 3 and 4 together</t>
  </si>
  <si>
    <t xml:space="preserve">Hops create instability</t>
  </si>
  <si>
    <t xml:space="preserve">Stages 3–5 are too advanced for many 13–15-year-olds without foundational strength and body awareness. Add only one new demand at a time.</t>
  </si>
  <si>
    <t xml:space="preserve">Readiness checks</t>
  </si>
  <si>
    <t xml:space="preserve">Check</t>
  </si>
  <si>
    <t xml:space="preserve">No pain during or after the current drill.</t>
  </si>
  <si>
    <t xml:space="preserve">Repeatable setup and finish.</t>
  </si>
  <si>
    <t xml:space="preserve">Fast, confident release (not a heavy heave).</t>
  </si>
  <si>
    <t xml:space="preserve">No major compensation (arching, forced twisting) to complete the throw.</t>
  </si>
  <si>
    <t xml:space="preserve">Last rep looks as controlled as the first.</t>
  </si>
  <si>
    <t xml:space="preserve">Performs without constant correction.</t>
  </si>
  <si>
    <t xml:space="preserve">Hitting afterward stays productive.</t>
  </si>
  <si>
    <t xml:space="preserve">Choosing ball weight</t>
  </si>
  <si>
    <t xml:space="preserve">Action</t>
  </si>
  <si>
    <t xml:space="preserve">Start with a light ball suited to the drill (wall ball for wall throws, slam ball for stomps).</t>
  </si>
  <si>
    <t xml:space="preserve">Perform 2–3 controlled rehearsal throws.</t>
  </si>
  <si>
    <t xml:space="preserve">Check: quick acceleration without strain? body contributes? comfortable finish? consistent movement?</t>
  </si>
  <si>
    <t xml:space="preserve">If trying the next weight up, repeat the same drill from the same setup after recovery.</t>
  </si>
  <si>
    <t xml:space="preserve">Return to the lighter ball if speed or control clearly drops. There is no requirement to keep adding weight.</t>
  </si>
  <si>
    <t xml:space="preserve">Starting doses (sets × reps per side)</t>
  </si>
  <si>
    <t xml:space="preserve">Dose</t>
  </si>
  <si>
    <t xml:space="preserve">Working throws</t>
  </si>
  <si>
    <t xml:space="preserve">M01 Standing Hip-Turn Toss / M04 Turn-and-Push Throw</t>
  </si>
  <si>
    <t xml:space="preserve">12 throws</t>
  </si>
  <si>
    <t xml:space="preserve">M05 Back-Step Load Toss</t>
  </si>
  <si>
    <t xml:space="preserve">M06 / M08 momentum</t>
  </si>
  <si>
    <t xml:space="preserve">M14 Double-Hop Load Toss (prepared athletes)</t>
  </si>
  <si>
    <t xml:space="preserve">1–2 × 2–3 per side</t>
  </si>
  <si>
    <t xml:space="preserve">~2 min+</t>
  </si>
  <si>
    <t xml:space="preserve">4–12 throws</t>
  </si>
  <si>
    <t xml:space="preserve">M10 Overhead Ball Slam</t>
  </si>
  <si>
    <t xml:space="preserve">3–6 throws</t>
  </si>
  <si>
    <t xml:space="preserve">Youth first exposure</t>
  </si>
  <si>
    <t xml:space="preserve">1 × 2 each direction</t>
  </si>
  <si>
    <t xml:space="preserve">Full recovery</t>
  </si>
  <si>
    <t xml:space="preserve">4 throws</t>
  </si>
  <si>
    <t xml:space="preserve">Based on common youth power-training guidelines (1–3 sets of 3–6 reps, not to failure). Count one throw as one rep; 'per side' doubles the total.</t>
  </si>
  <si>
    <t xml:space="preserve">Common mistakes</t>
  </si>
  <si>
    <t xml:space="preserve">Mistake</t>
  </si>
  <si>
    <t xml:space="preserve">What you see</t>
  </si>
  <si>
    <t xml:space="preserve">Drifting instead of loading the rear hip</t>
  </si>
  <si>
    <t xml:space="preserve">Head and torso move forward early; arms late</t>
  </si>
  <si>
    <t xml:space="preserve">Shorten the step or remove hops; rehearse the load; return to stationary.</t>
  </si>
  <si>
    <t xml:space="preserve">Step or hops too large</t>
  </si>
  <si>
    <t xml:space="preserve">Backward lunge, running approach, stumbles</t>
  </si>
  <si>
    <t xml:space="preserve">Reduce range; footwork without a ball first.</t>
  </si>
  <si>
    <t xml:space="preserve">Arms before the body</t>
  </si>
  <si>
    <t xml:space="preserve">Slow shove despite an aggressive approach</t>
  </si>
  <si>
    <t xml:space="preserve">Remove the approach; light ball; stationary throw.</t>
  </si>
  <si>
    <t xml:space="preserve">Holding the ball too rigidly</t>
  </si>
  <si>
    <t xml:space="preserve">Bear hug, shrugged shoulders, neck tension</t>
  </si>
  <si>
    <t xml:space="preserve">Secure but relaxed grip; lighter ball.</t>
  </si>
  <si>
    <t xml:space="preserve">Forcing rotation through the low back</t>
  </si>
  <si>
    <t xml:space="preserve">Big arch; excessive twisting</t>
  </si>
  <si>
    <t xml:space="preserve">Smaller windup; lighter ball; simpler variation.</t>
  </si>
  <si>
    <t xml:space="preserve">Locking the front foot or knee</t>
  </si>
  <si>
    <t xml:space="preserve">Torso twists over a pinned foot</t>
  </si>
  <si>
    <t xml:space="preserve">Allow a natural pivot; support the turn, don't stop it.</t>
  </si>
  <si>
    <t xml:space="preserve">Too much weight or too many reps</t>
  </si>
  <si>
    <t xml:space="preserve">Fast throws become slow heaves; later reps lose control</t>
  </si>
  <si>
    <t xml:space="preserve">Lighten, recover, or end the set.</t>
  </si>
  <si>
    <t xml:space="preserve">Transition from med ball to hitting</t>
  </si>
  <si>
    <t xml:space="preserve">Finish the planned block; no extra throws.</t>
  </si>
  <si>
    <t xml:space="preserve">Recover 1–2 minutes (longer if needed).</t>
  </si>
  <si>
    <t xml:space="preserve">2–3 relaxed dry swings with the game bat.</t>
  </si>
  <si>
    <t xml:space="preserve">4–6 tee swings (H01), building to game intent.</t>
  </si>
  <si>
    <t xml:space="preserve">4–6 predictable front tosses (H22).</t>
  </si>
  <si>
    <t xml:space="preserve">6–8 variable tosses with takes (H27/H33) if productive.</t>
  </si>
  <si>
    <t xml:space="preserve">Youth Games (G01–G05)</t>
  </si>
  <si>
    <t xml:space="preserve">Short turns, big targets, everyone succeeds. No penalty reps, elimination, or speed leaderboards.</t>
  </si>
  <si>
    <t xml:space="preserve">Game</t>
  </si>
  <si>
    <t xml:space="preserve">Uses</t>
  </si>
  <si>
    <t xml:space="preserve">How to play</t>
  </si>
  <si>
    <t xml:space="preserve">Scale down</t>
  </si>
  <si>
    <t xml:space="preserve">Scoring</t>
  </si>
  <si>
    <t xml:space="preserve">G01</t>
  </si>
  <si>
    <t xml:space="preserve">Target Zone Throw</t>
  </si>
  <si>
    <t xml:space="preserve">Standing Hip-Turn Toss (M01)</t>
  </si>
  <si>
    <t xml:space="preserve">Light ball; 2–3 large tape/chalk target zones named after stadiums; rated wall; start mark; waiting line</t>
  </si>
  <si>
    <t xml:space="preserve">Player picks a stadium; 2 throws each direction; a point for reaching the zone; recognize a controlled finish and safe reset.</t>
  </si>
  <si>
    <t xml:space="preserve">Pick your stadium and send it.</t>
  </si>
  <si>
    <t xml:space="preserve">Widen the target or move closer.</t>
  </si>
  <si>
    <t xml:space="preserve">1 point per zone hit + 1 for a controlled finish</t>
  </si>
  <si>
    <t xml:space="preserve">G02</t>
  </si>
  <si>
    <t xml:space="preserve">Personal Best Round</t>
  </si>
  <si>
    <t xml:space="preserve">Same targets; clipboard or whiteboard</t>
  </si>
  <si>
    <t xml:space="preserve">4 planned throws (2 each direction); record hits; after recovery, an optional second round; compare only with the player's own first round.</t>
  </si>
  <si>
    <t xml:space="preserve">Can you make your next round more consistent?</t>
  </si>
  <si>
    <t xml:space="preserve">Fewer throws; larger target.</t>
  </si>
  <si>
    <t xml:space="preserve">Own-round comparison; celebrate repeating a good round</t>
  </si>
  <si>
    <t xml:space="preserve">G03</t>
  </si>
  <si>
    <t xml:space="preserve">Team Target Goal</t>
  </si>
  <si>
    <t xml:space="preserve">Same targets; cones for waiting positions; shared scorecard</t>
  </si>
  <si>
    <t xml:space="preserve">Set a shared goal (e.g., 6 target hits from everyone's scheduled throws). Players take turns; coach clears area before retrieval. No penalty throws or push-ups.</t>
  </si>
  <si>
    <t xml:space="preserve">Every controlled throw helps the team.</t>
  </si>
  <si>
    <t xml:space="preserve">Lower the team goal.</t>
  </si>
  <si>
    <t xml:space="preserve">Team total vs. achievable goal</t>
  </si>
  <si>
    <t xml:space="preserve">G04</t>
  </si>
  <si>
    <t xml:space="preserve">Throw-to-Swing Combo</t>
  </si>
  <si>
    <t xml:space="preserve">M01 → H01 → H22</t>
  </si>
  <si>
    <t xml:space="preserve">Light ball, targets, tee, bat, fitted helmet, practice balls, net/cage, protective screen</t>
  </si>
  <si>
    <t xml:space="preserve">2 controlled throws each direction; recover; 4 tee swings to a broad target; if comfortable, 4 predictable front tosses. Player chooses middle or opposite target.</t>
  </si>
  <si>
    <t xml:space="preserve">Turn and throw. / See it and square it.</t>
  </si>
  <si>
    <t xml:space="preserve">Tee only; soft ball for the throw.</t>
  </si>
  <si>
    <t xml:space="preserve">Solid contacts out of swings</t>
  </si>
  <si>
    <t xml:space="preserve">G05</t>
  </si>
  <si>
    <t xml:space="preserve">Solid Contact Points Game</t>
  </si>
  <si>
    <t xml:space="preserve">H01, H22, H33</t>
  </si>
  <si>
    <t xml:space="preserve">Tee or comfortable front toss; large safe target area; appropriately sized bat; helmet</t>
  </si>
  <si>
    <t xml:space="preserve">3–4 swings per turn; score solid contact toward a broad target; rotate players; add a moving ball only when comfortable; finish with a short swing/take decision game.</t>
  </si>
  <si>
    <t xml:space="preserve">Hit your pitch hard.</t>
  </si>
  <si>
    <t xml:space="preserve">Tee only; bigger target.</t>
  </si>
  <si>
    <t xml:space="preserve">1 point per solid contact; 1 per correct swing/take</t>
  </si>
  <si>
    <t xml:space="preserve">Rehearsals &amp; Feedback Tools (R01–R07)</t>
  </si>
  <si>
    <t xml:space="preserve">Not counted as hitting drills. Use briefly, then return to bat-to-ball work.</t>
  </si>
  <si>
    <t xml:space="preserve">Activity</t>
  </si>
  <si>
    <t xml:space="preserve">Feeds into</t>
  </si>
  <si>
    <t xml:space="preserve">R01</t>
  </si>
  <si>
    <t xml:space="preserve">No-Bat Landing Rehearsal</t>
  </si>
  <si>
    <t xml:space="preserve">Find the intended landing without a swing.</t>
  </si>
  <si>
    <t xml:space="preserve">Flat marker</t>
  </si>
  <si>
    <t xml:space="preserve">Load and stride to the mark 3–5 times; freeze and check; no bat needed.</t>
  </si>
  <si>
    <t xml:space="preserve">R02</t>
  </si>
  <si>
    <t xml:space="preserve">Lift-and-Balance Rehearsal</t>
  </si>
  <si>
    <t xml:space="preserve">Feel rear-side support before landing.</t>
  </si>
  <si>
    <t xml:space="preserve">Small load; lift front foot slightly; brief hold; place at the mark balanced.</t>
  </si>
  <si>
    <t xml:space="preserve">R03</t>
  </si>
  <si>
    <t xml:space="preserve">Hand-Position Freeze Check</t>
  </si>
  <si>
    <t xml:space="preserve">Arrive in a usable launch position.</t>
  </si>
  <si>
    <t xml:space="preserve">Mirror or phone video</t>
  </si>
  <si>
    <t xml:space="preserve">Load, stride, pause; check hands near the rear shoulder, not collapsed to the waist.</t>
  </si>
  <si>
    <t xml:space="preserve">Arrive ready to turn.</t>
  </si>
  <si>
    <t xml:space="preserve">R04</t>
  </si>
  <si>
    <t xml:space="preserve">Band-Feedback Load Rehearsal (optional)</t>
  </si>
  <si>
    <t xml:space="preserve">Feedback for the move into launch; NOT a resisted swing.</t>
  </si>
  <si>
    <t xml:space="preserve">Very light band with handle, smooth stable anchor at loaded-hand height on the catcher side</t>
  </si>
  <si>
    <t xml:space="preserve">Light tension; small load and stride; pause; slight hip opening without yanking the arms; return slowly; repeat unresisted.</t>
  </si>
  <si>
    <t xml:space="preserve">Feel the load; don't fight the band.</t>
  </si>
  <si>
    <t xml:space="preserve">H13, H14</t>
  </si>
  <si>
    <t xml:space="preserve">R05</t>
  </si>
  <si>
    <t xml:space="preserve">Guess-Then-Check Round</t>
  </si>
  <si>
    <t xml:space="preserve">Connect feel with results in high-intent sessions.</t>
  </si>
  <si>
    <t xml:space="preserve">Tee or toss; optional radar/sensor</t>
  </si>
  <si>
    <t xml:space="preserve">3–5 swings with one task; hitter predicts best swing; compare with contact, numbers, and video; change one thing or nothing; repeat.</t>
  </si>
  <si>
    <t xml:space="preserve">Fast swing, clear target.</t>
  </si>
  <si>
    <t xml:space="preserve">R06</t>
  </si>
  <si>
    <t xml:space="preserve">Feel vs. Film Check</t>
  </si>
  <si>
    <t xml:space="preserve">Self-assess one checkpoint accurately.</t>
  </si>
  <si>
    <t xml:space="preserve">Phone on tripod; Video Log</t>
  </si>
  <si>
    <t xml:space="preserve">Record 3 swings; hitter labels each met/missed/unsure before viewing; review; count matches.</t>
  </si>
  <si>
    <t xml:space="preserve">Tell me what you felt, then let's check.</t>
  </si>
  <si>
    <t xml:space="preserve">Any</t>
  </si>
  <si>
    <t xml:space="preserve">R07</t>
  </si>
  <si>
    <t xml:space="preserve">Rhythm Reset Round</t>
  </si>
  <si>
    <t xml:space="preserve">Recover when a hitter is forcing intent.</t>
  </si>
  <si>
    <t xml:space="preserve">None</t>
  </si>
  <si>
    <t xml:space="preserve">End the round; check discomfort/fatigue; 2–3 rhythm swings; one short retest round; if quality is still worse, reduce difficulty or end high-intent work.</t>
  </si>
  <si>
    <t xml:space="preserve">Find the rhythm, then add speed.</t>
  </si>
  <si>
    <t xml:space="preserve">Band safety: Band: inspect band and anchor before use; keep the line of pull away from the face; never attach to a bat; no full-speed swings against a band; stop for strain or pain.</t>
  </si>
  <si>
    <t xml:space="preserve">Warm-Up Routines (WR1–WR6)</t>
  </si>
  <si>
    <t xml:space="preserve">Easy movement → mobility → progressively faster, baseball-specific work.</t>
  </si>
  <si>
    <t xml:space="preserve">Routine</t>
  </si>
  <si>
    <t xml:space="preserve">Time</t>
  </si>
  <si>
    <t xml:space="preserve">Use for</t>
  </si>
  <si>
    <t xml:space="preserve">Sequence (see Warm-Up Library)</t>
  </si>
  <si>
    <t xml:space="preserve">Coaching note</t>
  </si>
  <si>
    <t xml:space="preserve">WR1</t>
  </si>
  <si>
    <t xml:space="preserve">Standard Hitting Warm-Up</t>
  </si>
  <si>
    <t xml:space="preserve">10–15 min</t>
  </si>
  <si>
    <t xml:space="preserve">Before tee, toss, or batting practice</t>
  </si>
  <si>
    <t xml:space="preserve">WU01 → WU02 → WU03 → WU04/WU05 → WU06 → WU08 → WU09 → WU11 (2 easy + 2 moderate) → WU12 (4–6 tee contacts) → WU13 if needed</t>
  </si>
  <si>
    <t xml:space="preserve">Start easy; build gradually toward practice speed.</t>
  </si>
  <si>
    <t xml:space="preserve">WR2</t>
  </si>
  <si>
    <t xml:space="preserve">Youth Simplified Warm-Up</t>
  </si>
  <si>
    <t xml:space="preserve">6–10 min</t>
  </si>
  <si>
    <t xml:space="preserve">Younger or beginner players</t>
  </si>
  <si>
    <t xml:space="preserve">WU01 (game-style) → WU03 → WU05 → WU09 → WU11 (3 easy swings) → WU12 (3–4 tee contacts)</t>
  </si>
  <si>
    <t xml:space="preserve">Familiar movements; short instructions; finish engaged, not tired.</t>
  </si>
  <si>
    <t xml:space="preserve">WR3</t>
  </si>
  <si>
    <t xml:space="preserve">Medicine-Ball-to-Hitting Prep</t>
  </si>
  <si>
    <t xml:space="preserve">12–18 min</t>
  </si>
  <si>
    <t xml:space="preserve">Sessions with a med-ball power block</t>
  </si>
  <si>
    <t xml:space="preserve">WR1 general portion → WU14 rehearsal throws → planned med-ball block (Med Ball Library) → 1–2 min recovery → WU11 → WU12 → WU13</t>
  </si>
  <si>
    <t xml:space="preserve">Throws before hitting only if the hitter stays coordinated.</t>
  </si>
  <si>
    <t xml:space="preserve">WR4</t>
  </si>
  <si>
    <t xml:space="preserve">Game-Day Routine</t>
  </si>
  <si>
    <t xml:space="preserve">Before games</t>
  </si>
  <si>
    <t xml:space="preserve">WU01 → WU02 → WU04 → WU06 → WU08 → WU09 → WU11 → WU12/WU13 if available</t>
  </si>
  <si>
    <t xml:space="preserve">Familiar preparation only — no new drills, no med-ball records.</t>
  </si>
  <si>
    <t xml:space="preserve">WR5</t>
  </si>
  <si>
    <t xml:space="preserve">Between-Innings / Long-Wait Reset</t>
  </si>
  <si>
    <t xml:space="preserve">2–4 min</t>
  </si>
  <si>
    <t xml:space="preserve">Athlete already warmed up who has been sitting</t>
  </si>
  <si>
    <t xml:space="preserve">WU03 (short) → WU08 → WU09 → WU11 (2–3 progressive swings, safe area)</t>
  </si>
  <si>
    <t xml:space="preserve">Follow league rules for on-deck swings and timing.</t>
  </si>
  <si>
    <t xml:space="preserve">WR6</t>
  </si>
  <si>
    <t xml:space="preserve">Cold-Weather Adjustment</t>
  </si>
  <si>
    <t xml:space="preserve">15–20 min</t>
  </si>
  <si>
    <t xml:space="preserve">Cold days</t>
  </si>
  <si>
    <t xml:space="preserve">Extend WU01–WU02; repeat WU06–WU08; extra progressive dry swings before any contact</t>
  </si>
  <si>
    <t xml:space="preserve">Layer clothing; extend gradually; don't rush to full intent.</t>
  </si>
  <si>
    <t xml:space="preserve">Warm-Up Library (WU01–WU14)</t>
  </si>
  <si>
    <t xml:space="preserve">Easier option</t>
  </si>
  <si>
    <t xml:space="preserve">WU01</t>
  </si>
  <si>
    <t xml:space="preserve">Easy Locomotion</t>
  </si>
  <si>
    <t xml:space="preserve">Raise body temperature</t>
  </si>
  <si>
    <t xml:space="preserve">Walk, march, or jog easily.</t>
  </si>
  <si>
    <t xml:space="preserve">2–3 min</t>
  </si>
  <si>
    <t xml:space="preserve">Easy and relaxed.</t>
  </si>
  <si>
    <t xml:space="preserve">Walk only</t>
  </si>
  <si>
    <t xml:space="preserve">WU02</t>
  </si>
  <si>
    <t xml:space="preserve">Lateral Shuffles</t>
  </si>
  <si>
    <t xml:space="preserve">Lateral movement and footwork</t>
  </si>
  <si>
    <t xml:space="preserve">Short controlled shuffles both directions.</t>
  </si>
  <si>
    <t xml:space="preserve">2 × 10 m each way</t>
  </si>
  <si>
    <t xml:space="preserve">Light, quick feet.</t>
  </si>
  <si>
    <t xml:space="preserve">Side steps</t>
  </si>
  <si>
    <t xml:space="preserve">WU03</t>
  </si>
  <si>
    <t xml:space="preserve">Knee Lifts / Skips</t>
  </si>
  <si>
    <t xml:space="preserve">Hip and leg preparation</t>
  </si>
  <si>
    <t xml:space="preserve">Marching knee lifts progressing to easy skips.</t>
  </si>
  <si>
    <t xml:space="preserve">2 × 10 m</t>
  </si>
  <si>
    <t xml:space="preserve">Tall and rhythmic.</t>
  </si>
  <si>
    <t xml:space="preserve">Marching only</t>
  </si>
  <si>
    <t xml:space="preserve">WU04</t>
  </si>
  <si>
    <t xml:space="preserve">Bodyweight Squats</t>
  </si>
  <si>
    <t xml:space="preserve">Lower-body mobility</t>
  </si>
  <si>
    <t xml:space="preserve">Comfortable-depth squats.</t>
  </si>
  <si>
    <t xml:space="preserve">6–8 reps</t>
  </si>
  <si>
    <t xml:space="preserve">Sit and stand smoothly.</t>
  </si>
  <si>
    <t xml:space="preserve">Shallower depth</t>
  </si>
  <si>
    <t xml:space="preserve">WU05</t>
  </si>
  <si>
    <t xml:space="preserve">Reverse Lunges</t>
  </si>
  <si>
    <t xml:space="preserve">Single-leg control</t>
  </si>
  <si>
    <t xml:space="preserve">Controlled step-back lunges, alternating.</t>
  </si>
  <si>
    <t xml:space="preserve">4–5 per side</t>
  </si>
  <si>
    <t xml:space="preserve">Step back, stand tall.</t>
  </si>
  <si>
    <t xml:space="preserve">Hold support</t>
  </si>
  <si>
    <t xml:space="preserve">WU06</t>
  </si>
  <si>
    <t xml:space="preserve">Lateral Weight Shifts</t>
  </si>
  <si>
    <t xml:space="preserve">Hip loading side to side</t>
  </si>
  <si>
    <t xml:space="preserve">Wide stance; shift weight hip to hip.</t>
  </si>
  <si>
    <t xml:space="preserve">6 per side</t>
  </si>
  <si>
    <t xml:space="preserve">Sit into each hip.</t>
  </si>
  <si>
    <t xml:space="preserve">Smaller range</t>
  </si>
  <si>
    <t xml:space="preserve">WU07</t>
  </si>
  <si>
    <t xml:space="preserve">Hip Hinges</t>
  </si>
  <si>
    <t xml:space="preserve">Posture and hamstrings</t>
  </si>
  <si>
    <t xml:space="preserve">Push hips back with a long spine, then stand.</t>
  </si>
  <si>
    <t xml:space="preserve">Hips back, chest proud.</t>
  </si>
  <si>
    <t xml:space="preserve">Hands on thighs</t>
  </si>
  <si>
    <t xml:space="preserve">WU08</t>
  </si>
  <si>
    <t xml:space="preserve">Trunk Turns</t>
  </si>
  <si>
    <t xml:space="preserve">Comfortable rotation</t>
  </si>
  <si>
    <t xml:space="preserve">Controlled trunk rotations in a batting-width stance.</t>
  </si>
  <si>
    <t xml:space="preserve">Turn smoothly; no forcing.</t>
  </si>
  <si>
    <t xml:space="preserve">WU09</t>
  </si>
  <si>
    <t xml:space="preserve">Arm Circles &amp; Wrist Prep</t>
  </si>
  <si>
    <t xml:space="preserve">Shoulder and wrist readiness</t>
  </si>
  <si>
    <t xml:space="preserve">Small-to-large arm circles; wrist circles and gentle flexion/extension.</t>
  </si>
  <si>
    <t xml:space="preserve">10 each</t>
  </si>
  <si>
    <t xml:space="preserve">Smooth and easy.</t>
  </si>
  <si>
    <t xml:space="preserve">Smaller circles</t>
  </si>
  <si>
    <t xml:space="preserve">WU10</t>
  </si>
  <si>
    <t xml:space="preserve">Band Pull-Aparts (optional)</t>
  </si>
  <si>
    <t xml:space="preserve">Upper-back activation</t>
  </si>
  <si>
    <t xml:space="preserve">Light band pulled apart at chest height.</t>
  </si>
  <si>
    <t xml:space="preserve">8–10 reps</t>
  </si>
  <si>
    <t xml:space="preserve">Squeeze shoulder blades lightly.</t>
  </si>
  <si>
    <t xml:space="preserve">Skip</t>
  </si>
  <si>
    <t xml:space="preserve">WU11</t>
  </si>
  <si>
    <t xml:space="preserve">Progressive Dry Swings</t>
  </si>
  <si>
    <t xml:space="preserve">Groove the swing</t>
  </si>
  <si>
    <t xml:space="preserve">Easy → moderate → normal effort swings with the game bat.</t>
  </si>
  <si>
    <t xml:space="preserve">Normal swing, free turn.</t>
  </si>
  <si>
    <t xml:space="preserve">Fewer swings</t>
  </si>
  <si>
    <t xml:space="preserve">WU12</t>
  </si>
  <si>
    <t xml:space="preserve">Progressive Tee Contact</t>
  </si>
  <si>
    <t xml:space="preserve">First contact</t>
  </si>
  <si>
    <t xml:space="preserve">Middle tee, building effort (see H01).</t>
  </si>
  <si>
    <t xml:space="preserve">Square it, then add speed.</t>
  </si>
  <si>
    <t xml:space="preserve">Softer effort</t>
  </si>
  <si>
    <t xml:space="preserve">WU13</t>
  </si>
  <si>
    <t xml:space="preserve">Predictable Toss Progression</t>
  </si>
  <si>
    <t xml:space="preserve">Add timing</t>
  </si>
  <si>
    <t xml:space="preserve">Side or front toss at consistent middle location (H21/H22).</t>
  </si>
  <si>
    <t xml:space="preserve">Side toss only</t>
  </si>
  <si>
    <t xml:space="preserve">WU14</t>
  </si>
  <si>
    <t xml:space="preserve">Med-Ball Rehearsal Throws (optional)</t>
  </si>
  <si>
    <t xml:space="preserve">Prepare for a power block</t>
  </si>
  <si>
    <t xml:space="preserve">2–3 easy stationary throws per side (M01).</t>
  </si>
  <si>
    <t xml:space="preserve">2–3 per side</t>
  </si>
  <si>
    <t xml:space="preserve">Easy load, easy turn.</t>
  </si>
  <si>
    <t xml:space="preserve">Troubleshooting Common Swing Flaws (T01–T18)</t>
  </si>
  <si>
    <t xml:space="preserve">Observe → form a hypothesis → test one change → retest. One visible result can have several causes.</t>
  </si>
  <si>
    <t xml:space="preserve">Issue</t>
  </si>
  <si>
    <t xml:space="preserve">Checks to distinguish causes</t>
  </si>
  <si>
    <t xml:space="preserve">Possible contributors</t>
  </si>
  <si>
    <t xml:space="preserve">Recommended drills</t>
  </si>
  <si>
    <t xml:space="preserve">Avoid</t>
  </si>
  <si>
    <t xml:space="preserve">Progress marker</t>
  </si>
  <si>
    <t xml:space="preserve">Retest</t>
  </si>
  <si>
    <t xml:space="preserve">T01</t>
  </si>
  <si>
    <t xml:space="preserve">Stepping out / front-hip bailout</t>
  </si>
  <si>
    <t xml:space="preserve">Front foot moves away from the plate before landing, or hip/shoulder pulls away during the turn.</t>
  </si>
  <si>
    <t xml:space="preserve">Mark landing spot; compare stride-only, stride-pause, and no-stride swings to see whether it starts before or after landing.</t>
  </si>
  <si>
    <t xml:space="preserve">Stride direction habit; early pull of the front side; fear or difficulty with inside pitches; timing.</t>
  </si>
  <si>
    <t xml:space="preserve">H15, H16, H11, H24</t>
  </si>
  <si>
    <t xml:space="preserve">Locking the toe or knee closed; demanding 'stay closed' through contact.</t>
  </si>
  <si>
    <t xml:space="preserve">More consistent landings on comparable swings.</t>
  </si>
  <si>
    <t xml:space="preserve">Score 10 swings on landing before and after (Video Log).</t>
  </si>
  <si>
    <t xml:space="preserve">T02</t>
  </si>
  <si>
    <t xml:space="preserve">Diving across the plate</t>
  </si>
  <si>
    <t xml:space="preserve">Stride lands excessively toward the plate; reaching for away pitches.</t>
  </si>
  <si>
    <t xml:space="preserve">Check landing vs. intended line; check whether it happens only on away pitches.</t>
  </si>
  <si>
    <t xml:space="preserve">Overcorrecting a bailout; trying to reach outer half; plate position.</t>
  </si>
  <si>
    <t xml:space="preserve">H15, H03, H24, H08</t>
  </si>
  <si>
    <t xml:space="preserve">Let it travel; same landing.</t>
  </si>
  <si>
    <t xml:space="preserve">Moving the hitter off the plate without checking contact depth first.</t>
  </si>
  <si>
    <t xml:space="preserve">Landing stays on line on away pitches.</t>
  </si>
  <si>
    <t xml:space="preserve">Retest H08 landing consistency.</t>
  </si>
  <si>
    <t xml:space="preserve">T03</t>
  </si>
  <si>
    <t xml:space="preserve">Casting</t>
  </si>
  <si>
    <t xml:space="preserve">Hands push outward early; arms extend before the barrel is delivered; wide barrel path.</t>
  </si>
  <si>
    <t xml:space="preserve">Pitcher-facing view: distance between hands and torso at swing start.</t>
  </si>
  <si>
    <t xml:space="preserve">Sequencing; arms starting the swing; bat too heavy; reaching for outer pitches.</t>
  </si>
  <si>
    <t xml:space="preserve">H12, H13, H04, H11</t>
  </si>
  <si>
    <t xml:space="preserve">Turn without reaching.</t>
  </si>
  <si>
    <t xml:space="preserve">Hard barriers or rigid poles; telling the hitter to keep the arms bent forever.</t>
  </si>
  <si>
    <t xml:space="preserve">Less early outward hand movement on video.</t>
  </si>
  <si>
    <t xml:space="preserve">Compare Loaded-Hands Start Tee swings with normal swings.</t>
  </si>
  <si>
    <t xml:space="preserve">T04</t>
  </si>
  <si>
    <t xml:space="preserve">Hands drop during the stride</t>
  </si>
  <si>
    <t xml:space="preserve">Hands lower relative to the shoulder before or as the forward swing begins.</t>
  </si>
  <si>
    <t xml:space="preserve">Chest-facing view; compare starting hand height with landing; check whether delivery is affected.</t>
  </si>
  <si>
    <t xml:space="preserve">Load pattern; timing; posture; hands starting too high for comfort.</t>
  </si>
  <si>
    <t xml:space="preserve">H13, H14, H12</t>
  </si>
  <si>
    <t xml:space="preserve">Freezing the hands at one height; treating every lowering as a flaw.</t>
  </si>
  <si>
    <t xml:space="preserve">More consistent, usable launch position.</t>
  </si>
  <si>
    <t xml:space="preserve">Hold vs. Flow Tee Pairs comparison.</t>
  </si>
  <si>
    <t xml:space="preserve">T05</t>
  </si>
  <si>
    <t xml:space="preserve">Looping / dip-and-lift swing</t>
  </si>
  <si>
    <t xml:space="preserve">Hands or barrel dip then climb back to the ball; many popups or weak contact up in the zone.</t>
  </si>
  <si>
    <t xml:space="preserve">Check whether it's a hand dip or a barrel dip; check posture at landing.</t>
  </si>
  <si>
    <t xml:space="preserve">Hand drop; posture; excessive attack angle for the pitch.</t>
  </si>
  <si>
    <t xml:space="preserve">H04, H06, H25</t>
  </si>
  <si>
    <t xml:space="preserve">'Swing down' as a universal rule.</t>
  </si>
  <si>
    <t xml:space="preserve">Firmer line drives on high-tee and high-toss.</t>
  </si>
  <si>
    <t xml:space="preserve">High–middle tee alternation.</t>
  </si>
  <si>
    <t xml:space="preserve">T06</t>
  </si>
  <si>
    <t xml:space="preserve">Early shoulder pull</t>
  </si>
  <si>
    <t xml:space="preserve">Front shoulder opens before the barrel is delivered; contact weak to the pull side or misses away.</t>
  </si>
  <si>
    <t xml:space="preserve">Check landing first (T01); check pitch location.</t>
  </si>
  <si>
    <t xml:space="preserve">Bailout; guessing inside; trying to pull everything.</t>
  </si>
  <si>
    <t xml:space="preserve">H03, H24, H08, H11</t>
  </si>
  <si>
    <t xml:space="preserve">Turn, don't spin off.</t>
  </si>
  <si>
    <t xml:space="preserve">Holding the shoulder shut until after contact.</t>
  </si>
  <si>
    <t xml:space="preserve">Firm opposite-gap contact on away pitches.</t>
  </si>
  <si>
    <t xml:space="preserve">Away tee/toss scoring.</t>
  </si>
  <si>
    <t xml:space="preserve">T07</t>
  </si>
  <si>
    <t xml:space="preserve">Overstriding / lunging</t>
  </si>
  <si>
    <t xml:space="preserve">Long stride; head and body drift forward; weak or early contact on off-speed.</t>
  </si>
  <si>
    <t xml:space="preserve">Measure stride length on video; compare toe-tap swings.</t>
  </si>
  <si>
    <t xml:space="preserve">Trying to generate power with the stride; timing.</t>
  </si>
  <si>
    <t xml:space="preserve">H17, H15, H13, H28</t>
  </si>
  <si>
    <t xml:space="preserve">Eliminating the stride permanently.</t>
  </si>
  <si>
    <t xml:space="preserve">Shorter, repeatable stride with solid contact.</t>
  </si>
  <si>
    <t xml:space="preserve">Short-Tap Stride Tee vs. normal comparison.</t>
  </si>
  <si>
    <t xml:space="preserve">T08</t>
  </si>
  <si>
    <t xml:space="preserve">Staying back / spinning</t>
  </si>
  <si>
    <t xml:space="preserve">Weight stays over the back leg; hitter spins without moving into the front side.</t>
  </si>
  <si>
    <t xml:space="preserve">Chest-facing view of weight transfer at contact.</t>
  </si>
  <si>
    <t xml:space="preserve">Overcoaching 'stay back'; fear of lunging.</t>
  </si>
  <si>
    <t xml:space="preserve">H18, H16, H14</t>
  </si>
  <si>
    <t xml:space="preserve">Cueing 'stay back' more.</t>
  </si>
  <si>
    <t xml:space="preserve">Balanced finish over a supported front side.</t>
  </si>
  <si>
    <t xml:space="preserve">Step-In Momentum Tee vs. normal comparison.</t>
  </si>
  <si>
    <t xml:space="preserve">T09</t>
  </si>
  <si>
    <t xml:space="preserve">Late swings / getting jammed</t>
  </si>
  <si>
    <t xml:space="preserve">Contact deep and on the handle; foul balls to the opposite side.</t>
  </si>
  <si>
    <t xml:space="preserve">Check start timing and contact point vs. pitch location.</t>
  </si>
  <si>
    <t xml:space="preserve">Late start; long swing; inside-pitch contact depth.</t>
  </si>
  <si>
    <t xml:space="preserve">H22, H28, H23, H02</t>
  </si>
  <si>
    <t xml:space="preserve">Start early, be on time.</t>
  </si>
  <si>
    <t xml:space="preserve">Forcing faster hands without fixing start timing.</t>
  </si>
  <si>
    <t xml:space="preserve">More on-time contact against toss.</t>
  </si>
  <si>
    <t xml:space="preserve">Score on-time contacts out of 6.</t>
  </si>
  <si>
    <t xml:space="preserve">T10</t>
  </si>
  <si>
    <t xml:space="preserve">Early swings / rollovers</t>
  </si>
  <si>
    <t xml:space="preserve">Weak pull-side grounders; rolling over off-speed or away pitches.</t>
  </si>
  <si>
    <t xml:space="preserve">Check contact depth on away pitches; check stride timing.</t>
  </si>
  <si>
    <t xml:space="preserve">Early commitment; guessing; contact too far forward away.</t>
  </si>
  <si>
    <t xml:space="preserve">H03, H24, H28, H29</t>
  </si>
  <si>
    <t xml:space="preserve">Let it travel.</t>
  </si>
  <si>
    <t xml:space="preserve">Telling the hitter to just 'wait' without a timing task.</t>
  </si>
  <si>
    <t xml:space="preserve">Fewer rollovers on away tosses.</t>
  </si>
  <si>
    <t xml:space="preserve">Away toss contact scoring.</t>
  </si>
  <si>
    <t xml:space="preserve">T11</t>
  </si>
  <si>
    <t xml:space="preserve">Weak outside-pitch contact</t>
  </si>
  <si>
    <t xml:space="preserve">Soft contact or misses on the outer half.</t>
  </si>
  <si>
    <t xml:space="preserve">Check landing (T02) and contact depth.</t>
  </si>
  <si>
    <t xml:space="preserve">Reaching; contact too far out front; diving.</t>
  </si>
  <si>
    <t xml:space="preserve">H03, H24, H26, H08</t>
  </si>
  <si>
    <t xml:space="preserve">Moving the tee far away so the hitter must reach.</t>
  </si>
  <si>
    <t xml:space="preserve">Firm opposite-gap contact.</t>
  </si>
  <si>
    <t xml:space="preserve">H24 scoring.</t>
  </si>
  <si>
    <t xml:space="preserve">T12</t>
  </si>
  <si>
    <t xml:space="preserve">Popups / undercutting</t>
  </si>
  <si>
    <t xml:space="preserve">Many high popups; ball contacted under center.</t>
  </si>
  <si>
    <t xml:space="preserve">Check pitch height vs. swing path; check posture.</t>
  </si>
  <si>
    <t xml:space="preserve">Loop; dropping the back shoulder; attack angle too steep for the pitch.</t>
  </si>
  <si>
    <t xml:space="preserve">H04, H25, H01</t>
  </si>
  <si>
    <t xml:space="preserve">Line drive through the middle.</t>
  </si>
  <si>
    <t xml:space="preserve">Coaching a chop.</t>
  </si>
  <si>
    <t xml:space="preserve">More line drives from high and middle locations.</t>
  </si>
  <si>
    <t xml:space="preserve">Top-of-Zone Tee contact scoring.</t>
  </si>
  <si>
    <t xml:space="preserve">T13</t>
  </si>
  <si>
    <t xml:space="preserve">Ground balls / topspin</t>
  </si>
  <si>
    <t xml:space="preserve">Many hard or weak grounders; ball contacted over center.</t>
  </si>
  <si>
    <t xml:space="preserve">Check pitch height; check whether contact is early.</t>
  </si>
  <si>
    <t xml:space="preserve">Contact too far forward; rolling over; posture.</t>
  </si>
  <si>
    <t xml:space="preserve">H05, H06, H27</t>
  </si>
  <si>
    <t xml:space="preserve">Match the height; drive it.</t>
  </si>
  <si>
    <t xml:space="preserve">Telling the hitter to uppercut everything.</t>
  </si>
  <si>
    <t xml:space="preserve">More line drives on low and middle locations.</t>
  </si>
  <si>
    <t xml:space="preserve">Low-Middle-High Tee Sequence scoring.</t>
  </si>
  <si>
    <t xml:space="preserve">T14</t>
  </si>
  <si>
    <t xml:space="preserve">Abrupt posture changes / head pull</t>
  </si>
  <si>
    <t xml:space="preserve">Head or torso moves sharply during the swing; inconsistent contact.</t>
  </si>
  <si>
    <t xml:space="preserve">Video the head and torso from the chest view.</t>
  </si>
  <si>
    <t xml:space="preserve">Overswinging; posture for pitch height; fatigue.</t>
  </si>
  <si>
    <t xml:space="preserve">H06, H07, H10</t>
  </si>
  <si>
    <t xml:space="preserve">Freezing the head rigidly.</t>
  </si>
  <si>
    <t xml:space="preserve">More centered contact with steady posture.</t>
  </si>
  <si>
    <t xml:space="preserve">Reduced-Ball Tee Precision scoring.</t>
  </si>
  <si>
    <t xml:space="preserve">T15</t>
  </si>
  <si>
    <t xml:space="preserve">Chasing pitches</t>
  </si>
  <si>
    <t xml:space="preserve">Swings at pitches clearly out of the zone or attack area.</t>
  </si>
  <si>
    <t xml:space="preserve">Score swing/take decisions separately from contact.</t>
  </si>
  <si>
    <t xml:space="preserve">No plan; pressure; poor recognition.</t>
  </si>
  <si>
    <t xml:space="preserve">H33, H32, H34, H31</t>
  </si>
  <si>
    <t xml:space="preserve">Punishing every swing-and-miss.</t>
  </si>
  <si>
    <t xml:space="preserve">Higher decision rate.</t>
  </si>
  <si>
    <t xml:space="preserve">Swing-or-Take Decisions scoring.</t>
  </si>
  <si>
    <t xml:space="preserve">T16</t>
  </si>
  <si>
    <t xml:space="preserve">Freezing on hittable pitches</t>
  </si>
  <si>
    <t xml:space="preserve">Takes pitches in the attack area; falls behind in counts.</t>
  </si>
  <si>
    <t xml:space="preserve">Score takes on good pitches; ask what the hitter was looking for.</t>
  </si>
  <si>
    <t xml:space="preserve">Fear of failure; overthinking mechanics; unclear plan.</t>
  </si>
  <si>
    <t xml:space="preserve">H35, H32, H36, H31</t>
  </si>
  <si>
    <t xml:space="preserve">Ready to attack.</t>
  </si>
  <si>
    <t xml:space="preserve">Adding more mechanical cues before at-bats.</t>
  </si>
  <si>
    <t xml:space="preserve">More swings at attackable pitches.</t>
  </si>
  <si>
    <t xml:space="preserve">First-Pitch Ready Round scoring.</t>
  </si>
  <si>
    <t xml:space="preserve">T17</t>
  </si>
  <si>
    <t xml:space="preserve">Tee success, toss breakdown</t>
  </si>
  <si>
    <t xml:space="preserve">Good tee swings fall apart when the ball moves.</t>
  </si>
  <si>
    <t xml:space="preserve">Compare tee and toss video at the same checkpoint.</t>
  </si>
  <si>
    <t xml:space="preserve">Timing; tracking; too big a jump in difficulty.</t>
  </si>
  <si>
    <t xml:space="preserve">H14, H21, H22, H26, H27</t>
  </si>
  <si>
    <t xml:space="preserve">Rebuilding mechanics when the problem is timing.</t>
  </si>
  <si>
    <t xml:space="preserve">Checkpoint holds on predictable toss.</t>
  </si>
  <si>
    <t xml:space="preserve">Same checkpoint across tee → toss.</t>
  </si>
  <si>
    <t xml:space="preserve">T18</t>
  </si>
  <si>
    <t xml:space="preserve">Forcing high intent</t>
  </si>
  <si>
    <t xml:space="preserve">Effort rises but bat speed or contact repeatedly drops; rushing; old flaws return.</t>
  </si>
  <si>
    <t xml:space="preserve">Compare effort report with contact and any measured speed across rounds.</t>
  </si>
  <si>
    <t xml:space="preserve">Fatigue; chasing numbers; too much volume.</t>
  </si>
  <si>
    <t xml:space="preserve">R07, R05, H01, H22</t>
  </si>
  <si>
    <t xml:space="preserve">'One more until you beat it.'</t>
  </si>
  <si>
    <t xml:space="preserve">Speed and contact rise together.</t>
  </si>
  <si>
    <t xml:space="preserve">Two-score challenge: speed/intent + solid contacts.</t>
  </si>
  <si>
    <t xml:space="preserve">Workflow</t>
  </si>
  <si>
    <t xml:space="preserve">1 Observe</t>
  </si>
  <si>
    <t xml:space="preserve">Film 5–10 comparable swings from the same angle; note one checkpoint.</t>
  </si>
  <si>
    <t xml:space="preserve">2 Hypothesis</t>
  </si>
  <si>
    <t xml:space="preserve">Pick the most likely cause using the Checks column.</t>
  </si>
  <si>
    <t xml:space="preserve">3 Test</t>
  </si>
  <si>
    <t xml:space="preserve">Run one recommended drill with one cue.</t>
  </si>
  <si>
    <t xml:space="preserve">4 Retest</t>
  </si>
  <si>
    <t xml:space="preserve">Film the same comparable swings; log in Video Log.</t>
  </si>
  <si>
    <t xml:space="preserve">5 Decide</t>
  </si>
  <si>
    <t xml:space="preserve">Keep, adjust, or step back one level. Don't stack corrections.</t>
  </si>
  <si>
    <t xml:space="preserve">Mental Approach &amp; Pitch Selection</t>
  </si>
  <si>
    <t xml:space="preserve">Links to drills H31–H40.</t>
  </si>
  <si>
    <t xml:space="preserve">Core principles</t>
  </si>
  <si>
    <t xml:space="preserve">Principle</t>
  </si>
  <si>
    <t xml:space="preserve">Guidance</t>
  </si>
  <si>
    <t xml:space="preserve">Controllable goals</t>
  </si>
  <si>
    <t xml:space="preserve">See the ball, swing at appropriate pitches, know the task, make a committed swing.</t>
  </si>
  <si>
    <t xml:space="preserve">See it, choose it, commit.</t>
  </si>
  <si>
    <t xml:space="preserve">Decision vs. execution vs. outcome</t>
  </si>
  <si>
    <t xml:space="preserve">Score whether the swing/take was appropriate separately from contact and from the result.</t>
  </si>
  <si>
    <t xml:space="preserve">Good decision is a win.</t>
  </si>
  <si>
    <t xml:space="preserve">Prepared aggression</t>
  </si>
  <si>
    <t xml:space="preserve">Be ready to attack your pitch early — ready does not mean required to swing.</t>
  </si>
  <si>
    <t xml:space="preserve">Attack area vs. strike zone</t>
  </si>
  <si>
    <t xml:space="preserve">An attack area is the hitter's chosen damage zone, narrower than the rulebook zone early in counts.</t>
  </si>
  <si>
    <t xml:space="preserve">Confidence</t>
  </si>
  <si>
    <t xml:space="preserve">Build from recent good decisions and solid contact, not batting average.</t>
  </si>
  <si>
    <t xml:space="preserve">Stack good at-bats.</t>
  </si>
  <si>
    <t xml:space="preserve">Focus</t>
  </si>
  <si>
    <t xml:space="preserve">One thought per at-bat; save mechanics for practice.</t>
  </si>
  <si>
    <t xml:space="preserve">One thought.</t>
  </si>
  <si>
    <t xml:space="preserve">Emotional reset</t>
  </si>
  <si>
    <t xml:space="preserve">Breathe, step out within league rules, restate the plan.</t>
  </si>
  <si>
    <t xml:space="preserve">Breathe, reset, plan.</t>
  </si>
  <si>
    <t xml:space="preserve">At-bat routine</t>
  </si>
  <si>
    <t xml:space="preserve">Phase</t>
  </si>
  <si>
    <t xml:space="preserve">What to do</t>
  </si>
  <si>
    <t xml:space="preserve">Before the at-bat</t>
  </si>
  <si>
    <t xml:space="preserve">Watch the pitcher's timing and pitch mix from the dugout.</t>
  </si>
  <si>
    <t xml:space="preserve">What is he throwing?</t>
  </si>
  <si>
    <t xml:space="preserve">On deck</t>
  </si>
  <si>
    <t xml:space="preserve">Time the pitcher with rhythm swings; set one plan.</t>
  </si>
  <si>
    <t xml:space="preserve">Time him up.</t>
  </si>
  <si>
    <t xml:space="preserve">Before each pitch</t>
  </si>
  <si>
    <t xml:space="preserve">Breath; restate the attack area for the count.</t>
  </si>
  <si>
    <t xml:space="preserve">My pitch, my zone.</t>
  </si>
  <si>
    <t xml:space="preserve">Between pitches</t>
  </si>
  <si>
    <t xml:space="preserve">Brief reset within league timing rules; adjust plan to the count.</t>
  </si>
  <si>
    <t xml:space="preserve">Next pitch.</t>
  </si>
  <si>
    <t xml:space="preserve">After the at-bat</t>
  </si>
  <si>
    <t xml:space="preserve">Note one thing about the decision and one about the pitcher — not the result.</t>
  </si>
  <si>
    <t xml:space="preserve">What did I learn?</t>
  </si>
  <si>
    <t xml:space="preserve">Count approach (adapt to level and team strategy)</t>
  </si>
  <si>
    <t xml:space="preserve">Count</t>
  </si>
  <si>
    <t xml:space="preserve">Approach</t>
  </si>
  <si>
    <t xml:space="preserve">Common error</t>
  </si>
  <si>
    <t xml:space="preserve">Practice with</t>
  </si>
  <si>
    <t xml:space="preserve">0–0</t>
  </si>
  <si>
    <t xml:space="preserve">Attack a pitch in your area; take others.</t>
  </si>
  <si>
    <t xml:space="preserve">Swinging at anything because it's the first pitch.</t>
  </si>
  <si>
    <t xml:space="preserve">1–0, 2–0, 2–1, 3–1</t>
  </si>
  <si>
    <t xml:space="preserve">Narrow the attack area; look for damage.</t>
  </si>
  <si>
    <t xml:space="preserve">0–1, 1–1</t>
  </si>
  <si>
    <t xml:space="preserve">Stay with the plan; slightly wider area.</t>
  </si>
  <si>
    <t xml:space="preserve">Panicking after one strike.</t>
  </si>
  <si>
    <t xml:space="preserve">0–2, 1–2, 2–2</t>
  </si>
  <si>
    <t xml:space="preserve">Widen to protect the zone; compete; take obvious balls.</t>
  </si>
  <si>
    <t xml:space="preserve">Chasing everything to 'protect'.</t>
  </si>
  <si>
    <t xml:space="preserve">3–2</t>
  </si>
  <si>
    <t xml:space="preserve">Compete on strikes; trust the take on clear balls.</t>
  </si>
  <si>
    <t xml:space="preserve">Freezing on a hittable strike.</t>
  </si>
  <si>
    <t xml:space="preserve">Situations (runner on 2nd/3rd)</t>
  </si>
  <si>
    <t xml:space="preserve">Choose a pitch that supports the job.</t>
  </si>
  <si>
    <t xml:space="preserve">Forcing one batted-ball type regardless of pitch.</t>
  </si>
  <si>
    <t xml:space="preserve">H38, H39</t>
  </si>
  <si>
    <t xml:space="preserve">Youth coaching language</t>
  </si>
  <si>
    <t xml:space="preserve">Situation</t>
  </si>
  <si>
    <t xml:space="preserve">Say</t>
  </si>
  <si>
    <t xml:space="preserve">After a strikeout</t>
  </si>
  <si>
    <t xml:space="preserve">Did you swing at your pitch? That's the part we control.</t>
  </si>
  <si>
    <t xml:space="preserve">You have to hit that.</t>
  </si>
  <si>
    <t xml:space="preserve">After a good take</t>
  </si>
  <si>
    <t xml:space="preserve">Great take — that was a ball.</t>
  </si>
  <si>
    <t xml:space="preserve">Why didn't you swing?</t>
  </si>
  <si>
    <t xml:space="preserve">After a hard out</t>
  </si>
  <si>
    <t xml:space="preserve">That was a strong swing on a good pitch.</t>
  </si>
  <si>
    <t xml:space="preserve">Unlucky, you should have had a hit.</t>
  </si>
  <si>
    <t xml:space="preserve">Before an at-bat</t>
  </si>
  <si>
    <t xml:space="preserve">Look for your pitch and hit it hard.</t>
  </si>
  <si>
    <t xml:space="preserve">Don't strike out.</t>
  </si>
  <si>
    <t xml:space="preserve">Templates use workbook IDs. Minutes are estimates — adjust to readiness, not the clock.</t>
  </si>
  <si>
    <t xml:space="preserve">S1 – Youth Intro (≈25 min)</t>
  </si>
  <si>
    <t xml:space="preserve">Block</t>
  </si>
  <si>
    <t xml:space="preserve">Minutes</t>
  </si>
  <si>
    <t xml:space="preserve">IDs</t>
  </si>
  <si>
    <t xml:space="preserve">Coach focus</t>
  </si>
  <si>
    <t xml:space="preserve">Warm-up</t>
  </si>
  <si>
    <t xml:space="preserve">WR2 Youth Simplified Warm-Up</t>
  </si>
  <si>
    <t xml:space="preserve">Ready, not tired</t>
  </si>
  <si>
    <t xml:space="preserve">Contact</t>
  </si>
  <si>
    <t xml:space="preserve">Middle Tee Contact Baseline</t>
  </si>
  <si>
    <t xml:space="preserve">Square it up</t>
  </si>
  <si>
    <t xml:space="preserve">Fun + solid contact</t>
  </si>
  <si>
    <t xml:space="preserve">Moving ball</t>
  </si>
  <si>
    <t xml:space="preserve">Side-Angle Toss Contact</t>
  </si>
  <si>
    <t xml:space="preserve">Track it</t>
  </si>
  <si>
    <t xml:space="preserve">Wrap-up</t>
  </si>
  <si>
    <t xml:space="preserve">'What was the most fun part?'</t>
  </si>
  <si>
    <t xml:space="preserve">—</t>
  </si>
  <si>
    <t xml:space="preserve">Enjoyment</t>
  </si>
  <si>
    <t xml:space="preserve">Total minutes</t>
  </si>
  <si>
    <t xml:space="preserve">S2 – Bailout / Landing Technical (≈30 min)</t>
  </si>
  <si>
    <t xml:space="preserve">WR1 Standard Hitting Warm-Up</t>
  </si>
  <si>
    <t xml:space="preserve">Progressive</t>
  </si>
  <si>
    <t xml:space="preserve">Baseline video</t>
  </si>
  <si>
    <t xml:space="preserve">5 normal tee swings recorded</t>
  </si>
  <si>
    <t xml:space="preserve">Landing checkpoint</t>
  </si>
  <si>
    <t xml:space="preserve">Rehearsal</t>
  </si>
  <si>
    <t xml:space="preserve">No-Bat Landing Rehearsal</t>
  </si>
  <si>
    <t xml:space="preserve">Land on your spot</t>
  </si>
  <si>
    <t xml:space="preserve">Tee</t>
  </si>
  <si>
    <t xml:space="preserve">Marked Landing Tee, then Fixed-Base Tee Swings</t>
  </si>
  <si>
    <t xml:space="preserve">H15, H11</t>
  </si>
  <si>
    <t xml:space="preserve">Free turn</t>
  </si>
  <si>
    <t xml:space="preserve">Transfer</t>
  </si>
  <si>
    <t xml:space="preserve">Steady Middle Front Toss, then Outside-Lane Front Toss</t>
  </si>
  <si>
    <t xml:space="preserve">H22, H24</t>
  </si>
  <si>
    <t xml:space="preserve">Same landing</t>
  </si>
  <si>
    <t xml:space="preserve">5 normal swings recorded</t>
  </si>
  <si>
    <t xml:space="preserve">Compare with baseline</t>
  </si>
  <si>
    <t xml:space="preserve">S3 – Hand Drop / Casting Technical (≈30 min)</t>
  </si>
  <si>
    <t xml:space="preserve">Hand-Position Freeze Check</t>
  </si>
  <si>
    <t xml:space="preserve">Arrive ready</t>
  </si>
  <si>
    <t xml:space="preserve">Stride, Hold, Swing Tee → Hold vs. Flow Tee Pairs → Loaded-Hands Start Tee</t>
  </si>
  <si>
    <t xml:space="preserve">Turn from here</t>
  </si>
  <si>
    <t xml:space="preserve">Height</t>
  </si>
  <si>
    <t xml:space="preserve">Top-of-Zone Tee</t>
  </si>
  <si>
    <t xml:space="preserve">Match the high pitch</t>
  </si>
  <si>
    <t xml:space="preserve">Steady Middle Front Toss</t>
  </si>
  <si>
    <t xml:space="preserve">Same ready position</t>
  </si>
  <si>
    <t xml:space="preserve">S4 – Med-Ball + Hitting Power (≈35 min)</t>
  </si>
  <si>
    <t xml:space="preserve">WR3 Medicine-Ball-to-Hitting Prep</t>
  </si>
  <si>
    <t xml:space="preserve">Coordinated</t>
  </si>
  <si>
    <t xml:space="preserve">Power block</t>
  </si>
  <si>
    <t xml:space="preserve">One selected drill, 2 × 3 per side (12 throws)</t>
  </si>
  <si>
    <t xml:space="preserve">M01 or M05</t>
  </si>
  <si>
    <t xml:space="preserve">Fast, controlled releases</t>
  </si>
  <si>
    <t xml:space="preserve">Recovery</t>
  </si>
  <si>
    <t xml:space="preserve">Rest; 2–3 dry swings</t>
  </si>
  <si>
    <t xml:space="preserve">Reset</t>
  </si>
  <si>
    <t xml:space="preserve">4–6 tee swings</t>
  </si>
  <si>
    <t xml:space="preserve">Square it, then add speed</t>
  </si>
  <si>
    <t xml:space="preserve">Toss</t>
  </si>
  <si>
    <t xml:space="preserve">Steady Middle Front Toss → Mixed-Location Read Toss with takes</t>
  </si>
  <si>
    <t xml:space="preserve">H22, H27</t>
  </si>
  <si>
    <t xml:space="preserve">Attack a good pitch</t>
  </si>
  <si>
    <t xml:space="preserve">S5 – High-Intent Feedback (≈28 min)</t>
  </si>
  <si>
    <t xml:space="preserve">Readiness + warm-up</t>
  </si>
  <si>
    <t xml:space="preserve">Readiness Log check; WR1</t>
  </si>
  <si>
    <t xml:space="preserve">Ready and comfortable</t>
  </si>
  <si>
    <t xml:space="preserve">Baseline</t>
  </si>
  <si>
    <t xml:space="preserve">5 tee swings at game intent</t>
  </si>
  <si>
    <t xml:space="preserve">Contact baseline</t>
  </si>
  <si>
    <t xml:space="preserve">Feedback</t>
  </si>
  <si>
    <t xml:space="preserve">Two 3-swing rounds with review</t>
  </si>
  <si>
    <t xml:space="preserve">One task, one cue</t>
  </si>
  <si>
    <t xml:space="preserve">Two 4-swing rounds of Steady Middle Front Toss</t>
  </si>
  <si>
    <t xml:space="preserve">Speed + timing</t>
  </si>
  <si>
    <t xml:space="preserve">Decisions</t>
  </si>
  <si>
    <t xml:space="preserve">6–8 mixed tosses with takes</t>
  </si>
  <si>
    <t xml:space="preserve">Attack appropriate pitches</t>
  </si>
  <si>
    <t xml:space="preserve">Review</t>
  </si>
  <si>
    <t xml:space="preserve">Log results</t>
  </si>
  <si>
    <t xml:space="preserve">What to repeat next time</t>
  </si>
  <si>
    <t xml:space="preserve">S6 – Pitch Selection &amp; Counts (≈35 min)</t>
  </si>
  <si>
    <t xml:space="preserve">Recognition</t>
  </si>
  <si>
    <t xml:space="preserve">Track two</t>
  </si>
  <si>
    <t xml:space="preserve">Selection</t>
  </si>
  <si>
    <t xml:space="preserve">Swing-or-Take Decisions, then Single-Zone Hunt</t>
  </si>
  <si>
    <t xml:space="preserve">H33, H32</t>
  </si>
  <si>
    <t xml:space="preserve">Counts</t>
  </si>
  <si>
    <t xml:space="preserve">Advantage-count and two-strike at-bats</t>
  </si>
  <si>
    <t xml:space="preserve">H36, H37</t>
  </si>
  <si>
    <t xml:space="preserve">Get your pitch / compete</t>
  </si>
  <si>
    <t xml:space="preserve">Live</t>
  </si>
  <si>
    <t xml:space="preserve">Full-Count Live Battles</t>
  </si>
  <si>
    <t xml:space="preserve">Compete, then review</t>
  </si>
  <si>
    <t xml:space="preserve">S7 – Game-Day Prep (≈15 min)</t>
  </si>
  <si>
    <t xml:space="preserve">WR4 Game-Day Routine</t>
  </si>
  <si>
    <t xml:space="preserve">Familiar only</t>
  </si>
  <si>
    <t xml:space="preserve">Middle Tee Contact Baseline</t>
  </si>
  <si>
    <t xml:space="preserve">Timing</t>
  </si>
  <si>
    <t xml:space="preserve">Steady Middle Front Toss if available</t>
  </si>
  <si>
    <t xml:space="preserve">See the release</t>
  </si>
  <si>
    <t xml:space="preserve">S8 – Offseason Weekly Plan (example)</t>
  </si>
  <si>
    <t xml:space="preserve">Monday</t>
  </si>
  <si>
    <t xml:space="preserve">S4 with Standing Hip-Turn Toss (M01)</t>
  </si>
  <si>
    <t xml:space="preserve">M01, H11, H01</t>
  </si>
  <si>
    <t xml:space="preserve">Power + contact</t>
  </si>
  <si>
    <t xml:space="preserve">Tuesday</t>
  </si>
  <si>
    <t xml:space="preserve">S2 or S3 technical</t>
  </si>
  <si>
    <t xml:space="preserve">See S2/S3</t>
  </si>
  <si>
    <t xml:space="preserve">One checkpoint</t>
  </si>
  <si>
    <t xml:space="preserve">Wednesday</t>
  </si>
  <si>
    <t xml:space="preserve">Recovery / other planned training</t>
  </si>
  <si>
    <t xml:space="preserve">Don't add work to fill the day</t>
  </si>
  <si>
    <t xml:space="preserve">Thursday</t>
  </si>
  <si>
    <t xml:space="preserve">S4 with M02 (or M06 if ready)</t>
  </si>
  <si>
    <t xml:space="preserve">M02, H15, H22</t>
  </si>
  <si>
    <t xml:space="preserve">Landing + timing</t>
  </si>
  <si>
    <t xml:space="preserve">Friday</t>
  </si>
  <si>
    <t xml:space="preserve">S6 pitch selection</t>
  </si>
  <si>
    <t xml:space="preserve">H31–H40</t>
  </si>
  <si>
    <t xml:space="preserve">Weekend</t>
  </si>
  <si>
    <t xml:space="preserve">Games / practice / rest per schedule</t>
  </si>
  <si>
    <t xml:space="preserve">Count total baseball load</t>
  </si>
  <si>
    <t xml:space="preserve">Build your own</t>
  </si>
  <si>
    <t xml:space="preserve">Parents' Guide to Home Practice</t>
  </si>
  <si>
    <t xml:space="preserve">Short, optional, safe, and fun. One coach-approved goal at a time.</t>
  </si>
  <si>
    <t xml:space="preserve">Start here</t>
  </si>
  <si>
    <t xml:space="preserve">Step 1</t>
  </si>
  <si>
    <t xml:space="preserve">Ask the coach for ONE current goal and ONE cue (use the Coach-Parent Plan sheet).</t>
  </si>
  <si>
    <t xml:space="preserve">Step 2</t>
  </si>
  <si>
    <t xml:space="preserve">Check willingness: home practice is optional and short.</t>
  </si>
  <si>
    <t xml:space="preserve">Step 3</t>
  </si>
  <si>
    <t xml:space="preserve">Check readiness: no pain, not exhausted, not right after a heavy game or pitching day.</t>
  </si>
  <si>
    <t xml:space="preserve">Step 4</t>
  </si>
  <si>
    <t xml:space="preserve">Check the space with the Home Safety Checklist.</t>
  </si>
  <si>
    <t xml:space="preserve">Step 5</t>
  </si>
  <si>
    <t xml:space="preserve">Pick one session from Sample Home Sessions (10–15 min).</t>
  </si>
  <si>
    <t xml:space="preserve">Step 6</t>
  </si>
  <si>
    <t xml:space="preserve">Use the Parent Language guide: praise decisions and effort, not results.</t>
  </si>
  <si>
    <t xml:space="preserve">Step 7</t>
  </si>
  <si>
    <t xml:space="preserve">Log the session in the Practice Log with Context = Home.</t>
  </si>
  <si>
    <t xml:space="preserve">Step 8</t>
  </si>
  <si>
    <t xml:space="preserve">Stop for pain and tell the coach. Count games, lessons, and team practice before adding home work.</t>
  </si>
  <si>
    <t xml:space="preserve">Home safety checklist</t>
  </si>
  <si>
    <t xml:space="preserve">Why</t>
  </si>
  <si>
    <t xml:space="preserve">Done? (Y/N)</t>
  </si>
  <si>
    <t xml:space="preserve">Fitted batting helmet worn for all hitting</t>
  </si>
  <si>
    <t xml:space="preserve">Protects against mishits and rebounds</t>
  </si>
  <si>
    <t xml:space="preserve">Clear swing radius — no people, pets, cars, or windows nearby</t>
  </si>
  <si>
    <t xml:space="preserve">Bats travel farther than expected</t>
  </si>
  <si>
    <t xml:space="preserve">Net rated for baseballs and anchored</t>
  </si>
  <si>
    <t xml:space="preserve">Prevents rebounds and runaway balls</t>
  </si>
  <si>
    <t xml:space="preserve">Tosser behind a protective screen (front toss) or safely offset (side toss)</t>
  </si>
  <si>
    <t xml:space="preserve">Protects the parent</t>
  </si>
  <si>
    <t xml:space="preserve">Bat sized and league-legal for the player</t>
  </si>
  <si>
    <t xml:space="preserve">Correct swing and safety</t>
  </si>
  <si>
    <t xml:space="preserve">Soft or practice balls in small spaces</t>
  </si>
  <si>
    <t xml:space="preserve">Reduces damage risk</t>
  </si>
  <si>
    <t xml:space="preserve">Retrieve balls only when swinging has stopped</t>
  </si>
  <si>
    <t xml:space="preserve">Avoids being hit</t>
  </si>
  <si>
    <t xml:space="preserve">Dry footing; no practice in lightning or extreme heat</t>
  </si>
  <si>
    <t xml:space="preserve">Weather safety</t>
  </si>
  <si>
    <t xml:space="preserve">Stop immediately for pain</t>
  </si>
  <si>
    <t xml:space="preserve">Pain is not a coaching problem</t>
  </si>
  <si>
    <t xml:space="preserve">Home practice menu (reuses workbook drills)</t>
  </si>
  <si>
    <t xml:space="preserve">Option</t>
  </si>
  <si>
    <t xml:space="preserve">Drill ID</t>
  </si>
  <si>
    <t xml:space="preserve">Swings</t>
  </si>
  <si>
    <t xml:space="preserve">Space</t>
  </si>
  <si>
    <t xml:space="preserve">Tee at middle; broad target</t>
  </si>
  <si>
    <t xml:space="preserve">4–6</t>
  </si>
  <si>
    <t xml:space="preserve">Square it up.</t>
  </si>
  <si>
    <t xml:space="preserve">Small</t>
  </si>
  <si>
    <t xml:space="preserve">Top-of-Zone Tee</t>
  </si>
  <si>
    <t xml:space="preserve">Tee at top of zone</t>
  </si>
  <si>
    <t xml:space="preserve">Bottom-of-Zone Tee</t>
  </si>
  <si>
    <t xml:space="preserve">Tee at bottom of zone</t>
  </si>
  <si>
    <t xml:space="preserve">Get to the low pitch.</t>
  </si>
  <si>
    <t xml:space="preserve">Low-Middle-High Tee Sequence</t>
  </si>
  <si>
    <t xml:space="preserve">Low → middle → high</t>
  </si>
  <si>
    <t xml:space="preserve">Fixed-Base Tee Swings</t>
  </si>
  <si>
    <t xml:space="preserve">Feet near landing width</t>
  </si>
  <si>
    <t xml:space="preserve">Stride, Hold, Swing Tee</t>
  </si>
  <si>
    <t xml:space="preserve">Marked Landing Tee</t>
  </si>
  <si>
    <t xml:space="preserve">Tape landing mark</t>
  </si>
  <si>
    <t xml:space="preserve">Parent safely offset</t>
  </si>
  <si>
    <t xml:space="preserve">Medium</t>
  </si>
  <si>
    <t xml:space="preserve">No-Bat Landing Rehearsal</t>
  </si>
  <si>
    <t xml:space="preserve">Tape mark only</t>
  </si>
  <si>
    <t xml:space="preserve">Indoor OK</t>
  </si>
  <si>
    <t xml:space="preserve">Sample home sessions</t>
  </si>
  <si>
    <t xml:space="preserve">Session</t>
  </si>
  <si>
    <t xml:space="preserve">Sequence</t>
  </si>
  <si>
    <t xml:space="preserve">Quick contact (10 min)</t>
  </si>
  <si>
    <t xml:space="preserve">Easy movement → 4 dry swings → H01 × 4 → H04 × 4 → 'What felt good?'</t>
  </si>
  <si>
    <t xml:space="preserve">Landing focus (12 min)</t>
  </si>
  <si>
    <t xml:space="preserve">Easy movement → R01 × 5 → H15 × 5 → H01 × 4 (marker removed)</t>
  </si>
  <si>
    <t xml:space="preserve">Hands/launch focus (12 min)</t>
  </si>
  <si>
    <t xml:space="preserve">Easy movement → R03 × 4 → H13 × 4 → H14 × 4 pairs</t>
  </si>
  <si>
    <t xml:space="preserve">Moving ball (15 min)</t>
  </si>
  <si>
    <t xml:space="preserve">Easy movement → H01 × 4 → H21 × 6 → H21 × 4 with a target</t>
  </si>
  <si>
    <t xml:space="preserve">No-bat / small space (8 min)</t>
  </si>
  <si>
    <t xml:space="preserve">Easy movement → R01 × 5 → R03 × 5 → visualize 3 at-bats with a plan</t>
  </si>
  <si>
    <t xml:space="preserve">Parent language</t>
  </si>
  <si>
    <t xml:space="preserve">Try saying</t>
  </si>
  <si>
    <t xml:space="preserve">A miss or weak contact</t>
  </si>
  <si>
    <t xml:space="preserve">Good effort — next one, see the ball a little longer.</t>
  </si>
  <si>
    <t xml:space="preserve">What are you doing? / You always do that.</t>
  </si>
  <si>
    <t xml:space="preserve">Frustration</t>
  </si>
  <si>
    <t xml:space="preserve">Let's take a breath and do one easy swing.</t>
  </si>
  <si>
    <t xml:space="preserve">Stop crying, just hit it.</t>
  </si>
  <si>
    <t xml:space="preserve">A good take</t>
  </si>
  <si>
    <t xml:space="preserve">Great decision — that was a ball.</t>
  </si>
  <si>
    <t xml:space="preserve">A solid swing</t>
  </si>
  <si>
    <t xml:space="preserve">That was solid — how did it feel?</t>
  </si>
  <si>
    <t xml:space="preserve">Finally.</t>
  </si>
  <si>
    <t xml:space="preserve">Ending the session</t>
  </si>
  <si>
    <t xml:space="preserve">What was the most fun part today?</t>
  </si>
  <si>
    <t xml:space="preserve">We're not stopping until you hit 10 good ones.</t>
  </si>
  <si>
    <t xml:space="preserve">Coach–Parent Home Plan</t>
  </si>
  <si>
    <t xml:space="preserve">Coach fills one row per player; share only that player's row with the family.</t>
  </si>
  <si>
    <t xml:space="preserve">Current goal</t>
  </si>
  <si>
    <t xml:space="preserve">Approved home drills (IDs)</t>
  </si>
  <si>
    <t xml:space="preserve">Restrictions / avoid</t>
  </si>
  <si>
    <t xml:space="preserve">Weekly home limit</t>
  </si>
  <si>
    <t xml:space="preserve">Parent acknowledged (Y/N)</t>
  </si>
  <si>
    <t xml:space="preserve">Practice Log — Hitting</t>
  </si>
  <si>
    <t xml:space="preserve">One row per drill round. Yellow = input. Gray = automatic. Leave unassessed measures blank (blank ≠ 0).</t>
  </si>
  <si>
    <t xml:space="preserve">Date</t>
  </si>
  <si>
    <t xml:space="preserve">Context</t>
  </si>
  <si>
    <t xml:space="preserve">Drill name</t>
  </si>
  <si>
    <t xml:space="preserve">Minutes (this round)</t>
  </si>
  <si>
    <t xml:space="preserve">Solid contacts</t>
  </si>
  <si>
    <t xml:space="preserve">Decision pitches assessed</t>
  </si>
  <si>
    <t xml:space="preserve">Correct decisions</t>
  </si>
  <si>
    <t xml:space="preserve">Landings assessed</t>
  </si>
  <si>
    <t xml:space="preserve">Intended landings</t>
  </si>
  <si>
    <t xml:space="preserve">Enjoyment (1–5)</t>
  </si>
  <si>
    <t xml:space="preserve">Pain? (Y/N)</t>
  </si>
  <si>
    <t xml:space="preserve">Cue used</t>
  </si>
  <si>
    <t xml:space="preserve">Day key</t>
  </si>
  <si>
    <t xml:space="preserve">Day-context key</t>
  </si>
  <si>
    <t xml:space="preserve">Entry check</t>
  </si>
  <si>
    <t xml:space="preserve">Power Log — Medicine Ball</t>
  </si>
  <si>
    <t xml:space="preserve">Total throws = sets × reps × sides.</t>
  </si>
  <si>
    <t xml:space="preserve">Exercise ID</t>
  </si>
  <si>
    <t xml:space="preserve">Ball weight (lb)</t>
  </si>
  <si>
    <t xml:space="preserve">Sets</t>
  </si>
  <si>
    <t xml:space="preserve">Reps per side</t>
  </si>
  <si>
    <t xml:space="preserve">Sides (1 or 2)</t>
  </si>
  <si>
    <t xml:space="preserve">Total throws</t>
  </si>
  <si>
    <t xml:space="preserve">Rest (sec)</t>
  </si>
  <si>
    <t xml:space="preserve">Quality</t>
  </si>
  <si>
    <t xml:space="preserve">Paired hitting drill</t>
  </si>
  <si>
    <t xml:space="preserve">Quick pre-session check. Any pain → modify or rest and tell the coach/parent.</t>
  </si>
  <si>
    <t xml:space="preserve">Slept well? (Y/N)</t>
  </si>
  <si>
    <t xml:space="preserve">Soreness (0–10)</t>
  </si>
  <si>
    <t xml:space="preserve">Fatigue (1–5)</t>
  </si>
  <si>
    <t xml:space="preserve">Willingness (1–5)</t>
  </si>
  <si>
    <t xml:space="preserve">Other baseball today</t>
  </si>
  <si>
    <t xml:space="preserve">Decision</t>
  </si>
  <si>
    <t xml:space="preserve">Video Log — Checkpoints &amp; Retests</t>
  </si>
  <si>
    <t xml:space="preserve">Same camera position, height, and task for before/after comparisons. 'Unclear' is a valid result.</t>
  </si>
  <si>
    <t xml:space="preserve">Camera view</t>
  </si>
  <si>
    <t xml:space="preserve">Checkpoint</t>
  </si>
  <si>
    <t xml:space="preserve">Swings reviewed</t>
  </si>
  <si>
    <t xml:space="preserve">Met goal</t>
  </si>
  <si>
    <t xml:space="preserve">Missed</t>
  </si>
  <si>
    <t xml:space="preserve">Unclear</t>
  </si>
  <si>
    <t xml:space="preserve">Met rate (of clear)</t>
  </si>
  <si>
    <t xml:space="preserve">Self-assessment matches</t>
  </si>
  <si>
    <t xml:space="preserve">Next step</t>
  </si>
  <si>
    <t xml:space="preserve">Progress Dashboard</t>
  </si>
  <si>
    <t xml:space="preserve">Choose a player, dates, and context. Results count only Practice Log rows matching all selections.</t>
  </si>
  <si>
    <t xml:space="preserve">SELECTIONS</t>
  </si>
  <si>
    <t xml:space="preserve">Start date</t>
  </si>
  <si>
    <t xml:space="preserve">End date</t>
  </si>
  <si>
    <t xml:space="preserve">Practice context</t>
  </si>
  <si>
    <t xml:space="preserve">← context criterion (auto)</t>
  </si>
  <si>
    <t xml:space="preserve">Baseline start (optional)</t>
  </si>
  <si>
    <t xml:space="preserve">Baseline end (optional)</t>
  </si>
  <si>
    <t xml:space="preserve">KEY METRICS</t>
  </si>
  <si>
    <t xml:space="preserve">Metric</t>
  </si>
  <si>
    <t xml:space="preserve">Selected period</t>
  </si>
  <si>
    <t xml:space="preserve">Based on</t>
  </si>
  <si>
    <t xml:space="preserve">Baseline period</t>
  </si>
  <si>
    <t xml:space="preserve">Change</t>
  </si>
  <si>
    <t xml:space="preserve">Practice days</t>
  </si>
  <si>
    <t xml:space="preserve">Unique player-dates</t>
  </si>
  <si>
    <t xml:space="preserve">Logged rounds</t>
  </si>
  <si>
    <t xml:space="preserve">Practice Log rows</t>
  </si>
  <si>
    <t xml:space="preserve">Sum of round minutes</t>
  </si>
  <si>
    <t xml:space="preserve">Recorded swings</t>
  </si>
  <si>
    <t xml:space="preserve">Solid-contact rate</t>
  </si>
  <si>
    <t xml:space="preserve">Decision rate</t>
  </si>
  <si>
    <t xml:space="preserve">Intended-landing rate</t>
  </si>
  <si>
    <t xml:space="preserve">Average enjoyment (1–5)</t>
  </si>
  <si>
    <t xml:space="preserve">Rated rounds</t>
  </si>
  <si>
    <t xml:space="preserve">Pain flags</t>
  </si>
  <si>
    <t xml:space="preserve">Rounds marked Y</t>
  </si>
  <si>
    <t xml:space="preserve">Entry flags to fix</t>
  </si>
  <si>
    <t xml:space="preserve">See Entry check column</t>
  </si>
  <si>
    <t xml:space="preserve">Rates use total assessed attempts (not an average of round percentages). Blank assessments are excluded, not counted as zero.</t>
  </si>
  <si>
    <t xml:space="preserve">BY PRACTICE CONTEXT (selected player and dates; ignores context filter)</t>
  </si>
  <si>
    <t xml:space="preserve">Rounds</t>
  </si>
  <si>
    <t xml:space="preserve">Landing rate</t>
  </si>
  <si>
    <t xml:space="preserve">Home</t>
  </si>
  <si>
    <t xml:space="preserve">Other</t>
  </si>
  <si>
    <t xml:space="preserve">WEEKLY TREND (7-day blocks from the start date; uses context filter)</t>
  </si>
  <si>
    <t xml:space="preserve">Week</t>
  </si>
  <si>
    <t xml:space="preserve">Week start</t>
  </si>
  <si>
    <t xml:space="preserve">Week end</t>
  </si>
  <si>
    <t xml:space="preserve">Week 1</t>
  </si>
  <si>
    <t xml:space="preserve">Week 2</t>
  </si>
  <si>
    <t xml:space="preserve">Export button: see Export &amp; Macro Guide, Part 3 (add a Form Control button here assigned to ExportPlayerReport).</t>
  </si>
  <si>
    <t xml:space="preserve">Week 3</t>
  </si>
  <si>
    <t xml:space="preserve">Week 4</t>
  </si>
  <si>
    <t xml:space="preserve">Week 5</t>
  </si>
  <si>
    <t xml:space="preserve">Week 6</t>
  </si>
  <si>
    <t xml:space="preserve">Week 7</t>
  </si>
  <si>
    <t xml:space="preserve">Week 8</t>
  </si>
  <si>
    <t xml:space="preserve">Week 9</t>
  </si>
  <si>
    <t xml:space="preserve">Week 10</t>
  </si>
  <si>
    <t xml:space="preserve">Week 11</t>
  </si>
  <si>
    <t xml:space="preserve">Week 12</t>
  </si>
  <si>
    <t xml:space="preserve">Shows up to 12 weeks. For longer periods, move the start date forward.</t>
  </si>
  <si>
    <t xml:space="preserve">Player Hitting Progress Report</t>
  </si>
  <si>
    <t xml:space="preserve">Player</t>
  </si>
  <si>
    <t xml:space="preserve">Reporting period</t>
  </si>
  <si>
    <t xml:space="preserve">Measure</t>
  </si>
  <si>
    <t xml:space="preserve">Result</t>
  </si>
  <si>
    <t xml:space="preserve">Days with practice recorded</t>
  </si>
  <si>
    <t xml:space="preserve">Drill rounds</t>
  </si>
  <si>
    <t xml:space="preserve">Drill rounds recorded</t>
  </si>
  <si>
    <t xml:space="preserve">Minutes recorded</t>
  </si>
  <si>
    <t xml:space="preserve">Swings recorded</t>
  </si>
  <si>
    <t xml:space="preserve">Good swing/take decisions</t>
  </si>
  <si>
    <t xml:space="preserve">Intended front-foot landing</t>
  </si>
  <si>
    <t xml:space="preserve">Player-rated, 1 (low) to 5 (high)</t>
  </si>
  <si>
    <t xml:space="preserve">What went well</t>
  </si>
  <si>
    <t xml:space="preserve">Next focus</t>
  </si>
  <si>
    <t xml:space="preserve">Optional home practice</t>
  </si>
  <si>
    <t xml:space="preserve">Coach note</t>
  </si>
  <si>
    <t xml:space="preserve">Prepared by</t>
  </si>
  <si>
    <t xml:space="preserve">Report date</t>
  </si>
  <si>
    <t xml:space="preserve">Results reflect only the practice rounds the coach recorded for this period. Rates show attempts that were assessed. This is a coaching summary, not a medical or readiness evaluation. Questions? Please talk with the coach.</t>
  </si>
  <si>
    <t xml:space="preserve">Filled automatically by the macro (or enter manually). Records creation, not delivery.</t>
  </si>
  <si>
    <t xml:space="preserve">Exported (date/time)</t>
  </si>
  <si>
    <t xml:space="preserve">Period start</t>
  </si>
  <si>
    <t xml:space="preserve">Period end</t>
  </si>
  <si>
    <t xml:space="preserve">File name</t>
  </si>
  <si>
    <t xml:space="preserve">Version</t>
  </si>
  <si>
    <t xml:space="preserve">Status / sent to</t>
  </si>
  <si>
    <t xml:space="preserve">Export, Privacy &amp; Macro Guide</t>
  </si>
  <si>
    <t xml:space="preserve">The macro file PlayerReports.bas is included in the ZIP. Macros run only in desktop Excel (Windows or Mac), not Excel for the web.</t>
  </si>
  <si>
    <t xml:space="preserve">Part 1 — Manual PDF export (no macro needed)</t>
  </si>
  <si>
    <t xml:space="preserve">Platform</t>
  </si>
  <si>
    <t xml:space="preserve">Windows</t>
  </si>
  <si>
    <t xml:space="preserve">Select the Parent Report sheet tab only → File → Save As (or Save a Copy) → Save as type: PDF → Options → 'Active sheet(s)' → Save.</t>
  </si>
  <si>
    <t xml:space="preserve">Mac</t>
  </si>
  <si>
    <t xml:space="preserve">Select the Parent Report tab only → File → Save As → File Format: PDF → choose 'Sheet' (not Workbook) → Save.</t>
  </si>
  <si>
    <t xml:space="preserve">Excel for the web</t>
  </si>
  <si>
    <t xml:space="preserve">Open Parent Report → File → Print → Printer: Save as PDF → Save.</t>
  </si>
  <si>
    <t xml:space="preserve">Part 2 — Install the macro (desktop Excel)</t>
  </si>
  <si>
    <t xml:space="preserve">Unzip the package. Open Baseball_Hitting_Development_Workbook.xlsx in desktop Excel.</t>
  </si>
  <si>
    <t xml:space="preserve">File → Save As → Excel Macro-Enabled Workbook (.xlsm). Keep the original .xlsx as a backup.</t>
  </si>
  <si>
    <t xml:space="preserve">Show the Developer tab — Windows: File → Options → Customize Ribbon → check Developer. Mac: Excel → Preferences → Ribbon &amp; Toolbar → check Developer.</t>
  </si>
  <si>
    <t xml:space="preserve">Developer → Visual Basic. In Project Explorer select VBAProject (your .xlsm file).</t>
  </si>
  <si>
    <t xml:space="preserve">File → Import File… → choose PlayerReports.bas. A module named PlayerReports appears under Modules.</t>
  </si>
  <si>
    <t xml:space="preserve">Debug → Compile VBAProject. If no error appears, close the editor and save the workbook.</t>
  </si>
  <si>
    <t xml:space="preserve">Read the code before enabling it. Trust the file per your organization's policy. Do not enable all macros globally.</t>
  </si>
  <si>
    <t xml:space="preserve">Part 3 — Add a button on the Dashboard</t>
  </si>
  <si>
    <t xml:space="preserve">Open Dashboard. Windows: Developer → Insert → Form Controls → Button. Mac: Developer → Button. (Use Form Controls, not ActiveX — ActiveX doesn't work on Mac.)</t>
  </si>
  <si>
    <t xml:space="preserve">Draw the button in an empty area (for example around J38).</t>
  </si>
  <si>
    <t xml:space="preserve">In Assign Macro: set 'Macros in' to This Workbook → choose ExportPlayerReport → OK.</t>
  </si>
  <si>
    <t xml:space="preserve">Right-click the button → Edit Text → 'Export Player Report to PDF'.</t>
  </si>
  <si>
    <t xml:space="preserve">Optional second button assigned to ClearReportComments to reset the comment boxes between players.</t>
  </si>
  <si>
    <t xml:space="preserve">Part 4 — What the macro does</t>
  </si>
  <si>
    <t xml:space="preserve">Detail</t>
  </si>
  <si>
    <t xml:space="preserve">Validates</t>
  </si>
  <si>
    <t xml:space="preserve">Required sheets exist; Player ID selected; valid dates; warns on zero rounds, entry flags, or blank comment boxes.</t>
  </si>
  <si>
    <t xml:space="preserve">Confirms</t>
  </si>
  <si>
    <t xml:space="preserve">Shows a summary and asks before exporting.</t>
  </si>
  <si>
    <t xml:space="preserve">Saves</t>
  </si>
  <si>
    <t xml:space="preserve">Windows: Save-As dialog for the PDF. Mac: saves next to the workbook (Excel may ask for folder access). Asks before replacing an existing file.</t>
  </si>
  <si>
    <t xml:space="preserve">Protects privacy</t>
  </si>
  <si>
    <t xml:space="preserve">Copies only Parent Report into a temporary values-only workbook, exports it, and closes the copy. No raw logs are included.</t>
  </si>
  <si>
    <t xml:space="preserve">Logs</t>
  </si>
  <si>
    <t xml:space="preserve">Adds a row to Export Log. Save the workbook afterward to keep it.</t>
  </si>
  <si>
    <t xml:space="preserve">Does NOT</t>
  </si>
  <si>
    <t xml:space="preserve">Email, batch-export, or confirm delivery. Always open and check the PDF before sharing.</t>
  </si>
  <si>
    <t xml:space="preserve">Part 5 — Pre-send privacy checklist</t>
  </si>
  <si>
    <t xml:space="preserve">Correct player, dates, and context on the report</t>
  </si>
  <si>
    <t xml:space="preserve">Totals and 'Based on' counts look reasonable</t>
  </si>
  <si>
    <t xml:space="preserve">Entry flags = 0 on Dashboard</t>
  </si>
  <si>
    <t xml:space="preserve">Comment boxes written for THIS player</t>
  </si>
  <si>
    <t xml:space="preserve">PDF contains one page — Parent Report only</t>
  </si>
  <si>
    <t xml:space="preserve">Recipient is the player's authorized parent/guardian</t>
  </si>
  <si>
    <t xml:space="preserve">Sent privately (not a group chat or team email)</t>
  </si>
  <si>
    <t xml:space="preserve">Export Log 'Status / sent to' updated</t>
  </si>
  <si>
    <t xml:space="preserve">Part 6 — Troubleshooting the macro</t>
  </si>
  <si>
    <t xml:space="preserve">Problem</t>
  </si>
  <si>
    <t xml:space="preserve">Fix</t>
  </si>
  <si>
    <t xml:space="preserve">Macro not in the list</t>
  </si>
  <si>
    <t xml:space="preserve">Confirm the module was imported into THIS workbook (Modules → PlayerReports) and 'Macros in' = This Workbook.</t>
  </si>
  <si>
    <t xml:space="preserve">File is .xlsx</t>
  </si>
  <si>
    <t xml:space="preserve">Save As .xlsm, then re-import the module — .xlsx cannot store macros.</t>
  </si>
  <si>
    <t xml:space="preserve">'Subscript out of range'</t>
  </si>
  <si>
    <t xml:space="preserve">A sheet was renamed. The macro needs: Dashboard, Parent Report, Export Log.</t>
  </si>
  <si>
    <t xml:space="preserve">Button runs the wrong file</t>
  </si>
  <si>
    <t xml:space="preserve">Right-click → Assign Macro → choose the macro in this workbook.</t>
  </si>
  <si>
    <t xml:space="preserve">Security warning / blocked</t>
  </si>
  <si>
    <t xml:space="preserve">Windows: right-click the file → Properties → Unblock (if downloaded), then reopen and Enable Content.</t>
  </si>
  <si>
    <t xml:space="preserve">Mac permission prompt</t>
  </si>
  <si>
    <t xml:space="preserve">Grant Excel access to the folder, or move the workbook into Documents.</t>
  </si>
  <si>
    <t xml:space="preserve">Compile error</t>
  </si>
  <si>
    <t xml:space="preserve">Debug → Compile VBAProject; note the highlighted line. Re-import a fresh copy of the .bas rather than editing blindly.</t>
  </si>
  <si>
    <t xml:space="preserve">Area</t>
  </si>
  <si>
    <t xml:space="preserve">Hitting</t>
  </si>
  <si>
    <t xml:space="preserve">Bat (sized, league-legal)</t>
  </si>
  <si>
    <t xml:space="preserve">Inspect for cracks/dents</t>
  </si>
  <si>
    <t xml:space="preserve">Fitted batting helmet (meets your league's safety certification)</t>
  </si>
  <si>
    <t xml:space="preserve">Check fit and shell every session</t>
  </si>
  <si>
    <t xml:space="preserve">Adjustable batting tee</t>
  </si>
  <si>
    <t xml:space="preserve">Stable base; correct height range</t>
  </si>
  <si>
    <t xml:space="preserve">Practice balls / smaller practice balls</t>
  </si>
  <si>
    <t xml:space="preserve">Remove damaged balls</t>
  </si>
  <si>
    <t xml:space="preserve">Hitting net or cage</t>
  </si>
  <si>
    <t xml:space="preserve">Check for holes and anchoring</t>
  </si>
  <si>
    <t xml:space="preserve">Protective screen / L-screen</t>
  </si>
  <si>
    <t xml:space="preserve">Required for front toss and live BP feeders</t>
  </si>
  <si>
    <t xml:space="preserve">Flat tape or chalk landing markers</t>
  </si>
  <si>
    <t xml:space="preserve">Must not create a trip hazard</t>
  </si>
  <si>
    <t xml:space="preserve">Medicine ball</t>
  </si>
  <si>
    <t xml:space="preserve">Light medicine ball(s) rated for wall impacts</t>
  </si>
  <si>
    <t xml:space="preserve">One per supervised lane; check seams</t>
  </si>
  <si>
    <t xml:space="preserve">Slam ball (low/no bounce) for stomps</t>
  </si>
  <si>
    <t xml:space="preserve">Never use a wall ball for slams</t>
  </si>
  <si>
    <t xml:space="preserve">Medicine-ball-rated wall or clear designated area</t>
  </si>
  <si>
    <t xml:space="preserve">No drywall, garage doors, windows, or fences</t>
  </si>
  <si>
    <t xml:space="preserve">Cones / tape for lanes and waiting lines</t>
  </si>
  <si>
    <t xml:space="preserve">Keep outside landing and retrieval paths</t>
  </si>
  <si>
    <t xml:space="preserve">Phone and tripod</t>
  </si>
  <si>
    <t xml:space="preserve">Safe position outside swing and ball paths</t>
  </si>
  <si>
    <t xml:space="preserve">Clipboard / whiteboard</t>
  </si>
  <si>
    <t xml:space="preserve">Scores and logs</t>
  </si>
  <si>
    <t xml:space="preserve">Optional</t>
  </si>
  <si>
    <t xml:space="preserve">Very light resistance band with handle + smooth anchor</t>
  </si>
  <si>
    <t xml:space="preserve">Inspect before each use; never attach to a bat</t>
  </si>
  <si>
    <t xml:space="preserve">Session safety rules</t>
  </si>
  <si>
    <t xml:space="preserve">Rule</t>
  </si>
  <si>
    <t xml:space="preserve">One hitter per lane; everyone else behind the waiting line.</t>
  </si>
  <si>
    <t xml:space="preserve">Helmet on for any hitting, including tee and toss.</t>
  </si>
  <si>
    <t xml:space="preserve">Feeder protected (screen) for front toss and live BP.</t>
  </si>
  <si>
    <t xml:space="preserve">Let medicine balls settle before retrieval; no surprise catches.</t>
  </si>
  <si>
    <t xml:space="preserve">Stop for pain, unusual fatigue, or declining coordination.</t>
  </si>
  <si>
    <t xml:space="preserve">Count all baseball activity (games, pitching, lessons, home work) when planning load.</t>
  </si>
  <si>
    <t xml:space="preserve">Youth: qualified supervision; start light and stationary; progress one variable at a time.</t>
  </si>
  <si>
    <t xml:space="preserve">Recurrent pain, swelling, or loss of motion → medical assessment.</t>
  </si>
  <si>
    <t xml:space="preserve">Basis &amp; Limitations</t>
  </si>
  <si>
    <t xml:space="preserve">Basis</t>
  </si>
  <si>
    <t xml:space="preserve">Type</t>
  </si>
  <si>
    <t xml:space="preserve">Used for</t>
  </si>
  <si>
    <t xml:space="preserve">Youth hitting progression (tee to live pitching)</t>
  </si>
  <si>
    <t xml:space="preserve">Common coaching practice</t>
  </si>
  <si>
    <t xml:space="preserve">Tee → soft toss → front toss → live-arm BP progression; contact points by location; L-screen use</t>
  </si>
  <si>
    <t xml:space="preserve">Home practice guidance</t>
  </si>
  <si>
    <t xml:space="preserve">Common coaching practice</t>
  </si>
  <si>
    <t xml:space="preserve">Home practice; inside/middle/away reaction drill</t>
  </si>
  <si>
    <t xml:space="preserve">High- and low-tee work</t>
  </si>
  <si>
    <t xml:space="preserve">Common coaching practice</t>
  </si>
  <si>
    <t xml:space="preserve">High tee purposes (high-pitch posture, flatter path, upper-body connection); low tee</t>
  </si>
  <si>
    <t xml:space="preserve">Youth hitting program structure</t>
  </si>
  <si>
    <t xml:space="preserve">Common coaching practice</t>
  </si>
  <si>
    <t xml:space="preserve">Open and closed starting stances, shuffle swings, step backs, youth set/rep structures</t>
  </si>
  <si>
    <t xml:space="preserve">Team practice stations</t>
  </si>
  <si>
    <t xml:space="preserve">Common coaching practice</t>
  </si>
  <si>
    <t xml:space="preserve">Step-in momentum swings, high/low tee, station-based practice</t>
  </si>
  <si>
    <t xml:space="preserve">Rotational medicine-ball progression</t>
  </si>
  <si>
    <t xml:space="preserve">Strength and conditioning practice</t>
  </si>
  <si>
    <t xml:space="preserve">Five-stage rotational progression; caution for 13–15-year-olds and unprepared athletes</t>
  </si>
  <si>
    <t xml:space="preserve">Medicine-ball toss variations</t>
  </si>
  <si>
    <t xml:space="preserve">Strength and conditioning practice</t>
  </si>
  <si>
    <t xml:space="preserve">Layered scoop-toss progression (shuffle, change of direction)</t>
  </si>
  <si>
    <t xml:space="preserve">Youth power-training dosage</t>
  </si>
  <si>
    <t xml:space="preserve">Published youth strength-training guidelines</t>
  </si>
  <si>
    <t xml:space="preserve">1–3 sets × 3–6 reps for youth power; not to failure; rest intervals; 2–3 nonconsecutive days; 5–10 min dynamic warm-up</t>
  </si>
  <si>
    <t xml:space="preserve">Youth resistance-training safety</t>
  </si>
  <si>
    <t xml:space="preserve">Published pediatric guidance</t>
  </si>
  <si>
    <t xml:space="preserve">Safety with proper technique and supervision</t>
  </si>
  <si>
    <t xml:space="preserve">Saving one sheet as a PDF</t>
  </si>
  <si>
    <t xml:space="preserve">Spreadsheet software help</t>
  </si>
  <si>
    <t xml:space="preserve">PDF export steps; Options for active sheet vs. workbook</t>
  </si>
  <si>
    <t xml:space="preserve">Macros in the browser version</t>
  </si>
  <si>
    <t xml:space="preserve">Spreadsheet software help</t>
  </si>
  <si>
    <t xml:space="preserve">VBA cannot run in Excel for the web; use desktop Excel</t>
  </si>
  <si>
    <t xml:space="preserve">Limitations</t>
  </si>
  <si>
    <t xml:space="preserve">• Drill categories (tee, toss, live, open/closed starting stances, high/low tee, rotational progressions) reflect common coaching practice. Specific scoring rules, round sizes, and pairings are coaching adaptations, not validated prescriptions.</t>
  </si>
  <si>
    <t xml:space="preserve">• Medicine-ball work supports rotational power; it does not directly fix casting, hand drop, or bat-to-ball timing.</t>
  </si>
  <si>
    <t xml:space="preserve">• The dashboard is a coaching record — not a diagnostic tool, readiness clearance, or comparison to age norms.</t>
  </si>
  <si>
    <t xml:space="preserve">• The VBA macro was written for desktop Excel but has not been run in Excel by the author; test on a copy first.</t>
  </si>
</sst>
</file>

<file path=xl/styles.xml><?xml version="1.0" encoding="utf-8"?>
<styleSheet xmlns="http://schemas.openxmlformats.org/spreadsheetml/2006/main">
  <numFmts count="11">
    <numFmt numFmtId="164" formatCode="General"/>
    <numFmt numFmtId="165" formatCode="mm/dd/yyyy"/>
    <numFmt numFmtId="166" formatCode="0%"/>
    <numFmt numFmtId="167" formatCode="#,##0"/>
    <numFmt numFmtId="168" formatCode="\+#,##0;\-#,##0;0"/>
    <numFmt numFmtId="169" formatCode="0.0%"/>
    <numFmt numFmtId="170" formatCode="\+0.0%;\-0.0%;0.0%"/>
    <numFmt numFmtId="171" formatCode="0.0"/>
    <numFmt numFmtId="172" formatCode="\+0.0;\-0.0;0.0"/>
    <numFmt numFmtId="173" formatCode="mmm\ d&quot;, &quot;yyyy"/>
    <numFmt numFmtId="174" formatCode="mm/dd/yyyy\ h:mm\ AM/PM"/>
  </numFmts>
  <fonts count="28">
    <font>
      <sz val="11"/>
      <color theme="1"/>
      <name val="Calibri"/>
      <family val="2"/>
      <charset val="1"/>
    </font>
    <font>
      <sz val="10"/>
      <name val="Arial"/>
      <family val="0"/>
    </font>
    <font>
      <sz val="10"/>
      <name val="Arial"/>
      <family val="0"/>
    </font>
    <font>
      <sz val="10"/>
      <name val="Arial"/>
      <family val="0"/>
    </font>
    <font>
      <b val="true"/>
      <sz val="26"/>
      <color rgb="FFFFFFFF"/>
      <name val="Calibri"/>
      <family val="0"/>
      <charset val="1"/>
    </font>
    <font>
      <sz val="12"/>
      <color rgb="FFFFFFFF"/>
      <name val="Calibri"/>
      <family val="0"/>
      <charset val="1"/>
    </font>
    <font>
      <sz val="11"/>
      <color rgb="FFDCE6F1"/>
      <name val="Calibri"/>
      <family val="0"/>
      <charset val="1"/>
    </font>
    <font>
      <b val="true"/>
      <sz val="13"/>
      <color rgb="FF1F3864"/>
      <name val="Calibri"/>
      <family val="0"/>
      <charset val="1"/>
    </font>
    <font>
      <b val="true"/>
      <sz val="11"/>
      <name val="Calibri"/>
      <family val="0"/>
      <charset val="1"/>
    </font>
    <font>
      <b val="true"/>
      <sz val="20"/>
      <color rgb="FF1F3864"/>
      <name val="Calibri"/>
      <family val="0"/>
      <charset val="1"/>
    </font>
    <font>
      <sz val="10"/>
      <name val="Calibri"/>
      <family val="0"/>
      <charset val="1"/>
    </font>
    <font>
      <b val="true"/>
      <u val="single"/>
      <sz val="12"/>
      <color rgb="FF0563C1"/>
      <name val="Calibri"/>
      <family val="0"/>
      <charset val="1"/>
    </font>
    <font>
      <sz val="9"/>
      <color rgb="FF595959"/>
      <name val="Calibri"/>
      <family val="0"/>
      <charset val="1"/>
    </font>
    <font>
      <u val="single"/>
      <sz val="9"/>
      <color rgb="FF0563C1"/>
      <name val="Calibri"/>
      <family val="0"/>
      <charset val="1"/>
    </font>
    <font>
      <b val="true"/>
      <sz val="18"/>
      <color rgb="FF1F3864"/>
      <name val="Calibri"/>
      <family val="0"/>
      <charset val="1"/>
    </font>
    <font>
      <sz val="10"/>
      <color rgb="FF595959"/>
      <name val="Calibri"/>
      <family val="0"/>
      <charset val="1"/>
    </font>
    <font>
      <b val="true"/>
      <sz val="11"/>
      <color rgb="FFFFFFFF"/>
      <name val="Calibri"/>
      <family val="0"/>
      <charset val="1"/>
    </font>
    <font>
      <u val="single"/>
      <sz val="10"/>
      <color rgb="FF0563C1"/>
      <name val="Calibri"/>
      <family val="0"/>
      <charset val="1"/>
    </font>
    <font>
      <b val="true"/>
      <sz val="10"/>
      <name val="Calibri"/>
      <family val="0"/>
      <charset val="1"/>
    </font>
    <font>
      <sz val="10"/>
      <color rgb="FFC00000"/>
      <name val="Calibri"/>
      <family val="0"/>
      <charset val="1"/>
    </font>
    <font>
      <b val="true"/>
      <sz val="12"/>
      <color rgb="FF1F3864"/>
      <name val="Calibri"/>
      <family val="0"/>
      <charset val="1"/>
    </font>
    <font>
      <sz val="11"/>
      <name val="Calibri"/>
      <family val="0"/>
      <charset val="1"/>
    </font>
    <font>
      <b val="true"/>
      <sz val="11"/>
      <color rgb="FFC00000"/>
      <name val="Calibri"/>
      <family val="0"/>
      <charset val="1"/>
    </font>
    <font>
      <sz val="8"/>
      <color rgb="FFA6A6A6"/>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FFFFFF"/>
      <name val="Calibri"/>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DCE6F1"/>
        <bgColor rgb="FFD9D9D9"/>
      </patternFill>
    </fill>
    <fill>
      <patternFill patternType="solid">
        <fgColor rgb="FFF2F2F2"/>
        <bgColor rgb="FFFCE4E4"/>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10" fillId="4"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7" fillId="0" borderId="2" xfId="0" applyFont="true" applyBorder="true" applyAlignment="true" applyProtection="false">
      <alignment horizontal="general" vertical="top" textRotation="0" wrapText="tru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5" fontId="10" fillId="3" borderId="2"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5" fontId="10" fillId="3" borderId="2" xfId="0" applyFont="true" applyBorder="true" applyAlignment="false" applyProtection="false">
      <alignment horizontal="general" vertical="bottom" textRotation="0" wrapText="false" indent="0"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6" fontId="10" fillId="5" borderId="2"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3" borderId="2"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1" fillId="5" borderId="2" xfId="0" applyFont="true" applyBorder="true" applyAlignment="false" applyProtection="false">
      <alignment horizontal="general" vertical="bottom" textRotation="0" wrapText="false" indent="0" shrinkToFit="false"/>
      <protection locked="true" hidden="false"/>
    </xf>
    <xf numFmtId="165" fontId="21" fillId="3"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left" vertical="center" textRotation="0" wrapText="false" indent="0" shrinkToFit="false"/>
      <protection locked="true" hidden="false"/>
    </xf>
    <xf numFmtId="167" fontId="8" fillId="0" borderId="2" xfId="0" applyFont="true" applyBorder="true" applyAlignment="true" applyProtection="false">
      <alignment horizontal="right" vertical="center" textRotation="0" wrapText="false" indent="0" shrinkToFit="false"/>
      <protection locked="true" hidden="false"/>
    </xf>
    <xf numFmtId="167" fontId="21" fillId="0" borderId="2" xfId="0" applyFont="true" applyBorder="true" applyAlignment="true" applyProtection="false">
      <alignment horizontal="right" vertical="center" textRotation="0" wrapText="false" indent="0" shrinkToFit="false"/>
      <protection locked="true" hidden="false"/>
    </xf>
    <xf numFmtId="168" fontId="21" fillId="0" borderId="2" xfId="0" applyFont="true" applyBorder="true" applyAlignment="true" applyProtection="false">
      <alignment horizontal="right" vertical="center" textRotation="0" wrapText="false" indent="0" shrinkToFit="false"/>
      <protection locked="true" hidden="false"/>
    </xf>
    <xf numFmtId="169" fontId="8" fillId="0" borderId="2" xfId="0" applyFont="true" applyBorder="true" applyAlignment="true" applyProtection="false">
      <alignment horizontal="right" vertical="center" textRotation="0" wrapText="false" indent="0" shrinkToFit="false"/>
      <protection locked="true" hidden="false"/>
    </xf>
    <xf numFmtId="169" fontId="21" fillId="0" borderId="2" xfId="0" applyFont="true" applyBorder="true" applyAlignment="true" applyProtection="false">
      <alignment horizontal="right" vertical="center" textRotation="0" wrapText="false" indent="0" shrinkToFit="false"/>
      <protection locked="true" hidden="false"/>
    </xf>
    <xf numFmtId="170" fontId="21" fillId="0" borderId="2" xfId="0" applyFont="true" applyBorder="true" applyAlignment="true" applyProtection="false">
      <alignment horizontal="right" vertical="center" textRotation="0" wrapText="false" indent="0" shrinkToFit="false"/>
      <protection locked="true" hidden="false"/>
    </xf>
    <xf numFmtId="171" fontId="8" fillId="0" borderId="2" xfId="0" applyFont="true" applyBorder="true" applyAlignment="true" applyProtection="false">
      <alignment horizontal="right" vertical="center" textRotation="0" wrapText="false" indent="0" shrinkToFit="false"/>
      <protection locked="true" hidden="false"/>
    </xf>
    <xf numFmtId="171" fontId="21" fillId="0" borderId="2" xfId="0" applyFont="true" applyBorder="true" applyAlignment="true" applyProtection="false">
      <alignment horizontal="right" vertical="center" textRotation="0" wrapText="false" indent="0" shrinkToFit="false"/>
      <protection locked="true" hidden="false"/>
    </xf>
    <xf numFmtId="172" fontId="21" fillId="0" borderId="2" xfId="0" applyFont="true" applyBorder="true" applyAlignment="true" applyProtection="false">
      <alignment horizontal="right" vertical="center" textRotation="0" wrapText="false" indent="0" shrinkToFit="false"/>
      <protection locked="true" hidden="false"/>
    </xf>
    <xf numFmtId="167" fontId="22" fillId="0" borderId="2"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left" vertical="bottom" textRotation="0" wrapText="false" indent="0" shrinkToFit="false"/>
      <protection locked="true" hidden="false"/>
    </xf>
    <xf numFmtId="164" fontId="10" fillId="0" borderId="2" xfId="0" applyFont="true" applyBorder="true" applyAlignment="true" applyProtection="false">
      <alignment horizontal="right" vertical="bottom" textRotation="0" wrapText="false" indent="0" shrinkToFit="false"/>
      <protection locked="true" hidden="false"/>
    </xf>
    <xf numFmtId="169" fontId="10" fillId="0" borderId="2" xfId="0" applyFont="true" applyBorder="true" applyAlignment="true" applyProtection="false">
      <alignment horizontal="right" vertical="bottom" textRotation="0" wrapText="false" indent="0" shrinkToFit="false"/>
      <protection locked="true" hidden="false"/>
    </xf>
    <xf numFmtId="165" fontId="10" fillId="0" borderId="2" xfId="0" applyFont="true" applyBorder="true" applyAlignment="true" applyProtection="false">
      <alignment horizontal="right" vertical="bottom" textRotation="0" wrapText="false" indent="0" shrinkToFit="false"/>
      <protection locked="true" hidden="false"/>
    </xf>
    <xf numFmtId="164" fontId="27" fillId="2" borderId="0" xfId="0" applyFont="true" applyBorder="true" applyAlignment="true" applyProtection="false">
      <alignment horizontal="general" vertical="center" textRotation="0" wrapText="false" indent="1"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1"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true" applyProtection="false">
      <alignment horizontal="right" vertical="bottom" textRotation="0" wrapText="false" indent="0" shrinkToFit="false"/>
      <protection locked="true" hidden="false"/>
    </xf>
    <xf numFmtId="166" fontId="8" fillId="0" borderId="2" xfId="0" applyFont="true" applyBorder="true" applyAlignment="true" applyProtection="false">
      <alignment horizontal="right" vertical="bottom" textRotation="0" wrapText="false" indent="0" shrinkToFit="false"/>
      <protection locked="true" hidden="false"/>
    </xf>
    <xf numFmtId="171" fontId="8" fillId="0" borderId="2"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21" fillId="3" borderId="2" xfId="0" applyFont="true" applyBorder="true" applyAlignment="true" applyProtection="false">
      <alignment horizontal="general" vertical="top" textRotation="0" wrapText="true" indent="0" shrinkToFit="false"/>
      <protection locked="true" hidden="false"/>
    </xf>
    <xf numFmtId="173" fontId="0" fillId="3" borderId="2" xfId="0" applyFont="false" applyBorder="true" applyAlignment="false" applyProtection="false">
      <alignment horizontal="general" vertical="bottom" textRotation="0" wrapText="false" indent="0" shrinkToFit="false"/>
      <protection locked="true" hidden="false"/>
    </xf>
    <xf numFmtId="174" fontId="10" fillId="0" borderId="2"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5" fontId="10"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2F2F2"/>
          <bgColor rgb="FF000000"/>
        </patternFill>
      </fill>
    </dxf>
    <dxf>
      <font>
        <b val="1"/>
        <color rgb="FFC00000"/>
      </font>
      <fill>
        <patternFill>
          <bgColor rgb="FFFCE4E4"/>
        </patternFill>
      </fill>
    </dxf>
    <dxf>
      <font>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C0504D"/>
      <rgbColor rgb="FFFFF2CC"/>
      <rgbColor rgb="FFDCE6F1"/>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E4"/>
      <rgbColor rgb="FF4F81BD"/>
      <rgbColor rgb="FF33CCCC"/>
      <rgbColor rgb="FF9BBB59"/>
      <rgbColor rgb="FFFFCC00"/>
      <rgbColor rgb="FFBF8F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Rates by Practice Context</a:t>
            </a:r>
          </a:p>
        </c:rich>
      </c:tx>
      <c:overlay val="0"/>
      <c:spPr>
        <a:noFill/>
        <a:ln w="0">
          <a:noFill/>
        </a:ln>
      </c:spPr>
    </c:title>
    <c:autoTitleDeleted val="0"/>
    <c:plotArea>
      <c:barChart>
        <c:barDir val="col"/>
        <c:grouping val="clustered"/>
        <c:varyColors val="0"/>
        <c:ser>
          <c:idx val="0"/>
          <c:order val="0"/>
          <c:tx>
            <c:strRef>
              <c:f>Dashboard!E27</c:f>
              <c:strCache>
                <c:ptCount val="1"/>
                <c:pt idx="0">
                  <c:v>Solid-contact rate</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Dashboard!$B$28:$B$32</c:f>
              <c:strCache>
                <c:ptCount val="5"/>
                <c:pt idx="0">
                  <c:v>Tee</c:v>
                </c:pt>
                <c:pt idx="1">
                  <c:v>Toss</c:v>
                </c:pt>
                <c:pt idx="2">
                  <c:v>Live</c:v>
                </c:pt>
                <c:pt idx="3">
                  <c:v>Home</c:v>
                </c:pt>
                <c:pt idx="4">
                  <c:v>Other</c:v>
                </c:pt>
              </c:strCache>
            </c:strRef>
          </c:cat>
          <c:val>
            <c:numRef>
              <c:f>Dashboard!$E$28:$E$32</c:f>
              <c:numCache>
                <c:formatCode>General</c:formatCode>
                <c:ptCount val="5"/>
              </c:numCache>
            </c:numRef>
          </c:val>
        </c:ser>
        <c:ser>
          <c:idx val="1"/>
          <c:order val="1"/>
          <c:tx>
            <c:strRef>
              <c:f>Dashboard!F27</c:f>
              <c:strCache>
                <c:ptCount val="1"/>
                <c:pt idx="0">
                  <c:v>Decision rate</c:v>
                </c:pt>
              </c:strCache>
            </c:strRef>
          </c:tx>
          <c:spPr>
            <a:solidFill>
              <a:srgbClr val="C0504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Dashboard!$B$28:$B$32</c:f>
              <c:strCache>
                <c:ptCount val="5"/>
                <c:pt idx="0">
                  <c:v>Tee</c:v>
                </c:pt>
                <c:pt idx="1">
                  <c:v>Toss</c:v>
                </c:pt>
                <c:pt idx="2">
                  <c:v>Live</c:v>
                </c:pt>
                <c:pt idx="3">
                  <c:v>Home</c:v>
                </c:pt>
                <c:pt idx="4">
                  <c:v>Other</c:v>
                </c:pt>
              </c:strCache>
            </c:strRef>
          </c:cat>
          <c:val>
            <c:numRef>
              <c:f>Dashboard!$F$28:$F$32</c:f>
              <c:numCache>
                <c:formatCode>General</c:formatCode>
                <c:ptCount val="5"/>
              </c:numCache>
            </c:numRef>
          </c:val>
        </c:ser>
        <c:ser>
          <c:idx val="2"/>
          <c:order val="2"/>
          <c:tx>
            <c:strRef>
              <c:f>Dashboard!G27</c:f>
              <c:strCache>
                <c:ptCount val="1"/>
                <c:pt idx="0">
                  <c:v>Landing rate</c:v>
                </c:pt>
              </c:strCache>
            </c:strRef>
          </c:tx>
          <c:spPr>
            <a:solidFill>
              <a:srgbClr val="9BBB59"/>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Dashboard!$B$28:$B$32</c:f>
              <c:strCache>
                <c:ptCount val="5"/>
                <c:pt idx="0">
                  <c:v>Tee</c:v>
                </c:pt>
                <c:pt idx="1">
                  <c:v>Toss</c:v>
                </c:pt>
                <c:pt idx="2">
                  <c:v>Live</c:v>
                </c:pt>
                <c:pt idx="3">
                  <c:v>Home</c:v>
                </c:pt>
                <c:pt idx="4">
                  <c:v>Other</c:v>
                </c:pt>
              </c:strCache>
            </c:strRef>
          </c:cat>
          <c:val>
            <c:numRef>
              <c:f>Dashboard!$G$28:$G$32</c:f>
              <c:numCache>
                <c:formatCode>General</c:formatCode>
                <c:ptCount val="5"/>
              </c:numCache>
            </c:numRef>
          </c:val>
        </c:ser>
        <c:gapWidth val="150"/>
        <c:overlap val="0"/>
        <c:axId val="29253390"/>
        <c:axId val="87983510"/>
      </c:barChart>
      <c:catAx>
        <c:axId val="292533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983510"/>
        <c:crosses val="autoZero"/>
        <c:auto val="1"/>
        <c:lblAlgn val="ctr"/>
        <c:lblOffset val="100"/>
        <c:noMultiLvlLbl val="0"/>
      </c:catAx>
      <c:valAx>
        <c:axId val="87983510"/>
        <c:scaling>
          <c:orientation val="minMax"/>
          <c:max val="1"/>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925339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Weekly Solid-Contact and Decision Rates</a:t>
            </a:r>
          </a:p>
        </c:rich>
      </c:tx>
      <c:overlay val="0"/>
      <c:spPr>
        <a:noFill/>
        <a:ln w="0">
          <a:noFill/>
        </a:ln>
      </c:spPr>
    </c:title>
    <c:autoTitleDeleted val="0"/>
    <c:plotArea>
      <c:barChart>
        <c:barDir val="col"/>
        <c:grouping val="clustered"/>
        <c:varyColors val="0"/>
        <c:ser>
          <c:idx val="0"/>
          <c:order val="0"/>
          <c:tx>
            <c:strRef>
              <c:f>Dashboard!G36</c:f>
              <c:strCache>
                <c:ptCount val="1"/>
                <c:pt idx="0">
                  <c:v>Solid-contact rate</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Dashboard!$B$37:$B$48</c:f>
              <c:strCache>
                <c:ptCount val="12"/>
                <c:pt idx="0">
                  <c:v>Week 1</c:v>
                </c:pt>
                <c:pt idx="1">
                  <c:v>Week 2</c:v>
                </c:pt>
                <c:pt idx="2">
                  <c:v>Week 3</c:v>
                </c:pt>
                <c:pt idx="3">
                  <c:v>Week 4</c:v>
                </c:pt>
                <c:pt idx="4">
                  <c:v>Week 5</c:v>
                </c:pt>
                <c:pt idx="5">
                  <c:v>Week 6</c:v>
                </c:pt>
                <c:pt idx="6">
                  <c:v>Week 7</c:v>
                </c:pt>
                <c:pt idx="7">
                  <c:v>Week 8</c:v>
                </c:pt>
                <c:pt idx="8">
                  <c:v>Week 9</c:v>
                </c:pt>
                <c:pt idx="9">
                  <c:v>Week 10</c:v>
                </c:pt>
                <c:pt idx="10">
                  <c:v>Week 11</c:v>
                </c:pt>
                <c:pt idx="11">
                  <c:v>Week 12</c:v>
                </c:pt>
              </c:strCache>
            </c:strRef>
          </c:cat>
          <c:val>
            <c:numRef>
              <c:f>Dashboard!$G$37:$G$48</c:f>
              <c:numCache>
                <c:formatCode>General</c:formatCode>
                <c:ptCount val="12"/>
              </c:numCache>
            </c:numRef>
          </c:val>
        </c:ser>
        <c:ser>
          <c:idx val="1"/>
          <c:order val="1"/>
          <c:tx>
            <c:strRef>
              <c:f>Dashboard!H36</c:f>
              <c:strCache>
                <c:ptCount val="1"/>
                <c:pt idx="0">
                  <c:v>Decision rate</c:v>
                </c:pt>
              </c:strCache>
            </c:strRef>
          </c:tx>
          <c:spPr>
            <a:solidFill>
              <a:srgbClr val="C0504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Dashboard!$B$37:$B$48</c:f>
              <c:strCache>
                <c:ptCount val="12"/>
                <c:pt idx="0">
                  <c:v>Week 1</c:v>
                </c:pt>
                <c:pt idx="1">
                  <c:v>Week 2</c:v>
                </c:pt>
                <c:pt idx="2">
                  <c:v>Week 3</c:v>
                </c:pt>
                <c:pt idx="3">
                  <c:v>Week 4</c:v>
                </c:pt>
                <c:pt idx="4">
                  <c:v>Week 5</c:v>
                </c:pt>
                <c:pt idx="5">
                  <c:v>Week 6</c:v>
                </c:pt>
                <c:pt idx="6">
                  <c:v>Week 7</c:v>
                </c:pt>
                <c:pt idx="7">
                  <c:v>Week 8</c:v>
                </c:pt>
                <c:pt idx="8">
                  <c:v>Week 9</c:v>
                </c:pt>
                <c:pt idx="9">
                  <c:v>Week 10</c:v>
                </c:pt>
                <c:pt idx="10">
                  <c:v>Week 11</c:v>
                </c:pt>
                <c:pt idx="11">
                  <c:v>Week 12</c:v>
                </c:pt>
              </c:strCache>
            </c:strRef>
          </c:cat>
          <c:val>
            <c:numRef>
              <c:f>Dashboard!$H$37:$H$48</c:f>
              <c:numCache>
                <c:formatCode>General</c:formatCode>
                <c:ptCount val="12"/>
              </c:numCache>
            </c:numRef>
          </c:val>
        </c:ser>
        <c:gapWidth val="150"/>
        <c:overlap val="0"/>
        <c:axId val="11601"/>
        <c:axId val="62427906"/>
      </c:barChart>
      <c:catAx>
        <c:axId val="116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427906"/>
        <c:crosses val="autoZero"/>
        <c:auto val="1"/>
        <c:lblAlgn val="ctr"/>
        <c:lblOffset val="100"/>
        <c:noMultiLvlLbl val="0"/>
      </c:catAx>
      <c:valAx>
        <c:axId val="62427906"/>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601"/>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0</xdr:rowOff>
    </xdr:from>
    <xdr:to>
      <xdr:col>18</xdr:col>
      <xdr:colOff>255960</xdr:colOff>
      <xdr:row>17</xdr:row>
      <xdr:rowOff>32400</xdr:rowOff>
    </xdr:to>
    <xdr:graphicFrame>
      <xdr:nvGraphicFramePr>
        <xdr:cNvPr id="1" name="Chart 1"/>
        <xdr:cNvGraphicFramePr/>
      </xdr:nvGraphicFramePr>
      <xdr:xfrm>
        <a:off x="9844920" y="66096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20</xdr:row>
      <xdr:rowOff>0</xdr:rowOff>
    </xdr:from>
    <xdr:to>
      <xdr:col>18</xdr:col>
      <xdr:colOff>255960</xdr:colOff>
      <xdr:row>34</xdr:row>
      <xdr:rowOff>32760</xdr:rowOff>
    </xdr:to>
    <xdr:graphicFrame>
      <xdr:nvGraphicFramePr>
        <xdr:cNvPr id="2" name="Chart 2"/>
        <xdr:cNvGraphicFramePr/>
      </xdr:nvGraphicFramePr>
      <xdr:xfrm>
        <a:off x="9844920" y="389952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8.xml.rels><?xml version="1.0" encoding="UTF-8"?>
<Relationships xmlns="http://schemas.openxmlformats.org/package/2006/relationships"><Relationship Id="rId1" Type="http://schemas.openxmlformats.org/officeDocument/2006/relationships/drawing" Target="../drawings/drawing1.xml"/>
</Relationships>
</file>

<file path=xl/worksheets/_rels/sheet22.xml.rels><?xml version="1.0" encoding="UTF-8"?>
<Relationships xmlns="http://schemas.openxmlformats.org/package/2006/relationships"><Relationship Id="rId1" Type="http://schemas.openxmlformats.org/officeDocument/2006/relationships/drawing" Target="../drawings/drawing2.xml"/>
</Relationships>
</file>

<file path=xl/worksheets/_rels/sheet27.xml.rels><?xml version="1.0" encoding="UTF-8"?>
<Relationships xmlns="http://schemas.openxmlformats.org/package/2006/relationships">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H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8" min="2" style="0" width="18"/>
  </cols>
  <sheetData>
    <row r="2" customFormat="false" ht="15" hidden="false" customHeight="false" outlineLevel="0" collapsed="false">
      <c r="B2" s="1"/>
      <c r="C2" s="1"/>
      <c r="D2" s="1"/>
      <c r="E2" s="1"/>
      <c r="F2" s="1"/>
      <c r="G2" s="1"/>
      <c r="H2" s="1"/>
    </row>
    <row r="3" customFormat="false" ht="15" hidden="false" customHeight="true" outlineLevel="0" collapsed="false">
      <c r="B3" s="2" t="s">
        <v>0</v>
      </c>
      <c r="C3" s="2"/>
      <c r="D3" s="2"/>
      <c r="E3" s="2"/>
      <c r="F3" s="2"/>
      <c r="G3" s="2"/>
      <c r="H3" s="2"/>
    </row>
    <row r="4" customFormat="false" ht="15" hidden="false" customHeight="false" outlineLevel="0" collapsed="false">
      <c r="B4" s="2"/>
      <c r="C4" s="2"/>
      <c r="D4" s="2"/>
      <c r="E4" s="2"/>
      <c r="F4" s="2"/>
      <c r="G4" s="2"/>
      <c r="H4" s="2"/>
    </row>
    <row r="5" customFormat="false" ht="15" hidden="false" customHeight="true" outlineLevel="0" collapsed="false">
      <c r="B5" s="3" t="s">
        <v>1</v>
      </c>
      <c r="C5" s="3"/>
      <c r="D5" s="3"/>
      <c r="E5" s="3"/>
      <c r="F5" s="3"/>
      <c r="G5" s="3"/>
      <c r="H5" s="3"/>
    </row>
    <row r="6" customFormat="false" ht="15" hidden="false" customHeight="false" outlineLevel="0" collapsed="false">
      <c r="B6" s="3"/>
      <c r="C6" s="3"/>
      <c r="D6" s="3"/>
      <c r="E6" s="3"/>
      <c r="F6" s="3"/>
      <c r="G6" s="3"/>
      <c r="H6" s="3"/>
    </row>
    <row r="7" customFormat="false" ht="15" hidden="false" customHeight="true" outlineLevel="0" collapsed="false">
      <c r="B7" s="4" t="s">
        <v>2</v>
      </c>
      <c r="C7" s="4"/>
      <c r="D7" s="4"/>
      <c r="E7" s="4"/>
      <c r="F7" s="4"/>
      <c r="G7" s="4"/>
      <c r="H7" s="4"/>
    </row>
    <row r="8" customFormat="false" ht="15" hidden="false" customHeight="false" outlineLevel="0" collapsed="false">
      <c r="B8" s="1"/>
      <c r="C8" s="1"/>
      <c r="D8" s="1"/>
      <c r="E8" s="1"/>
      <c r="F8" s="1"/>
      <c r="G8" s="1"/>
      <c r="H8" s="1"/>
    </row>
    <row r="10" customFormat="false" ht="16.15" hidden="false" customHeight="false" outlineLevel="0" collapsed="false">
      <c r="B10" s="5" t="s">
        <v>3</v>
      </c>
    </row>
    <row r="11" customFormat="false" ht="15" hidden="false" customHeight="false" outlineLevel="0" collapsed="false">
      <c r="B11" s="6" t="s">
        <v>4</v>
      </c>
      <c r="C11" s="7"/>
      <c r="D11" s="7"/>
      <c r="E11" s="7"/>
    </row>
    <row r="12" customFormat="false" ht="15" hidden="false" customHeight="false" outlineLevel="0" collapsed="false">
      <c r="B12" s="6" t="s">
        <v>5</v>
      </c>
      <c r="C12" s="7"/>
      <c r="D12" s="7"/>
      <c r="E12" s="7"/>
    </row>
    <row r="13" customFormat="false" ht="15" hidden="false" customHeight="false" outlineLevel="0" collapsed="false">
      <c r="B13" s="6" t="s">
        <v>6</v>
      </c>
      <c r="C13" s="7"/>
      <c r="D13" s="7"/>
      <c r="E13" s="7"/>
    </row>
    <row r="14" customFormat="false" ht="15" hidden="false" customHeight="false" outlineLevel="0" collapsed="false">
      <c r="B14" s="6" t="s">
        <v>7</v>
      </c>
      <c r="C14" s="7"/>
      <c r="D14" s="7"/>
      <c r="E14" s="7"/>
    </row>
    <row r="15" customFormat="false" ht="15" hidden="false" customHeight="false" outlineLevel="0" collapsed="false">
      <c r="B15" s="6" t="s">
        <v>8</v>
      </c>
      <c r="C15" s="7"/>
      <c r="D15" s="7"/>
      <c r="E15" s="7"/>
    </row>
    <row r="17" customFormat="false" ht="16.15" hidden="false" customHeight="false" outlineLevel="0" collapsed="false">
      <c r="B17" s="5" t="s">
        <v>9</v>
      </c>
    </row>
    <row r="18" customFormat="false" ht="33.75" hidden="false" customHeight="true" outlineLevel="0" collapsed="false">
      <c r="B18" s="8" t="s">
        <v>10</v>
      </c>
      <c r="C18" s="9" t="s">
        <v>11</v>
      </c>
      <c r="D18" s="8" t="s">
        <v>12</v>
      </c>
      <c r="E18" s="9" t="s">
        <v>13</v>
      </c>
      <c r="F18" s="8" t="s">
        <v>14</v>
      </c>
      <c r="G18" s="9" t="s">
        <v>15</v>
      </c>
    </row>
    <row r="20" customFormat="false" ht="33.75" hidden="false" customHeight="true" outlineLevel="0" collapsed="false">
      <c r="B20" s="8" t="s">
        <v>16</v>
      </c>
      <c r="C20" s="9" t="s">
        <v>17</v>
      </c>
      <c r="D20" s="8" t="s">
        <v>18</v>
      </c>
      <c r="E20" s="9" t="s">
        <v>19</v>
      </c>
      <c r="F20" s="8" t="s">
        <v>20</v>
      </c>
      <c r="G20" s="9" t="s">
        <v>21</v>
      </c>
    </row>
    <row r="23" customFormat="false" ht="15" hidden="false" customHeight="false" outlineLevel="0" collapsed="false">
      <c r="B23" s="10" t="s">
        <v>22</v>
      </c>
    </row>
    <row r="25" customFormat="false" ht="15" hidden="false" customHeight="true" outlineLevel="0" collapsed="false">
      <c r="B25" s="11" t="s">
        <v>23</v>
      </c>
      <c r="C25" s="11"/>
      <c r="D25" s="11"/>
      <c r="E25" s="11"/>
      <c r="F25" s="11"/>
      <c r="G25" s="11"/>
      <c r="H25" s="11"/>
    </row>
    <row r="26" customFormat="false" ht="15" hidden="false" customHeight="false" outlineLevel="0" collapsed="false">
      <c r="B26" s="11"/>
      <c r="C26" s="11"/>
      <c r="D26" s="11"/>
      <c r="E26" s="11"/>
      <c r="F26" s="11"/>
      <c r="G26" s="11"/>
      <c r="H26" s="11"/>
    </row>
  </sheetData>
  <mergeCells count="9">
    <mergeCell ref="B3:H4"/>
    <mergeCell ref="B5:H6"/>
    <mergeCell ref="B7:H7"/>
    <mergeCell ref="C11:E11"/>
    <mergeCell ref="C12:E12"/>
    <mergeCell ref="C13:E13"/>
    <mergeCell ref="C14:E14"/>
    <mergeCell ref="C15:E15"/>
    <mergeCell ref="B25:H26"/>
  </mergeCells>
  <hyperlinks>
    <hyperlink ref="B23" location="'Contents'!B2" display="Start here →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2"/>
    <col collapsed="false" customWidth="true" hidden="false" outlineLevel="0" max="4" min="4" style="0" width="26"/>
    <col collapsed="false" customWidth="true" hidden="false" outlineLevel="0" max="5" min="5" style="0" width="70"/>
  </cols>
  <sheetData>
    <row r="1" customFormat="false" ht="15" hidden="false" customHeight="false" outlineLevel="0" collapsed="false">
      <c r="B1" s="12" t="s">
        <v>24</v>
      </c>
    </row>
    <row r="2" customFormat="false" ht="22.05" hidden="false" customHeight="false" outlineLevel="0" collapsed="false">
      <c r="B2" s="13" t="s">
        <v>25</v>
      </c>
    </row>
    <row r="3" customFormat="false" ht="15" hidden="false" customHeight="false" outlineLevel="0" collapsed="false">
      <c r="B3" s="14" t="s">
        <v>26</v>
      </c>
    </row>
    <row r="5" customFormat="false" ht="30" hidden="false" customHeight="true" outlineLevel="0" collapsed="false">
      <c r="B5" s="15" t="s">
        <v>27</v>
      </c>
      <c r="C5" s="15" t="s">
        <v>28</v>
      </c>
      <c r="D5" s="15" t="s">
        <v>29</v>
      </c>
      <c r="E5" s="15" t="s">
        <v>30</v>
      </c>
    </row>
    <row r="6" customFormat="false" ht="18" hidden="false" customHeight="true" outlineLevel="0" collapsed="false">
      <c r="B6" s="16" t="n">
        <v>1</v>
      </c>
      <c r="C6" s="17" t="s">
        <v>31</v>
      </c>
      <c r="D6" s="18" t="s">
        <v>32</v>
      </c>
      <c r="E6" s="17" t="s">
        <v>33</v>
      </c>
    </row>
    <row r="7" customFormat="false" ht="18" hidden="false" customHeight="true" outlineLevel="0" collapsed="false">
      <c r="B7" s="16" t="n">
        <v>2</v>
      </c>
      <c r="C7" s="17" t="s">
        <v>31</v>
      </c>
      <c r="D7" s="18" t="s">
        <v>34</v>
      </c>
      <c r="E7" s="17" t="s">
        <v>35</v>
      </c>
    </row>
    <row r="8" customFormat="false" ht="18" hidden="false" customHeight="true" outlineLevel="0" collapsed="false">
      <c r="B8" s="16" t="n">
        <v>3</v>
      </c>
      <c r="C8" s="17" t="s">
        <v>31</v>
      </c>
      <c r="D8" s="18" t="s">
        <v>36</v>
      </c>
      <c r="E8" s="17" t="s">
        <v>37</v>
      </c>
    </row>
    <row r="9" customFormat="false" ht="18" hidden="false" customHeight="true" outlineLevel="0" collapsed="false">
      <c r="B9" s="16" t="n">
        <v>4</v>
      </c>
      <c r="C9" s="17" t="s">
        <v>38</v>
      </c>
      <c r="D9" s="18" t="s">
        <v>39</v>
      </c>
      <c r="E9" s="17" t="s">
        <v>40</v>
      </c>
    </row>
    <row r="10" customFormat="false" ht="18" hidden="false" customHeight="true" outlineLevel="0" collapsed="false">
      <c r="B10" s="16" t="n">
        <v>5</v>
      </c>
      <c r="C10" s="17" t="s">
        <v>41</v>
      </c>
      <c r="D10" s="18" t="s">
        <v>42</v>
      </c>
      <c r="E10" s="17" t="s">
        <v>43</v>
      </c>
    </row>
    <row r="11" customFormat="false" ht="18" hidden="false" customHeight="true" outlineLevel="0" collapsed="false">
      <c r="B11" s="16" t="n">
        <v>6</v>
      </c>
      <c r="C11" s="17" t="s">
        <v>41</v>
      </c>
      <c r="D11" s="18" t="s">
        <v>44</v>
      </c>
      <c r="E11" s="17" t="s">
        <v>45</v>
      </c>
    </row>
    <row r="12" customFormat="false" ht="18" hidden="false" customHeight="true" outlineLevel="0" collapsed="false">
      <c r="B12" s="16" t="n">
        <v>7</v>
      </c>
      <c r="C12" s="17" t="s">
        <v>46</v>
      </c>
      <c r="D12" s="18" t="s">
        <v>47</v>
      </c>
      <c r="E12" s="17" t="s">
        <v>48</v>
      </c>
    </row>
    <row r="13" customFormat="false" ht="18" hidden="false" customHeight="true" outlineLevel="0" collapsed="false">
      <c r="B13" s="16" t="n">
        <v>8</v>
      </c>
      <c r="C13" s="17" t="s">
        <v>46</v>
      </c>
      <c r="D13" s="18" t="s">
        <v>49</v>
      </c>
      <c r="E13" s="17" t="s">
        <v>50</v>
      </c>
    </row>
    <row r="14" customFormat="false" ht="18" hidden="false" customHeight="true" outlineLevel="0" collapsed="false">
      <c r="B14" s="16" t="n">
        <v>9</v>
      </c>
      <c r="C14" s="17" t="s">
        <v>46</v>
      </c>
      <c r="D14" s="18" t="s">
        <v>51</v>
      </c>
      <c r="E14" s="17" t="s">
        <v>52</v>
      </c>
    </row>
    <row r="15" customFormat="false" ht="18" hidden="false" customHeight="true" outlineLevel="0" collapsed="false">
      <c r="B15" s="16" t="n">
        <v>10</v>
      </c>
      <c r="C15" s="17" t="s">
        <v>46</v>
      </c>
      <c r="D15" s="18" t="s">
        <v>53</v>
      </c>
      <c r="E15" s="17" t="s">
        <v>54</v>
      </c>
    </row>
    <row r="16" customFormat="false" ht="18" hidden="false" customHeight="true" outlineLevel="0" collapsed="false">
      <c r="B16" s="16" t="n">
        <v>11</v>
      </c>
      <c r="C16" s="17" t="s">
        <v>55</v>
      </c>
      <c r="D16" s="18" t="s">
        <v>56</v>
      </c>
      <c r="E16" s="17" t="s">
        <v>57</v>
      </c>
    </row>
    <row r="17" customFormat="false" ht="18" hidden="false" customHeight="true" outlineLevel="0" collapsed="false">
      <c r="B17" s="16" t="n">
        <v>12</v>
      </c>
      <c r="C17" s="17" t="s">
        <v>55</v>
      </c>
      <c r="D17" s="18" t="s">
        <v>58</v>
      </c>
      <c r="E17" s="17" t="s">
        <v>59</v>
      </c>
    </row>
    <row r="18" customFormat="false" ht="18" hidden="false" customHeight="true" outlineLevel="0" collapsed="false">
      <c r="B18" s="16" t="n">
        <v>13</v>
      </c>
      <c r="C18" s="17" t="s">
        <v>60</v>
      </c>
      <c r="D18" s="18" t="s">
        <v>61</v>
      </c>
      <c r="E18" s="17" t="s">
        <v>62</v>
      </c>
    </row>
    <row r="19" customFormat="false" ht="18" hidden="false" customHeight="true" outlineLevel="0" collapsed="false">
      <c r="B19" s="16" t="n">
        <v>14</v>
      </c>
      <c r="C19" s="17" t="s">
        <v>60</v>
      </c>
      <c r="D19" s="18" t="s">
        <v>63</v>
      </c>
      <c r="E19" s="17" t="s">
        <v>64</v>
      </c>
    </row>
    <row r="20" customFormat="false" ht="18" hidden="false" customHeight="true" outlineLevel="0" collapsed="false">
      <c r="B20" s="16" t="n">
        <v>15</v>
      </c>
      <c r="C20" s="17" t="s">
        <v>65</v>
      </c>
      <c r="D20" s="18" t="s">
        <v>66</v>
      </c>
      <c r="E20" s="17" t="s">
        <v>67</v>
      </c>
    </row>
    <row r="21" customFormat="false" ht="18" hidden="false" customHeight="true" outlineLevel="0" collapsed="false">
      <c r="B21" s="16" t="n">
        <v>16</v>
      </c>
      <c r="C21" s="17" t="s">
        <v>68</v>
      </c>
      <c r="D21" s="18" t="s">
        <v>69</v>
      </c>
      <c r="E21" s="17" t="s">
        <v>70</v>
      </c>
    </row>
    <row r="22" customFormat="false" ht="18" hidden="false" customHeight="true" outlineLevel="0" collapsed="false">
      <c r="B22" s="16" t="n">
        <v>17</v>
      </c>
      <c r="C22" s="17" t="s">
        <v>68</v>
      </c>
      <c r="D22" s="18" t="s">
        <v>71</v>
      </c>
      <c r="E22" s="17" t="s">
        <v>72</v>
      </c>
    </row>
    <row r="23" customFormat="false" ht="18" hidden="false" customHeight="true" outlineLevel="0" collapsed="false">
      <c r="B23" s="16" t="n">
        <v>18</v>
      </c>
      <c r="C23" s="17" t="s">
        <v>73</v>
      </c>
      <c r="D23" s="18" t="s">
        <v>74</v>
      </c>
      <c r="E23" s="17" t="s">
        <v>75</v>
      </c>
    </row>
    <row r="24" customFormat="false" ht="18" hidden="false" customHeight="true" outlineLevel="0" collapsed="false">
      <c r="B24" s="16" t="n">
        <v>19</v>
      </c>
      <c r="C24" s="17" t="s">
        <v>73</v>
      </c>
      <c r="D24" s="18" t="s">
        <v>76</v>
      </c>
      <c r="E24" s="17" t="s">
        <v>77</v>
      </c>
    </row>
    <row r="25" customFormat="false" ht="18" hidden="false" customHeight="true" outlineLevel="0" collapsed="false">
      <c r="B25" s="16" t="n">
        <v>20</v>
      </c>
      <c r="C25" s="17" t="s">
        <v>73</v>
      </c>
      <c r="D25" s="18" t="s">
        <v>78</v>
      </c>
      <c r="E25" s="17" t="s">
        <v>79</v>
      </c>
    </row>
    <row r="26" customFormat="false" ht="18" hidden="false" customHeight="true" outlineLevel="0" collapsed="false">
      <c r="B26" s="16" t="n">
        <v>21</v>
      </c>
      <c r="C26" s="17" t="s">
        <v>73</v>
      </c>
      <c r="D26" s="18" t="s">
        <v>80</v>
      </c>
      <c r="E26" s="17" t="s">
        <v>81</v>
      </c>
    </row>
    <row r="27" customFormat="false" ht="18" hidden="false" customHeight="true" outlineLevel="0" collapsed="false">
      <c r="B27" s="16" t="n">
        <v>22</v>
      </c>
      <c r="C27" s="17" t="s">
        <v>82</v>
      </c>
      <c r="D27" s="18" t="s">
        <v>83</v>
      </c>
      <c r="E27" s="17" t="s">
        <v>84</v>
      </c>
    </row>
    <row r="28" customFormat="false" ht="18" hidden="false" customHeight="true" outlineLevel="0" collapsed="false">
      <c r="B28" s="16" t="n">
        <v>23</v>
      </c>
      <c r="C28" s="17" t="s">
        <v>85</v>
      </c>
      <c r="D28" s="18" t="s">
        <v>86</v>
      </c>
      <c r="E28" s="17" t="s">
        <v>87</v>
      </c>
    </row>
    <row r="29" customFormat="false" ht="18" hidden="false" customHeight="true" outlineLevel="0" collapsed="false">
      <c r="B29" s="16" t="n">
        <v>24</v>
      </c>
      <c r="C29" s="17" t="s">
        <v>85</v>
      </c>
      <c r="D29" s="18" t="s">
        <v>88</v>
      </c>
      <c r="E29" s="17" t="s">
        <v>89</v>
      </c>
    </row>
    <row r="30" customFormat="false" ht="18" hidden="false" customHeight="true" outlineLevel="0" collapsed="false">
      <c r="B30" s="16" t="n">
        <v>25</v>
      </c>
      <c r="C30" s="17" t="s">
        <v>85</v>
      </c>
      <c r="D30" s="18" t="s">
        <v>90</v>
      </c>
      <c r="E30" s="17" t="s">
        <v>91</v>
      </c>
    </row>
    <row r="31" customFormat="false" ht="18" hidden="false" customHeight="true" outlineLevel="0" collapsed="false">
      <c r="B31" s="16" t="n">
        <v>26</v>
      </c>
      <c r="C31" s="17" t="s">
        <v>92</v>
      </c>
      <c r="D31" s="18" t="s">
        <v>93</v>
      </c>
      <c r="E31" s="17" t="s">
        <v>94</v>
      </c>
    </row>
    <row r="32" customFormat="false" ht="18" hidden="false" customHeight="true" outlineLevel="0" collapsed="false">
      <c r="B32" s="16" t="n">
        <v>27</v>
      </c>
      <c r="C32" s="17" t="s">
        <v>92</v>
      </c>
      <c r="D32" s="18" t="s">
        <v>95</v>
      </c>
      <c r="E32" s="17" t="s">
        <v>96</v>
      </c>
    </row>
  </sheetData>
  <hyperlinks>
    <hyperlink ref="B1" location="'Contents'!B2" display="← Contents"/>
    <hyperlink ref="D6" location="'Cover'!A1" display="Cover"/>
    <hyperlink ref="D7" location="'Contents'!A1" display="Contents"/>
    <hyperlink ref="D8" location="'How To Use'!A1" display="How To Use"/>
    <hyperlink ref="D9" location="'Players'!A1" display="Players"/>
    <hyperlink ref="D10" location="'Drill Index'!A1" display="Drill Index"/>
    <hyperlink ref="D11" location="'Hitting Drills'!A1" display="Hitting Drills"/>
    <hyperlink ref="D12" location="'Med Ball Library'!A1" display="Med Ball Library"/>
    <hyperlink ref="D13" location="'Med Ball Progression'!A1" display="Med Ball Progression"/>
    <hyperlink ref="D14" location="'Youth Games'!A1" display="Youth Games"/>
    <hyperlink ref="D15" location="'Rehearsals'!A1" display="Rehearsals"/>
    <hyperlink ref="D16" location="'Warm-Up Routines'!A1" display="Warm-Up Routines"/>
    <hyperlink ref="D17" location="'Warm-Up Library'!A1" display="Warm-Up Library"/>
    <hyperlink ref="D18" location="'Troubleshooting'!A1" display="Troubleshooting"/>
    <hyperlink ref="D19" location="'Mental Approach'!A1" display="Mental Approach"/>
    <hyperlink ref="D20" location="'Session Builder'!A1" display="Session Builder"/>
    <hyperlink ref="D21" location="'Parents Guide'!A1" display="Parents Guide"/>
    <hyperlink ref="D22" location="'Coach-Parent Plan'!A1" display="Coach-Parent Plan"/>
    <hyperlink ref="D23" location="'Practice Log'!A1" display="Practice Log"/>
    <hyperlink ref="D24" location="'Power Log'!A1" display="Power Log"/>
    <hyperlink ref="D25" location="'Readiness Log'!A1" display="Readiness Log"/>
    <hyperlink ref="D26" location="'Video Log'!A1" display="Video Log"/>
    <hyperlink ref="D27" location="'Dashboard'!A1" display="Dashboard"/>
    <hyperlink ref="D28" location="'Parent Report'!A1" display="Parent Report"/>
    <hyperlink ref="D29" location="'Export Log'!A1" display="Export Log"/>
    <hyperlink ref="D30" location="'Export &amp; Macro Guide'!A1" display="Export &amp; Macro Guide"/>
    <hyperlink ref="D31" location="'Equipment &amp; Safety'!A1" display="Equipment &amp; Safety"/>
    <hyperlink ref="D32" location="'Basis &amp; Limits'!A1" display="Basis &amp; Limi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2"/>
    <col collapsed="false" customWidth="true" hidden="false" outlineLevel="0" max="4" min="4" style="0" width="95"/>
  </cols>
  <sheetData>
    <row r="1" customFormat="false" ht="15" hidden="false" customHeight="false" outlineLevel="0" collapsed="false">
      <c r="B1" s="12" t="s">
        <v>24</v>
      </c>
    </row>
    <row r="2" customFormat="false" ht="22.05" hidden="false" customHeight="false" outlineLevel="0" collapsed="false">
      <c r="B2" s="13" t="s">
        <v>97</v>
      </c>
    </row>
    <row r="5" customFormat="false" ht="30" hidden="false" customHeight="true" outlineLevel="0" collapsed="false">
      <c r="B5" s="15" t="s">
        <v>98</v>
      </c>
      <c r="C5" s="15" t="s">
        <v>99</v>
      </c>
      <c r="D5" s="15" t="s">
        <v>100</v>
      </c>
    </row>
    <row r="6" customFormat="false" ht="31.5" hidden="false" customHeight="true" outlineLevel="0" collapsed="false">
      <c r="B6" s="17" t="s">
        <v>20</v>
      </c>
      <c r="C6" s="17" t="s">
        <v>101</v>
      </c>
      <c r="D6" s="17" t="s">
        <v>102</v>
      </c>
    </row>
    <row r="7" customFormat="false" ht="18" hidden="false" customHeight="true" outlineLevel="0" collapsed="false">
      <c r="B7" s="17" t="s">
        <v>103</v>
      </c>
      <c r="C7" s="17" t="s">
        <v>104</v>
      </c>
      <c r="D7" s="17" t="s">
        <v>105</v>
      </c>
    </row>
    <row r="8" customFormat="false" ht="31.5" hidden="false" customHeight="true" outlineLevel="0" collapsed="false">
      <c r="B8" s="17" t="s">
        <v>106</v>
      </c>
      <c r="C8" s="17" t="s">
        <v>107</v>
      </c>
      <c r="D8" s="17" t="s">
        <v>108</v>
      </c>
    </row>
    <row r="9" customFormat="false" ht="31.5" hidden="false" customHeight="true" outlineLevel="0" collapsed="false">
      <c r="B9" s="17" t="s">
        <v>109</v>
      </c>
      <c r="C9" s="17" t="s">
        <v>110</v>
      </c>
      <c r="D9" s="17" t="s">
        <v>111</v>
      </c>
    </row>
    <row r="10" customFormat="false" ht="31.5" hidden="false" customHeight="true" outlineLevel="0" collapsed="false">
      <c r="B10" s="17" t="s">
        <v>112</v>
      </c>
      <c r="C10" s="17" t="s">
        <v>113</v>
      </c>
      <c r="D10" s="17" t="s">
        <v>114</v>
      </c>
    </row>
    <row r="11" customFormat="false" ht="31.5" hidden="false" customHeight="true" outlineLevel="0" collapsed="false">
      <c r="B11" s="17" t="s">
        <v>16</v>
      </c>
      <c r="C11" s="17" t="s">
        <v>115</v>
      </c>
      <c r="D11" s="17" t="s">
        <v>116</v>
      </c>
    </row>
    <row r="12" customFormat="false" ht="18" hidden="false" customHeight="true" outlineLevel="0" collapsed="false">
      <c r="B12" s="17" t="s">
        <v>117</v>
      </c>
      <c r="C12" s="17" t="s">
        <v>118</v>
      </c>
      <c r="D12" s="17" t="s">
        <v>119</v>
      </c>
    </row>
    <row r="13" customFormat="false" ht="18" hidden="false" customHeight="true" outlineLevel="0" collapsed="false">
      <c r="B13" s="17" t="s">
        <v>18</v>
      </c>
      <c r="C13" s="17" t="s">
        <v>120</v>
      </c>
      <c r="D13" s="17" t="s">
        <v>121</v>
      </c>
    </row>
    <row r="14" customFormat="false" ht="31.5" hidden="false" customHeight="true" outlineLevel="0" collapsed="false">
      <c r="B14" s="17" t="s">
        <v>122</v>
      </c>
      <c r="C14" s="17" t="s">
        <v>123</v>
      </c>
      <c r="D14" s="17" t="s">
        <v>124</v>
      </c>
    </row>
    <row r="15" customFormat="false" ht="18" hidden="false" customHeight="true" outlineLevel="0" collapsed="false">
      <c r="B15" s="17" t="s">
        <v>125</v>
      </c>
      <c r="C15" s="17" t="s">
        <v>126</v>
      </c>
      <c r="D15" s="17" t="s">
        <v>127</v>
      </c>
    </row>
    <row r="17" customFormat="false" ht="16.15" hidden="false" customHeight="false" outlineLevel="0" collapsed="false">
      <c r="B17" s="5" t="s">
        <v>128</v>
      </c>
    </row>
    <row r="18" customFormat="false" ht="30" hidden="false" customHeight="true" outlineLevel="0" collapsed="false">
      <c r="C18" s="15" t="s">
        <v>129</v>
      </c>
      <c r="D18" s="15" t="s">
        <v>130</v>
      </c>
    </row>
    <row r="19" customFormat="false" ht="18" hidden="false" customHeight="true" outlineLevel="0" collapsed="false">
      <c r="C19" s="17" t="s">
        <v>131</v>
      </c>
      <c r="D19" s="17" t="s">
        <v>132</v>
      </c>
    </row>
    <row r="20" customFormat="false" ht="18" hidden="false" customHeight="true" outlineLevel="0" collapsed="false">
      <c r="C20" s="17" t="s">
        <v>133</v>
      </c>
      <c r="D20" s="17" t="s">
        <v>134</v>
      </c>
    </row>
    <row r="21" customFormat="false" ht="18" hidden="false" customHeight="true" outlineLevel="0" collapsed="false">
      <c r="C21" s="17" t="s">
        <v>135</v>
      </c>
      <c r="D21" s="17" t="s">
        <v>136</v>
      </c>
    </row>
    <row r="22" customFormat="false" ht="18" hidden="false" customHeight="true" outlineLevel="0" collapsed="false">
      <c r="C22" s="17" t="s">
        <v>137</v>
      </c>
      <c r="D22" s="17" t="s">
        <v>138</v>
      </c>
    </row>
    <row r="23" customFormat="false" ht="18" hidden="false" customHeight="true" outlineLevel="0" collapsed="false">
      <c r="C23" s="17" t="s">
        <v>139</v>
      </c>
      <c r="D23" s="17" t="s">
        <v>140</v>
      </c>
    </row>
    <row r="24" customFormat="false" ht="18" hidden="false" customHeight="true" outlineLevel="0" collapsed="false">
      <c r="C24" s="17" t="s">
        <v>141</v>
      </c>
      <c r="D24" s="17" t="s">
        <v>142</v>
      </c>
    </row>
    <row r="25" customFormat="false" ht="18" hidden="false" customHeight="true" outlineLevel="0" collapsed="false">
      <c r="C25" s="17" t="s">
        <v>143</v>
      </c>
      <c r="D25" s="17" t="s">
        <v>144</v>
      </c>
    </row>
    <row r="26" customFormat="false" ht="18" hidden="false" customHeight="true" outlineLevel="0" collapsed="false">
      <c r="C26" s="17" t="s">
        <v>145</v>
      </c>
      <c r="D26" s="17" t="s">
        <v>146</v>
      </c>
    </row>
    <row r="27" customFormat="false" ht="18" hidden="false" customHeight="true" outlineLevel="0" collapsed="false">
      <c r="C27" s="17" t="s">
        <v>147</v>
      </c>
      <c r="D27" s="17" t="s">
        <v>148</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2"/>
    <col collapsed="false" customWidth="true" hidden="false" outlineLevel="0" max="4" min="4" style="0" width="16"/>
    <col collapsed="false" customWidth="true" hidden="false" outlineLevel="0" max="5" min="5" style="0" width="10"/>
    <col collapsed="false" customWidth="true" hidden="false" outlineLevel="0" max="6" min="6" style="0" width="16"/>
    <col collapsed="false" customWidth="true" hidden="false" outlineLevel="0" max="7" min="7" style="0" width="30"/>
    <col collapsed="false" customWidth="true" hidden="false" outlineLevel="0" max="8" min="8" style="0" width="26"/>
    <col collapsed="false" customWidth="true" hidden="false" outlineLevel="0" max="9" min="9" style="0" width="20"/>
    <col collapsed="false" customWidth="true" hidden="false" outlineLevel="0" max="10" min="10" style="0" width="13"/>
    <col collapsed="false" customWidth="true" hidden="false" outlineLevel="0" max="11" min="11" style="0" width="30"/>
  </cols>
  <sheetData>
    <row r="1" customFormat="false" ht="15" hidden="false" customHeight="false" outlineLevel="0" collapsed="false">
      <c r="B1" s="12" t="s">
        <v>24</v>
      </c>
    </row>
    <row r="2" customFormat="false" ht="22.05" hidden="false" customHeight="false" outlineLevel="0" collapsed="false">
      <c r="B2" s="13" t="s">
        <v>149</v>
      </c>
    </row>
    <row r="3" customFormat="false" ht="15" hidden="false" customHeight="false" outlineLevel="0" collapsed="false">
      <c r="B3" s="14" t="s">
        <v>150</v>
      </c>
    </row>
    <row r="4" customFormat="false" ht="30" hidden="false" customHeight="true" outlineLevel="0" collapsed="false">
      <c r="B4" s="15" t="s">
        <v>151</v>
      </c>
      <c r="C4" s="15" t="s">
        <v>152</v>
      </c>
      <c r="D4" s="15" t="s">
        <v>153</v>
      </c>
      <c r="E4" s="15" t="s">
        <v>154</v>
      </c>
      <c r="F4" s="15" t="s">
        <v>155</v>
      </c>
      <c r="G4" s="15" t="s">
        <v>156</v>
      </c>
      <c r="H4" s="15" t="s">
        <v>157</v>
      </c>
      <c r="I4" s="15" t="s">
        <v>158</v>
      </c>
      <c r="J4" s="15" t="s">
        <v>159</v>
      </c>
      <c r="K4" s="15" t="s">
        <v>160</v>
      </c>
    </row>
    <row r="5" customFormat="false" ht="15" hidden="false" customHeight="false" outlineLevel="0" collapsed="false">
      <c r="B5" s="19"/>
      <c r="C5" s="19"/>
      <c r="D5" s="19"/>
      <c r="E5" s="19"/>
      <c r="F5" s="19"/>
      <c r="G5" s="19"/>
      <c r="H5" s="19"/>
      <c r="I5" s="19"/>
      <c r="J5" s="20"/>
      <c r="K5" s="19"/>
    </row>
    <row r="6" customFormat="false" ht="15" hidden="false" customHeight="false" outlineLevel="0" collapsed="false">
      <c r="B6" s="19"/>
      <c r="C6" s="19"/>
      <c r="D6" s="19"/>
      <c r="E6" s="19"/>
      <c r="F6" s="19"/>
      <c r="G6" s="19"/>
      <c r="H6" s="19"/>
      <c r="I6" s="19"/>
      <c r="J6" s="20"/>
      <c r="K6" s="19"/>
    </row>
    <row r="7" customFormat="false" ht="15" hidden="false" customHeight="false" outlineLevel="0" collapsed="false">
      <c r="B7" s="19"/>
      <c r="C7" s="19"/>
      <c r="D7" s="19"/>
      <c r="E7" s="19"/>
      <c r="F7" s="19"/>
      <c r="G7" s="19"/>
      <c r="H7" s="19"/>
      <c r="I7" s="19"/>
      <c r="J7" s="20"/>
      <c r="K7" s="19"/>
    </row>
    <row r="8" customFormat="false" ht="15" hidden="false" customHeight="false" outlineLevel="0" collapsed="false">
      <c r="B8" s="19"/>
      <c r="C8" s="19"/>
      <c r="D8" s="19"/>
      <c r="E8" s="19"/>
      <c r="F8" s="19"/>
      <c r="G8" s="19"/>
      <c r="H8" s="19"/>
      <c r="I8" s="19"/>
      <c r="J8" s="20"/>
      <c r="K8" s="19"/>
    </row>
    <row r="9" customFormat="false" ht="15" hidden="false" customHeight="false" outlineLevel="0" collapsed="false">
      <c r="B9" s="19"/>
      <c r="C9" s="19"/>
      <c r="D9" s="19"/>
      <c r="E9" s="19"/>
      <c r="F9" s="19"/>
      <c r="G9" s="19"/>
      <c r="H9" s="19"/>
      <c r="I9" s="19"/>
      <c r="J9" s="20"/>
      <c r="K9" s="19"/>
    </row>
    <row r="10" customFormat="false" ht="15" hidden="false" customHeight="false" outlineLevel="0" collapsed="false">
      <c r="B10" s="19"/>
      <c r="C10" s="19"/>
      <c r="D10" s="19"/>
      <c r="E10" s="19"/>
      <c r="F10" s="19"/>
      <c r="G10" s="19"/>
      <c r="H10" s="19"/>
      <c r="I10" s="19"/>
      <c r="J10" s="20"/>
      <c r="K10" s="19"/>
    </row>
    <row r="11" customFormat="false" ht="15" hidden="false" customHeight="false" outlineLevel="0" collapsed="false">
      <c r="B11" s="19"/>
      <c r="C11" s="19"/>
      <c r="D11" s="19"/>
      <c r="E11" s="19"/>
      <c r="F11" s="19"/>
      <c r="G11" s="19"/>
      <c r="H11" s="19"/>
      <c r="I11" s="19"/>
      <c r="J11" s="20"/>
      <c r="K11" s="19"/>
    </row>
    <row r="12" customFormat="false" ht="15" hidden="false" customHeight="false" outlineLevel="0" collapsed="false">
      <c r="B12" s="19"/>
      <c r="C12" s="19"/>
      <c r="D12" s="19"/>
      <c r="E12" s="19"/>
      <c r="F12" s="19"/>
      <c r="G12" s="19"/>
      <c r="H12" s="19"/>
      <c r="I12" s="19"/>
      <c r="J12" s="20"/>
      <c r="K12" s="19"/>
    </row>
    <row r="13" customFormat="false" ht="15" hidden="false" customHeight="false" outlineLevel="0" collapsed="false">
      <c r="B13" s="19"/>
      <c r="C13" s="19"/>
      <c r="D13" s="19"/>
      <c r="E13" s="19"/>
      <c r="F13" s="19"/>
      <c r="G13" s="19"/>
      <c r="H13" s="19"/>
      <c r="I13" s="19"/>
      <c r="J13" s="20"/>
      <c r="K13" s="19"/>
    </row>
    <row r="14" customFormat="false" ht="15" hidden="false" customHeight="false" outlineLevel="0" collapsed="false">
      <c r="B14" s="19"/>
      <c r="C14" s="19"/>
      <c r="D14" s="19"/>
      <c r="E14" s="19"/>
      <c r="F14" s="19"/>
      <c r="G14" s="19"/>
      <c r="H14" s="19"/>
      <c r="I14" s="19"/>
      <c r="J14" s="20"/>
      <c r="K14" s="19"/>
    </row>
    <row r="15" customFormat="false" ht="15" hidden="false" customHeight="false" outlineLevel="0" collapsed="false">
      <c r="B15" s="19"/>
      <c r="C15" s="19"/>
      <c r="D15" s="19"/>
      <c r="E15" s="19"/>
      <c r="F15" s="19"/>
      <c r="G15" s="19"/>
      <c r="H15" s="19"/>
      <c r="I15" s="19"/>
      <c r="J15" s="20"/>
      <c r="K15" s="19"/>
    </row>
    <row r="16" customFormat="false" ht="15" hidden="false" customHeight="false" outlineLevel="0" collapsed="false">
      <c r="B16" s="19"/>
      <c r="C16" s="19"/>
      <c r="D16" s="19"/>
      <c r="E16" s="19"/>
      <c r="F16" s="19"/>
      <c r="G16" s="19"/>
      <c r="H16" s="19"/>
      <c r="I16" s="19"/>
      <c r="J16" s="20"/>
      <c r="K16" s="19"/>
    </row>
    <row r="17" customFormat="false" ht="15" hidden="false" customHeight="false" outlineLevel="0" collapsed="false">
      <c r="B17" s="19"/>
      <c r="C17" s="19"/>
      <c r="D17" s="19"/>
      <c r="E17" s="19"/>
      <c r="F17" s="19"/>
      <c r="G17" s="19"/>
      <c r="H17" s="19"/>
      <c r="I17" s="19"/>
      <c r="J17" s="20"/>
      <c r="K17" s="19"/>
    </row>
    <row r="18" customFormat="false" ht="15" hidden="false" customHeight="false" outlineLevel="0" collapsed="false">
      <c r="B18" s="19"/>
      <c r="C18" s="19"/>
      <c r="D18" s="19"/>
      <c r="E18" s="19"/>
      <c r="F18" s="19"/>
      <c r="G18" s="19"/>
      <c r="H18" s="19"/>
      <c r="I18" s="19"/>
      <c r="J18" s="20"/>
      <c r="K18" s="19"/>
    </row>
    <row r="19" customFormat="false" ht="15" hidden="false" customHeight="false" outlineLevel="0" collapsed="false">
      <c r="B19" s="19"/>
      <c r="C19" s="19"/>
      <c r="D19" s="19"/>
      <c r="E19" s="19"/>
      <c r="F19" s="19"/>
      <c r="G19" s="19"/>
      <c r="H19" s="19"/>
      <c r="I19" s="19"/>
      <c r="J19" s="20"/>
      <c r="K19" s="19"/>
    </row>
    <row r="20" customFormat="false" ht="15" hidden="false" customHeight="false" outlineLevel="0" collapsed="false">
      <c r="B20" s="19"/>
      <c r="C20" s="19"/>
      <c r="D20" s="19"/>
      <c r="E20" s="19"/>
      <c r="F20" s="19"/>
      <c r="G20" s="19"/>
      <c r="H20" s="19"/>
      <c r="I20" s="19"/>
      <c r="J20" s="20"/>
      <c r="K20" s="19"/>
    </row>
    <row r="21" customFormat="false" ht="15" hidden="false" customHeight="false" outlineLevel="0" collapsed="false">
      <c r="B21" s="19"/>
      <c r="C21" s="19"/>
      <c r="D21" s="19"/>
      <c r="E21" s="19"/>
      <c r="F21" s="19"/>
      <c r="G21" s="19"/>
      <c r="H21" s="19"/>
      <c r="I21" s="19"/>
      <c r="J21" s="20"/>
      <c r="K21" s="19"/>
    </row>
    <row r="22" customFormat="false" ht="15" hidden="false" customHeight="false" outlineLevel="0" collapsed="false">
      <c r="B22" s="19"/>
      <c r="C22" s="19"/>
      <c r="D22" s="19"/>
      <c r="E22" s="19"/>
      <c r="F22" s="19"/>
      <c r="G22" s="19"/>
      <c r="H22" s="19"/>
      <c r="I22" s="19"/>
      <c r="J22" s="20"/>
      <c r="K22" s="19"/>
    </row>
    <row r="23" customFormat="false" ht="15" hidden="false" customHeight="false" outlineLevel="0" collapsed="false">
      <c r="B23" s="19"/>
      <c r="C23" s="19"/>
      <c r="D23" s="19"/>
      <c r="E23" s="19"/>
      <c r="F23" s="19"/>
      <c r="G23" s="19"/>
      <c r="H23" s="19"/>
      <c r="I23" s="19"/>
      <c r="J23" s="20"/>
      <c r="K23" s="19"/>
    </row>
    <row r="24" customFormat="false" ht="15" hidden="false" customHeight="false" outlineLevel="0" collapsed="false">
      <c r="B24" s="19"/>
      <c r="C24" s="19"/>
      <c r="D24" s="19"/>
      <c r="E24" s="19"/>
      <c r="F24" s="19"/>
      <c r="G24" s="19"/>
      <c r="H24" s="19"/>
      <c r="I24" s="19"/>
      <c r="J24" s="20"/>
      <c r="K24" s="19"/>
    </row>
    <row r="25" customFormat="false" ht="15" hidden="false" customHeight="false" outlineLevel="0" collapsed="false">
      <c r="B25" s="19"/>
      <c r="C25" s="19"/>
      <c r="D25" s="19"/>
      <c r="E25" s="19"/>
      <c r="F25" s="19"/>
      <c r="G25" s="19"/>
      <c r="H25" s="19"/>
      <c r="I25" s="19"/>
      <c r="J25" s="20"/>
      <c r="K25" s="19"/>
    </row>
    <row r="26" customFormat="false" ht="15" hidden="false" customHeight="false" outlineLevel="0" collapsed="false">
      <c r="B26" s="19"/>
      <c r="C26" s="19"/>
      <c r="D26" s="19"/>
      <c r="E26" s="19"/>
      <c r="F26" s="19"/>
      <c r="G26" s="19"/>
      <c r="H26" s="19"/>
      <c r="I26" s="19"/>
      <c r="J26" s="20"/>
      <c r="K26" s="19"/>
    </row>
    <row r="27" customFormat="false" ht="15" hidden="false" customHeight="false" outlineLevel="0" collapsed="false">
      <c r="B27" s="19"/>
      <c r="C27" s="19"/>
      <c r="D27" s="19"/>
      <c r="E27" s="19"/>
      <c r="F27" s="19"/>
      <c r="G27" s="19"/>
      <c r="H27" s="19"/>
      <c r="I27" s="19"/>
      <c r="J27" s="20"/>
      <c r="K27" s="19"/>
    </row>
    <row r="28" customFormat="false" ht="15" hidden="false" customHeight="false" outlineLevel="0" collapsed="false">
      <c r="B28" s="19"/>
      <c r="C28" s="19"/>
      <c r="D28" s="19"/>
      <c r="E28" s="19"/>
      <c r="F28" s="19"/>
      <c r="G28" s="19"/>
      <c r="H28" s="19"/>
      <c r="I28" s="19"/>
      <c r="J28" s="20"/>
      <c r="K28" s="19"/>
    </row>
    <row r="29" customFormat="false" ht="15" hidden="false" customHeight="false" outlineLevel="0" collapsed="false">
      <c r="B29" s="19"/>
      <c r="C29" s="19"/>
      <c r="D29" s="19"/>
      <c r="E29" s="19"/>
      <c r="F29" s="19"/>
      <c r="G29" s="19"/>
      <c r="H29" s="19"/>
      <c r="I29" s="19"/>
      <c r="J29" s="20"/>
      <c r="K29" s="19"/>
    </row>
    <row r="30" customFormat="false" ht="15" hidden="false" customHeight="false" outlineLevel="0" collapsed="false">
      <c r="B30" s="19"/>
      <c r="C30" s="19"/>
      <c r="D30" s="19"/>
      <c r="E30" s="19"/>
      <c r="F30" s="19"/>
      <c r="G30" s="19"/>
      <c r="H30" s="19"/>
      <c r="I30" s="19"/>
      <c r="J30" s="20"/>
      <c r="K30" s="19"/>
    </row>
    <row r="31" customFormat="false" ht="15" hidden="false" customHeight="false" outlineLevel="0" collapsed="false">
      <c r="B31" s="19"/>
      <c r="C31" s="19"/>
      <c r="D31" s="19"/>
      <c r="E31" s="19"/>
      <c r="F31" s="19"/>
      <c r="G31" s="19"/>
      <c r="H31" s="19"/>
      <c r="I31" s="19"/>
      <c r="J31" s="20"/>
      <c r="K31" s="19"/>
    </row>
    <row r="32" customFormat="false" ht="15" hidden="false" customHeight="false" outlineLevel="0" collapsed="false">
      <c r="B32" s="19"/>
      <c r="C32" s="19"/>
      <c r="D32" s="19"/>
      <c r="E32" s="19"/>
      <c r="F32" s="19"/>
      <c r="G32" s="19"/>
      <c r="H32" s="19"/>
      <c r="I32" s="19"/>
      <c r="J32" s="20"/>
      <c r="K32" s="19"/>
    </row>
    <row r="33" customFormat="false" ht="15" hidden="false" customHeight="false" outlineLevel="0" collapsed="false">
      <c r="B33" s="19"/>
      <c r="C33" s="19"/>
      <c r="D33" s="19"/>
      <c r="E33" s="19"/>
      <c r="F33" s="19"/>
      <c r="G33" s="19"/>
      <c r="H33" s="19"/>
      <c r="I33" s="19"/>
      <c r="J33" s="20"/>
      <c r="K33" s="19"/>
    </row>
    <row r="34" customFormat="false" ht="15" hidden="false" customHeight="false" outlineLevel="0" collapsed="false">
      <c r="B34" s="19"/>
      <c r="C34" s="19"/>
      <c r="D34" s="19"/>
      <c r="E34" s="19"/>
      <c r="F34" s="19"/>
      <c r="G34" s="19"/>
      <c r="H34" s="19"/>
      <c r="I34" s="19"/>
      <c r="J34" s="20"/>
      <c r="K34" s="19"/>
    </row>
    <row r="35" customFormat="false" ht="15" hidden="false" customHeight="false" outlineLevel="0" collapsed="false">
      <c r="B35" s="19"/>
      <c r="C35" s="19"/>
      <c r="D35" s="19"/>
      <c r="E35" s="19"/>
      <c r="F35" s="19"/>
      <c r="G35" s="19"/>
      <c r="H35" s="19"/>
      <c r="I35" s="19"/>
      <c r="J35" s="20"/>
      <c r="K35" s="19"/>
    </row>
    <row r="36" customFormat="false" ht="15" hidden="false" customHeight="false" outlineLevel="0" collapsed="false">
      <c r="B36" s="19"/>
      <c r="C36" s="19"/>
      <c r="D36" s="19"/>
      <c r="E36" s="19"/>
      <c r="F36" s="19"/>
      <c r="G36" s="19"/>
      <c r="H36" s="19"/>
      <c r="I36" s="19"/>
      <c r="J36" s="20"/>
      <c r="K36" s="19"/>
    </row>
    <row r="37" customFormat="false" ht="15" hidden="false" customHeight="false" outlineLevel="0" collapsed="false">
      <c r="B37" s="19"/>
      <c r="C37" s="19"/>
      <c r="D37" s="19"/>
      <c r="E37" s="19"/>
      <c r="F37" s="19"/>
      <c r="G37" s="19"/>
      <c r="H37" s="19"/>
      <c r="I37" s="19"/>
      <c r="J37" s="20"/>
      <c r="K37" s="19"/>
    </row>
    <row r="38" customFormat="false" ht="15" hidden="false" customHeight="false" outlineLevel="0" collapsed="false">
      <c r="B38" s="19"/>
      <c r="C38" s="19"/>
      <c r="D38" s="19"/>
      <c r="E38" s="19"/>
      <c r="F38" s="19"/>
      <c r="G38" s="19"/>
      <c r="H38" s="19"/>
      <c r="I38" s="19"/>
      <c r="J38" s="20"/>
      <c r="K38" s="19"/>
    </row>
    <row r="39" customFormat="false" ht="15" hidden="false" customHeight="false" outlineLevel="0" collapsed="false">
      <c r="B39" s="19"/>
      <c r="C39" s="19"/>
      <c r="D39" s="19"/>
      <c r="E39" s="19"/>
      <c r="F39" s="19"/>
      <c r="G39" s="19"/>
      <c r="H39" s="19"/>
      <c r="I39" s="19"/>
      <c r="J39" s="20"/>
      <c r="K39" s="19"/>
    </row>
    <row r="40" customFormat="false" ht="15" hidden="false" customHeight="false" outlineLevel="0" collapsed="false">
      <c r="B40" s="19"/>
      <c r="C40" s="19"/>
      <c r="D40" s="19"/>
      <c r="E40" s="19"/>
      <c r="F40" s="19"/>
      <c r="G40" s="19"/>
      <c r="H40" s="19"/>
      <c r="I40" s="19"/>
      <c r="J40" s="20"/>
      <c r="K40" s="19"/>
    </row>
    <row r="41" customFormat="false" ht="15" hidden="false" customHeight="false" outlineLevel="0" collapsed="false">
      <c r="B41" s="19"/>
      <c r="C41" s="19"/>
      <c r="D41" s="19"/>
      <c r="E41" s="19"/>
      <c r="F41" s="19"/>
      <c r="G41" s="19"/>
      <c r="H41" s="19"/>
      <c r="I41" s="19"/>
      <c r="J41" s="20"/>
      <c r="K41" s="19"/>
    </row>
    <row r="42" customFormat="false" ht="15" hidden="false" customHeight="false" outlineLevel="0" collapsed="false">
      <c r="B42" s="19"/>
      <c r="C42" s="19"/>
      <c r="D42" s="19"/>
      <c r="E42" s="19"/>
      <c r="F42" s="19"/>
      <c r="G42" s="19"/>
      <c r="H42" s="19"/>
      <c r="I42" s="19"/>
      <c r="J42" s="20"/>
      <c r="K42" s="19"/>
    </row>
    <row r="43" customFormat="false" ht="15" hidden="false" customHeight="false" outlineLevel="0" collapsed="false">
      <c r="B43" s="19"/>
      <c r="C43" s="19"/>
      <c r="D43" s="19"/>
      <c r="E43" s="19"/>
      <c r="F43" s="19"/>
      <c r="G43" s="19"/>
      <c r="H43" s="19"/>
      <c r="I43" s="19"/>
      <c r="J43" s="20"/>
      <c r="K43" s="19"/>
    </row>
    <row r="44" customFormat="false" ht="15" hidden="false" customHeight="false" outlineLevel="0" collapsed="false">
      <c r="B44" s="19"/>
      <c r="C44" s="19"/>
      <c r="D44" s="19"/>
      <c r="E44" s="19"/>
      <c r="F44" s="19"/>
      <c r="G44" s="19"/>
      <c r="H44" s="19"/>
      <c r="I44" s="19"/>
      <c r="J44" s="20"/>
      <c r="K44" s="19"/>
    </row>
    <row r="45" customFormat="false" ht="15" hidden="false" customHeight="false" outlineLevel="0" collapsed="false">
      <c r="B45" s="19"/>
      <c r="C45" s="19"/>
      <c r="D45" s="19"/>
      <c r="E45" s="19"/>
      <c r="F45" s="19"/>
      <c r="G45" s="19"/>
      <c r="H45" s="19"/>
      <c r="I45" s="19"/>
      <c r="J45" s="20"/>
      <c r="K45" s="19"/>
    </row>
    <row r="46" customFormat="false" ht="15" hidden="false" customHeight="false" outlineLevel="0" collapsed="false">
      <c r="B46" s="19"/>
      <c r="C46" s="19"/>
      <c r="D46" s="19"/>
      <c r="E46" s="19"/>
      <c r="F46" s="19"/>
      <c r="G46" s="19"/>
      <c r="H46" s="19"/>
      <c r="I46" s="19"/>
      <c r="J46" s="20"/>
      <c r="K46" s="19"/>
    </row>
    <row r="47" customFormat="false" ht="15" hidden="false" customHeight="false" outlineLevel="0" collapsed="false">
      <c r="B47" s="19"/>
      <c r="C47" s="19"/>
      <c r="D47" s="19"/>
      <c r="E47" s="19"/>
      <c r="F47" s="19"/>
      <c r="G47" s="19"/>
      <c r="H47" s="19"/>
      <c r="I47" s="19"/>
      <c r="J47" s="20"/>
      <c r="K47" s="19"/>
    </row>
    <row r="48" customFormat="false" ht="15" hidden="false" customHeight="false" outlineLevel="0" collapsed="false">
      <c r="B48" s="19"/>
      <c r="C48" s="19"/>
      <c r="D48" s="19"/>
      <c r="E48" s="19"/>
      <c r="F48" s="19"/>
      <c r="G48" s="19"/>
      <c r="H48" s="19"/>
      <c r="I48" s="19"/>
      <c r="J48" s="20"/>
      <c r="K48" s="19"/>
    </row>
    <row r="49" customFormat="false" ht="15" hidden="false" customHeight="false" outlineLevel="0" collapsed="false">
      <c r="B49" s="19"/>
      <c r="C49" s="19"/>
      <c r="D49" s="19"/>
      <c r="E49" s="19"/>
      <c r="F49" s="19"/>
      <c r="G49" s="19"/>
      <c r="H49" s="19"/>
      <c r="I49" s="19"/>
      <c r="J49" s="20"/>
      <c r="K49" s="19"/>
    </row>
    <row r="50" customFormat="false" ht="15" hidden="false" customHeight="false" outlineLevel="0" collapsed="false">
      <c r="B50" s="19"/>
      <c r="C50" s="19"/>
      <c r="D50" s="19"/>
      <c r="E50" s="19"/>
      <c r="F50" s="19"/>
      <c r="G50" s="19"/>
      <c r="H50" s="19"/>
      <c r="I50" s="19"/>
      <c r="J50" s="20"/>
      <c r="K50" s="19"/>
    </row>
    <row r="51" customFormat="false" ht="15" hidden="false" customHeight="false" outlineLevel="0" collapsed="false">
      <c r="B51" s="19"/>
      <c r="C51" s="19"/>
      <c r="D51" s="19"/>
      <c r="E51" s="19"/>
      <c r="F51" s="19"/>
      <c r="G51" s="19"/>
      <c r="H51" s="19"/>
      <c r="I51" s="19"/>
      <c r="J51" s="20"/>
      <c r="K51" s="19"/>
    </row>
    <row r="52" customFormat="false" ht="15" hidden="false" customHeight="false" outlineLevel="0" collapsed="false">
      <c r="B52" s="19"/>
      <c r="C52" s="19"/>
      <c r="D52" s="19"/>
      <c r="E52" s="19"/>
      <c r="F52" s="19"/>
      <c r="G52" s="19"/>
      <c r="H52" s="19"/>
      <c r="I52" s="19"/>
      <c r="J52" s="20"/>
      <c r="K52" s="19"/>
    </row>
    <row r="53" customFormat="false" ht="15" hidden="false" customHeight="false" outlineLevel="0" collapsed="false">
      <c r="B53" s="19"/>
      <c r="C53" s="19"/>
      <c r="D53" s="19"/>
      <c r="E53" s="19"/>
      <c r="F53" s="19"/>
      <c r="G53" s="19"/>
      <c r="H53" s="19"/>
      <c r="I53" s="19"/>
      <c r="J53" s="20"/>
      <c r="K53" s="19"/>
    </row>
    <row r="54" customFormat="false" ht="15" hidden="false" customHeight="false" outlineLevel="0" collapsed="false">
      <c r="B54" s="19"/>
      <c r="C54" s="19"/>
      <c r="D54" s="19"/>
      <c r="E54" s="19"/>
      <c r="F54" s="19"/>
      <c r="G54" s="19"/>
      <c r="H54" s="19"/>
      <c r="I54" s="19"/>
      <c r="J54" s="20"/>
      <c r="K54" s="19"/>
    </row>
    <row r="55" customFormat="false" ht="15" hidden="false" customHeight="false" outlineLevel="0" collapsed="false">
      <c r="B55" s="19"/>
      <c r="C55" s="19"/>
      <c r="D55" s="19"/>
      <c r="E55" s="19"/>
      <c r="F55" s="19"/>
      <c r="G55" s="19"/>
      <c r="H55" s="19"/>
      <c r="I55" s="19"/>
      <c r="J55" s="20"/>
      <c r="K55" s="19"/>
    </row>
    <row r="56" customFormat="false" ht="15" hidden="false" customHeight="false" outlineLevel="0" collapsed="false">
      <c r="B56" s="19"/>
      <c r="C56" s="19"/>
      <c r="D56" s="19"/>
      <c r="E56" s="19"/>
      <c r="F56" s="19"/>
      <c r="G56" s="19"/>
      <c r="H56" s="19"/>
      <c r="I56" s="19"/>
      <c r="J56" s="20"/>
      <c r="K56" s="19"/>
    </row>
    <row r="57" customFormat="false" ht="15" hidden="false" customHeight="false" outlineLevel="0" collapsed="false">
      <c r="B57" s="19"/>
      <c r="C57" s="19"/>
      <c r="D57" s="19"/>
      <c r="E57" s="19"/>
      <c r="F57" s="19"/>
      <c r="G57" s="19"/>
      <c r="H57" s="19"/>
      <c r="I57" s="19"/>
      <c r="J57" s="20"/>
      <c r="K57" s="19"/>
    </row>
    <row r="58" customFormat="false" ht="15" hidden="false" customHeight="false" outlineLevel="0" collapsed="false">
      <c r="B58" s="19"/>
      <c r="C58" s="19"/>
      <c r="D58" s="19"/>
      <c r="E58" s="19"/>
      <c r="F58" s="19"/>
      <c r="G58" s="19"/>
      <c r="H58" s="19"/>
      <c r="I58" s="19"/>
      <c r="J58" s="20"/>
      <c r="K58" s="19"/>
    </row>
    <row r="59" customFormat="false" ht="15" hidden="false" customHeight="false" outlineLevel="0" collapsed="false">
      <c r="B59" s="19"/>
      <c r="C59" s="19"/>
      <c r="D59" s="19"/>
      <c r="E59" s="19"/>
      <c r="F59" s="19"/>
      <c r="G59" s="19"/>
      <c r="H59" s="19"/>
      <c r="I59" s="19"/>
      <c r="J59" s="20"/>
      <c r="K59" s="19"/>
    </row>
    <row r="60" customFormat="false" ht="15" hidden="false" customHeight="false" outlineLevel="0" collapsed="false">
      <c r="B60" s="19"/>
      <c r="C60" s="19"/>
      <c r="D60" s="19"/>
      <c r="E60" s="19"/>
      <c r="F60" s="19"/>
      <c r="G60" s="19"/>
      <c r="H60" s="19"/>
      <c r="I60" s="19"/>
      <c r="J60" s="20"/>
      <c r="K60" s="19"/>
    </row>
    <row r="61" customFormat="false" ht="15" hidden="false" customHeight="false" outlineLevel="0" collapsed="false">
      <c r="B61" s="19"/>
      <c r="C61" s="19"/>
      <c r="D61" s="19"/>
      <c r="E61" s="19"/>
      <c r="F61" s="19"/>
      <c r="G61" s="19"/>
      <c r="H61" s="19"/>
      <c r="I61" s="19"/>
      <c r="J61" s="20"/>
      <c r="K61" s="19"/>
    </row>
    <row r="62" customFormat="false" ht="15" hidden="false" customHeight="false" outlineLevel="0" collapsed="false">
      <c r="B62" s="19"/>
      <c r="C62" s="19"/>
      <c r="D62" s="19"/>
      <c r="E62" s="19"/>
      <c r="F62" s="19"/>
      <c r="G62" s="19"/>
      <c r="H62" s="19"/>
      <c r="I62" s="19"/>
      <c r="J62" s="20"/>
      <c r="K62" s="19"/>
    </row>
    <row r="63" customFormat="false" ht="15" hidden="false" customHeight="false" outlineLevel="0" collapsed="false">
      <c r="B63" s="19"/>
      <c r="C63" s="19"/>
      <c r="D63" s="19"/>
      <c r="E63" s="19"/>
      <c r="F63" s="19"/>
      <c r="G63" s="19"/>
      <c r="H63" s="19"/>
      <c r="I63" s="19"/>
      <c r="J63" s="20"/>
      <c r="K63" s="19"/>
    </row>
    <row r="64" customFormat="false" ht="15" hidden="false" customHeight="false" outlineLevel="0" collapsed="false">
      <c r="B64" s="19"/>
      <c r="C64" s="19"/>
      <c r="D64" s="19"/>
      <c r="E64" s="19"/>
      <c r="F64" s="19"/>
      <c r="G64" s="19"/>
      <c r="H64" s="19"/>
      <c r="I64" s="19"/>
      <c r="J64" s="20"/>
      <c r="K64" s="19"/>
    </row>
    <row r="65" customFormat="false" ht="15" hidden="false" customHeight="false" outlineLevel="0" collapsed="false">
      <c r="B65" s="19"/>
      <c r="C65" s="19"/>
      <c r="D65" s="19"/>
      <c r="E65" s="19"/>
      <c r="F65" s="19"/>
      <c r="G65" s="19"/>
      <c r="H65" s="19"/>
      <c r="I65" s="19"/>
      <c r="J65" s="20"/>
      <c r="K65" s="19"/>
    </row>
    <row r="66" customFormat="false" ht="15" hidden="false" customHeight="false" outlineLevel="0" collapsed="false">
      <c r="B66" s="19"/>
      <c r="C66" s="19"/>
      <c r="D66" s="19"/>
      <c r="E66" s="19"/>
      <c r="F66" s="19"/>
      <c r="G66" s="19"/>
      <c r="H66" s="19"/>
      <c r="I66" s="19"/>
      <c r="J66" s="20"/>
      <c r="K66" s="19"/>
    </row>
    <row r="67" customFormat="false" ht="15" hidden="false" customHeight="false" outlineLevel="0" collapsed="false">
      <c r="B67" s="19"/>
      <c r="C67" s="19"/>
      <c r="D67" s="19"/>
      <c r="E67" s="19"/>
      <c r="F67" s="19"/>
      <c r="G67" s="19"/>
      <c r="H67" s="19"/>
      <c r="I67" s="19"/>
      <c r="J67" s="20"/>
      <c r="K67" s="19"/>
    </row>
    <row r="68" customFormat="false" ht="15" hidden="false" customHeight="false" outlineLevel="0" collapsed="false">
      <c r="B68" s="19"/>
      <c r="C68" s="19"/>
      <c r="D68" s="19"/>
      <c r="E68" s="19"/>
      <c r="F68" s="19"/>
      <c r="G68" s="19"/>
      <c r="H68" s="19"/>
      <c r="I68" s="19"/>
      <c r="J68" s="20"/>
      <c r="K68" s="19"/>
    </row>
    <row r="69" customFormat="false" ht="15" hidden="false" customHeight="false" outlineLevel="0" collapsed="false">
      <c r="B69" s="19"/>
      <c r="C69" s="19"/>
      <c r="D69" s="19"/>
      <c r="E69" s="19"/>
      <c r="F69" s="19"/>
      <c r="G69" s="19"/>
      <c r="H69" s="19"/>
      <c r="I69" s="19"/>
      <c r="J69" s="20"/>
      <c r="K69" s="19"/>
    </row>
    <row r="70" customFormat="false" ht="15" hidden="false" customHeight="false" outlineLevel="0" collapsed="false">
      <c r="B70" s="19"/>
      <c r="C70" s="19"/>
      <c r="D70" s="19"/>
      <c r="E70" s="19"/>
      <c r="F70" s="19"/>
      <c r="G70" s="19"/>
      <c r="H70" s="19"/>
      <c r="I70" s="19"/>
      <c r="J70" s="20"/>
      <c r="K70" s="19"/>
    </row>
    <row r="71" customFormat="false" ht="15" hidden="false" customHeight="false" outlineLevel="0" collapsed="false">
      <c r="B71" s="19"/>
      <c r="C71" s="19"/>
      <c r="D71" s="19"/>
      <c r="E71" s="19"/>
      <c r="F71" s="19"/>
      <c r="G71" s="19"/>
      <c r="H71" s="19"/>
      <c r="I71" s="19"/>
      <c r="J71" s="20"/>
      <c r="K71" s="19"/>
    </row>
    <row r="72" customFormat="false" ht="15" hidden="false" customHeight="false" outlineLevel="0" collapsed="false">
      <c r="B72" s="19"/>
      <c r="C72" s="19"/>
      <c r="D72" s="19"/>
      <c r="E72" s="19"/>
      <c r="F72" s="19"/>
      <c r="G72" s="19"/>
      <c r="H72" s="19"/>
      <c r="I72" s="19"/>
      <c r="J72" s="20"/>
      <c r="K72" s="19"/>
    </row>
    <row r="73" customFormat="false" ht="15" hidden="false" customHeight="false" outlineLevel="0" collapsed="false">
      <c r="B73" s="19"/>
      <c r="C73" s="19"/>
      <c r="D73" s="19"/>
      <c r="E73" s="19"/>
      <c r="F73" s="19"/>
      <c r="G73" s="19"/>
      <c r="H73" s="19"/>
      <c r="I73" s="19"/>
      <c r="J73" s="20"/>
      <c r="K73" s="19"/>
    </row>
    <row r="74" customFormat="false" ht="15" hidden="false" customHeight="false" outlineLevel="0" collapsed="false">
      <c r="B74" s="19"/>
      <c r="C74" s="19"/>
      <c r="D74" s="19"/>
      <c r="E74" s="19"/>
      <c r="F74" s="19"/>
      <c r="G74" s="19"/>
      <c r="H74" s="19"/>
      <c r="I74" s="19"/>
      <c r="J74" s="20"/>
      <c r="K74" s="19"/>
    </row>
    <row r="75" customFormat="false" ht="15" hidden="false" customHeight="false" outlineLevel="0" collapsed="false">
      <c r="B75" s="19"/>
      <c r="C75" s="19"/>
      <c r="D75" s="19"/>
      <c r="E75" s="19"/>
      <c r="F75" s="19"/>
      <c r="G75" s="19"/>
      <c r="H75" s="19"/>
      <c r="I75" s="19"/>
      <c r="J75" s="20"/>
      <c r="K75" s="19"/>
    </row>
    <row r="76" customFormat="false" ht="15" hidden="false" customHeight="false" outlineLevel="0" collapsed="false">
      <c r="B76" s="19"/>
      <c r="C76" s="19"/>
      <c r="D76" s="19"/>
      <c r="E76" s="19"/>
      <c r="F76" s="19"/>
      <c r="G76" s="19"/>
      <c r="H76" s="19"/>
      <c r="I76" s="19"/>
      <c r="J76" s="20"/>
      <c r="K76" s="19"/>
    </row>
    <row r="77" customFormat="false" ht="15" hidden="false" customHeight="false" outlineLevel="0" collapsed="false">
      <c r="B77" s="19"/>
      <c r="C77" s="19"/>
      <c r="D77" s="19"/>
      <c r="E77" s="19"/>
      <c r="F77" s="19"/>
      <c r="G77" s="19"/>
      <c r="H77" s="19"/>
      <c r="I77" s="19"/>
      <c r="J77" s="20"/>
      <c r="K77" s="19"/>
    </row>
    <row r="78" customFormat="false" ht="15" hidden="false" customHeight="false" outlineLevel="0" collapsed="false">
      <c r="B78" s="19"/>
      <c r="C78" s="19"/>
      <c r="D78" s="19"/>
      <c r="E78" s="19"/>
      <c r="F78" s="19"/>
      <c r="G78" s="19"/>
      <c r="H78" s="19"/>
      <c r="I78" s="19"/>
      <c r="J78" s="20"/>
      <c r="K78" s="19"/>
    </row>
    <row r="79" customFormat="false" ht="15" hidden="false" customHeight="false" outlineLevel="0" collapsed="false">
      <c r="B79" s="19"/>
      <c r="C79" s="19"/>
      <c r="D79" s="19"/>
      <c r="E79" s="19"/>
      <c r="F79" s="19"/>
      <c r="G79" s="19"/>
      <c r="H79" s="19"/>
      <c r="I79" s="19"/>
      <c r="J79" s="20"/>
      <c r="K79" s="19"/>
    </row>
    <row r="80" customFormat="false" ht="15" hidden="false" customHeight="false" outlineLevel="0" collapsed="false">
      <c r="B80" s="19"/>
      <c r="C80" s="19"/>
      <c r="D80" s="19"/>
      <c r="E80" s="19"/>
      <c r="F80" s="19"/>
      <c r="G80" s="19"/>
      <c r="H80" s="19"/>
      <c r="I80" s="19"/>
      <c r="J80" s="20"/>
      <c r="K80" s="19"/>
    </row>
    <row r="81" customFormat="false" ht="15" hidden="false" customHeight="false" outlineLevel="0" collapsed="false">
      <c r="B81" s="19"/>
      <c r="C81" s="19"/>
      <c r="D81" s="19"/>
      <c r="E81" s="19"/>
      <c r="F81" s="19"/>
      <c r="G81" s="19"/>
      <c r="H81" s="19"/>
      <c r="I81" s="19"/>
      <c r="J81" s="20"/>
      <c r="K81" s="19"/>
    </row>
    <row r="82" customFormat="false" ht="15" hidden="false" customHeight="false" outlineLevel="0" collapsed="false">
      <c r="B82" s="19"/>
      <c r="C82" s="19"/>
      <c r="D82" s="19"/>
      <c r="E82" s="19"/>
      <c r="F82" s="19"/>
      <c r="G82" s="19"/>
      <c r="H82" s="19"/>
      <c r="I82" s="19"/>
      <c r="J82" s="20"/>
      <c r="K82" s="19"/>
    </row>
    <row r="83" customFormat="false" ht="15" hidden="false" customHeight="false" outlineLevel="0" collapsed="false">
      <c r="B83" s="19"/>
      <c r="C83" s="19"/>
      <c r="D83" s="19"/>
      <c r="E83" s="19"/>
      <c r="F83" s="19"/>
      <c r="G83" s="19"/>
      <c r="H83" s="19"/>
      <c r="I83" s="19"/>
      <c r="J83" s="20"/>
      <c r="K83" s="19"/>
    </row>
    <row r="84" customFormat="false" ht="15" hidden="false" customHeight="false" outlineLevel="0" collapsed="false">
      <c r="B84" s="19"/>
      <c r="C84" s="19"/>
      <c r="D84" s="19"/>
      <c r="E84" s="19"/>
      <c r="F84" s="19"/>
      <c r="G84" s="19"/>
      <c r="H84" s="19"/>
      <c r="I84" s="19"/>
      <c r="J84" s="20"/>
      <c r="K84" s="19"/>
    </row>
    <row r="85" customFormat="false" ht="15" hidden="false" customHeight="false" outlineLevel="0" collapsed="false">
      <c r="B85" s="19"/>
      <c r="C85" s="19"/>
      <c r="D85" s="19"/>
      <c r="E85" s="19"/>
      <c r="F85" s="19"/>
      <c r="G85" s="19"/>
      <c r="H85" s="19"/>
      <c r="I85" s="19"/>
      <c r="J85" s="20"/>
      <c r="K85" s="19"/>
    </row>
    <row r="86" customFormat="false" ht="15" hidden="false" customHeight="false" outlineLevel="0" collapsed="false">
      <c r="B86" s="19"/>
      <c r="C86" s="19"/>
      <c r="D86" s="19"/>
      <c r="E86" s="19"/>
      <c r="F86" s="19"/>
      <c r="G86" s="19"/>
      <c r="H86" s="19"/>
      <c r="I86" s="19"/>
      <c r="J86" s="20"/>
      <c r="K86" s="19"/>
    </row>
    <row r="87" customFormat="false" ht="15" hidden="false" customHeight="false" outlineLevel="0" collapsed="false">
      <c r="B87" s="19"/>
      <c r="C87" s="19"/>
      <c r="D87" s="19"/>
      <c r="E87" s="19"/>
      <c r="F87" s="19"/>
      <c r="G87" s="19"/>
      <c r="H87" s="19"/>
      <c r="I87" s="19"/>
      <c r="J87" s="20"/>
      <c r="K87" s="19"/>
    </row>
    <row r="88" customFormat="false" ht="15" hidden="false" customHeight="false" outlineLevel="0" collapsed="false">
      <c r="B88" s="19"/>
      <c r="C88" s="19"/>
      <c r="D88" s="19"/>
      <c r="E88" s="19"/>
      <c r="F88" s="19"/>
      <c r="G88" s="19"/>
      <c r="H88" s="19"/>
      <c r="I88" s="19"/>
      <c r="J88" s="20"/>
      <c r="K88" s="19"/>
    </row>
    <row r="89" customFormat="false" ht="15" hidden="false" customHeight="false" outlineLevel="0" collapsed="false">
      <c r="B89" s="19"/>
      <c r="C89" s="19"/>
      <c r="D89" s="19"/>
      <c r="E89" s="19"/>
      <c r="F89" s="19"/>
      <c r="G89" s="19"/>
      <c r="H89" s="19"/>
      <c r="I89" s="19"/>
      <c r="J89" s="20"/>
      <c r="K89" s="19"/>
    </row>
    <row r="90" customFormat="false" ht="15" hidden="false" customHeight="false" outlineLevel="0" collapsed="false">
      <c r="B90" s="19"/>
      <c r="C90" s="19"/>
      <c r="D90" s="19"/>
      <c r="E90" s="19"/>
      <c r="F90" s="19"/>
      <c r="G90" s="19"/>
      <c r="H90" s="19"/>
      <c r="I90" s="19"/>
      <c r="J90" s="20"/>
      <c r="K90" s="19"/>
    </row>
    <row r="91" customFormat="false" ht="15" hidden="false" customHeight="false" outlineLevel="0" collapsed="false">
      <c r="B91" s="19"/>
      <c r="C91" s="19"/>
      <c r="D91" s="19"/>
      <c r="E91" s="19"/>
      <c r="F91" s="19"/>
      <c r="G91" s="19"/>
      <c r="H91" s="19"/>
      <c r="I91" s="19"/>
      <c r="J91" s="20"/>
      <c r="K91" s="19"/>
    </row>
    <row r="92" customFormat="false" ht="15" hidden="false" customHeight="false" outlineLevel="0" collapsed="false">
      <c r="B92" s="19"/>
      <c r="C92" s="19"/>
      <c r="D92" s="19"/>
      <c r="E92" s="19"/>
      <c r="F92" s="19"/>
      <c r="G92" s="19"/>
      <c r="H92" s="19"/>
      <c r="I92" s="19"/>
      <c r="J92" s="20"/>
      <c r="K92" s="19"/>
    </row>
    <row r="93" customFormat="false" ht="15" hidden="false" customHeight="false" outlineLevel="0" collapsed="false">
      <c r="B93" s="19"/>
      <c r="C93" s="19"/>
      <c r="D93" s="19"/>
      <c r="E93" s="19"/>
      <c r="F93" s="19"/>
      <c r="G93" s="19"/>
      <c r="H93" s="19"/>
      <c r="I93" s="19"/>
      <c r="J93" s="20"/>
      <c r="K93" s="19"/>
    </row>
    <row r="94" customFormat="false" ht="15" hidden="false" customHeight="false" outlineLevel="0" collapsed="false">
      <c r="B94" s="19"/>
      <c r="C94" s="19"/>
      <c r="D94" s="19"/>
      <c r="E94" s="19"/>
      <c r="F94" s="19"/>
      <c r="G94" s="19"/>
      <c r="H94" s="19"/>
      <c r="I94" s="19"/>
      <c r="J94" s="20"/>
      <c r="K94" s="19"/>
    </row>
    <row r="95" customFormat="false" ht="15" hidden="false" customHeight="false" outlineLevel="0" collapsed="false">
      <c r="B95" s="19"/>
      <c r="C95" s="19"/>
      <c r="D95" s="19"/>
      <c r="E95" s="19"/>
      <c r="F95" s="19"/>
      <c r="G95" s="19"/>
      <c r="H95" s="19"/>
      <c r="I95" s="19"/>
      <c r="J95" s="20"/>
      <c r="K95" s="19"/>
    </row>
    <row r="96" customFormat="false" ht="15" hidden="false" customHeight="false" outlineLevel="0" collapsed="false">
      <c r="B96" s="19"/>
      <c r="C96" s="19"/>
      <c r="D96" s="19"/>
      <c r="E96" s="19"/>
      <c r="F96" s="19"/>
      <c r="G96" s="19"/>
      <c r="H96" s="19"/>
      <c r="I96" s="19"/>
      <c r="J96" s="20"/>
      <c r="K96" s="19"/>
    </row>
    <row r="97" customFormat="false" ht="15" hidden="false" customHeight="false" outlineLevel="0" collapsed="false">
      <c r="B97" s="19"/>
      <c r="C97" s="19"/>
      <c r="D97" s="19"/>
      <c r="E97" s="19"/>
      <c r="F97" s="19"/>
      <c r="G97" s="19"/>
      <c r="H97" s="19"/>
      <c r="I97" s="19"/>
      <c r="J97" s="20"/>
      <c r="K97" s="19"/>
    </row>
    <row r="98" customFormat="false" ht="15" hidden="false" customHeight="false" outlineLevel="0" collapsed="false">
      <c r="B98" s="19"/>
      <c r="C98" s="19"/>
      <c r="D98" s="19"/>
      <c r="E98" s="19"/>
      <c r="F98" s="19"/>
      <c r="G98" s="19"/>
      <c r="H98" s="19"/>
      <c r="I98" s="19"/>
      <c r="J98" s="20"/>
      <c r="K98" s="19"/>
    </row>
    <row r="99" customFormat="false" ht="15" hidden="false" customHeight="false" outlineLevel="0" collapsed="false">
      <c r="B99" s="19"/>
      <c r="C99" s="19"/>
      <c r="D99" s="19"/>
      <c r="E99" s="19"/>
      <c r="F99" s="19"/>
      <c r="G99" s="19"/>
      <c r="H99" s="19"/>
      <c r="I99" s="19"/>
      <c r="J99" s="20"/>
      <c r="K99" s="19"/>
    </row>
    <row r="100" customFormat="false" ht="15" hidden="false" customHeight="false" outlineLevel="0" collapsed="false">
      <c r="B100" s="19"/>
      <c r="C100" s="19"/>
      <c r="D100" s="19"/>
      <c r="E100" s="19"/>
      <c r="F100" s="19"/>
      <c r="G100" s="19"/>
      <c r="H100" s="19"/>
      <c r="I100" s="19"/>
      <c r="J100" s="20"/>
      <c r="K100" s="19"/>
    </row>
    <row r="101" customFormat="false" ht="15" hidden="false" customHeight="false" outlineLevel="0" collapsed="false">
      <c r="B101" s="19"/>
      <c r="C101" s="19"/>
      <c r="D101" s="19"/>
      <c r="E101" s="19"/>
      <c r="F101" s="19"/>
      <c r="G101" s="19"/>
      <c r="H101" s="19"/>
      <c r="I101" s="19"/>
      <c r="J101" s="20"/>
      <c r="K101" s="19"/>
    </row>
    <row r="102" customFormat="false" ht="15" hidden="false" customHeight="false" outlineLevel="0" collapsed="false">
      <c r="B102" s="19"/>
      <c r="C102" s="19"/>
      <c r="D102" s="19"/>
      <c r="E102" s="19"/>
      <c r="F102" s="19"/>
      <c r="G102" s="19"/>
      <c r="H102" s="19"/>
      <c r="I102" s="19"/>
      <c r="J102" s="20"/>
      <c r="K102" s="19"/>
    </row>
    <row r="103" customFormat="false" ht="15" hidden="false" customHeight="false" outlineLevel="0" collapsed="false">
      <c r="B103" s="19"/>
      <c r="C103" s="19"/>
      <c r="D103" s="19"/>
      <c r="E103" s="19"/>
      <c r="F103" s="19"/>
      <c r="G103" s="19"/>
      <c r="H103" s="19"/>
      <c r="I103" s="19"/>
      <c r="J103" s="20"/>
      <c r="K103" s="19"/>
    </row>
    <row r="104" customFormat="false" ht="15" hidden="false" customHeight="false" outlineLevel="0" collapsed="false">
      <c r="B104" s="19"/>
      <c r="C104" s="19"/>
      <c r="D104" s="19"/>
      <c r="E104" s="19"/>
      <c r="F104" s="19"/>
      <c r="G104" s="19"/>
      <c r="H104" s="19"/>
      <c r="I104" s="19"/>
      <c r="J104" s="20"/>
      <c r="K104" s="19"/>
    </row>
  </sheetData>
  <dataValidations count="4">
    <dataValidation allowBlank="true" errorStyle="stop" operator="between" showDropDown="false" showErrorMessage="false" showInputMessage="false" sqref="E5:E104" type="list">
      <formula1>"R,L,S"</formula1>
      <formula2>0</formula2>
    </dataValidation>
    <dataValidation allowBlank="true" errorStyle="stop" operator="between" showDropDown="false" showErrorMessage="false" showInputMessage="false" sqref="F5:F104" type="list">
      <formula1>"Beginner,Developing,Experienced"</formula1>
      <formula2>0</formula2>
    </dataValidation>
    <dataValidation allowBlank="true" error="This Player ID is already used." errorStyle="stop" errorTitle="Duplicate ID" operator="between" showDropDown="false" showErrorMessage="true" showInputMessage="false" sqref="B5:B104" type="custom">
      <formula1>COUNTIF($B$5:$B$104,B5)=1</formula1>
      <formula2>0</formula2>
    </dataValidation>
    <dataValidation allowBlank="true" errorStyle="stop" operator="greaterThan" showDropDown="false" showErrorMessage="false" showInputMessage="false" sqref="J5:J104" type="date">
      <formula1>36526</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36"/>
    <col collapsed="false" customWidth="true" hidden="false" outlineLevel="0" max="4" min="4" style="0" width="34"/>
    <col collapsed="false" customWidth="true" hidden="false" outlineLevel="0" max="5" min="5" style="0" width="13"/>
    <col collapsed="false" customWidth="true" hidden="false" outlineLevel="0" max="6" min="6" style="0" width="36"/>
    <col collapsed="false" customWidth="true" hidden="false" outlineLevel="0" max="7" min="7" style="0" width="18"/>
  </cols>
  <sheetData>
    <row r="1" customFormat="false" ht="15" hidden="false" customHeight="false" outlineLevel="0" collapsed="false">
      <c r="B1" s="12" t="s">
        <v>24</v>
      </c>
    </row>
    <row r="2" customFormat="false" ht="22.05" hidden="false" customHeight="false" outlineLevel="0" collapsed="false">
      <c r="B2" s="13" t="s">
        <v>161</v>
      </c>
    </row>
    <row r="3" customFormat="false" ht="15" hidden="false" customHeight="false" outlineLevel="0" collapsed="false">
      <c r="B3" s="14" t="s">
        <v>162</v>
      </c>
    </row>
    <row r="5" customFormat="false" ht="30" hidden="false" customHeight="true" outlineLevel="0" collapsed="false">
      <c r="B5" s="15" t="s">
        <v>163</v>
      </c>
      <c r="C5" s="15" t="s">
        <v>28</v>
      </c>
      <c r="D5" s="15" t="s">
        <v>164</v>
      </c>
      <c r="E5" s="15" t="s">
        <v>165</v>
      </c>
      <c r="F5" s="15" t="s">
        <v>166</v>
      </c>
      <c r="G5" s="15" t="s">
        <v>167</v>
      </c>
    </row>
    <row r="6" customFormat="false" ht="18" hidden="false" customHeight="true" outlineLevel="0" collapsed="false">
      <c r="B6" s="17" t="s">
        <v>168</v>
      </c>
      <c r="C6" s="17" t="s">
        <v>169</v>
      </c>
      <c r="D6" s="18" t="s">
        <v>170</v>
      </c>
      <c r="E6" s="17" t="s">
        <v>171</v>
      </c>
      <c r="F6" s="17" t="s">
        <v>172</v>
      </c>
      <c r="G6" s="17" t="s">
        <v>173</v>
      </c>
    </row>
    <row r="7" customFormat="false" ht="18" hidden="false" customHeight="true" outlineLevel="0" collapsed="false">
      <c r="B7" s="17" t="s">
        <v>174</v>
      </c>
      <c r="C7" s="17" t="s">
        <v>169</v>
      </c>
      <c r="D7" s="18" t="s">
        <v>175</v>
      </c>
      <c r="E7" s="17" t="s">
        <v>171</v>
      </c>
      <c r="F7" s="17" t="s">
        <v>176</v>
      </c>
      <c r="G7" s="17" t="s">
        <v>173</v>
      </c>
    </row>
    <row r="8" customFormat="false" ht="18" hidden="false" customHeight="true" outlineLevel="0" collapsed="false">
      <c r="B8" s="17" t="s">
        <v>177</v>
      </c>
      <c r="C8" s="17" t="s">
        <v>169</v>
      </c>
      <c r="D8" s="18" t="s">
        <v>178</v>
      </c>
      <c r="E8" s="17" t="s">
        <v>171</v>
      </c>
      <c r="F8" s="17" t="s">
        <v>179</v>
      </c>
      <c r="G8" s="17" t="s">
        <v>173</v>
      </c>
    </row>
    <row r="9" customFormat="false" ht="18" hidden="false" customHeight="true" outlineLevel="0" collapsed="false">
      <c r="B9" s="17" t="s">
        <v>180</v>
      </c>
      <c r="C9" s="17" t="s">
        <v>169</v>
      </c>
      <c r="D9" s="18" t="s">
        <v>181</v>
      </c>
      <c r="E9" s="17" t="s">
        <v>171</v>
      </c>
      <c r="F9" s="17" t="s">
        <v>182</v>
      </c>
      <c r="G9" s="17" t="s">
        <v>183</v>
      </c>
    </row>
    <row r="10" customFormat="false" ht="18" hidden="false" customHeight="true" outlineLevel="0" collapsed="false">
      <c r="B10" s="17" t="s">
        <v>184</v>
      </c>
      <c r="C10" s="17" t="s">
        <v>169</v>
      </c>
      <c r="D10" s="18" t="s">
        <v>185</v>
      </c>
      <c r="E10" s="17" t="s">
        <v>171</v>
      </c>
      <c r="F10" s="17" t="s">
        <v>186</v>
      </c>
      <c r="G10" s="17" t="s">
        <v>173</v>
      </c>
    </row>
    <row r="11" customFormat="false" ht="18" hidden="false" customHeight="true" outlineLevel="0" collapsed="false">
      <c r="B11" s="17" t="s">
        <v>187</v>
      </c>
      <c r="C11" s="17" t="s">
        <v>169</v>
      </c>
      <c r="D11" s="18" t="s">
        <v>188</v>
      </c>
      <c r="E11" s="17" t="s">
        <v>189</v>
      </c>
      <c r="F11" s="17" t="s">
        <v>190</v>
      </c>
      <c r="G11" s="17" t="s">
        <v>191</v>
      </c>
    </row>
    <row r="12" customFormat="false" ht="31.5" hidden="false" customHeight="true" outlineLevel="0" collapsed="false">
      <c r="B12" s="17" t="s">
        <v>192</v>
      </c>
      <c r="C12" s="17" t="s">
        <v>169</v>
      </c>
      <c r="D12" s="18" t="s">
        <v>193</v>
      </c>
      <c r="E12" s="17" t="s">
        <v>189</v>
      </c>
      <c r="F12" s="17" t="s">
        <v>194</v>
      </c>
      <c r="G12" s="17" t="s">
        <v>195</v>
      </c>
    </row>
    <row r="13" customFormat="false" ht="18" hidden="false" customHeight="true" outlineLevel="0" collapsed="false">
      <c r="B13" s="17" t="s">
        <v>196</v>
      </c>
      <c r="C13" s="17" t="s">
        <v>169</v>
      </c>
      <c r="D13" s="18" t="s">
        <v>197</v>
      </c>
      <c r="E13" s="17" t="s">
        <v>189</v>
      </c>
      <c r="F13" s="17" t="s">
        <v>198</v>
      </c>
      <c r="G13" s="17" t="s">
        <v>199</v>
      </c>
    </row>
    <row r="14" customFormat="false" ht="18" hidden="false" customHeight="true" outlineLevel="0" collapsed="false">
      <c r="B14" s="17" t="s">
        <v>200</v>
      </c>
      <c r="C14" s="17" t="s">
        <v>169</v>
      </c>
      <c r="D14" s="18" t="s">
        <v>201</v>
      </c>
      <c r="E14" s="17" t="s">
        <v>189</v>
      </c>
      <c r="F14" s="17" t="s">
        <v>202</v>
      </c>
      <c r="G14" s="17" t="s">
        <v>203</v>
      </c>
    </row>
    <row r="15" customFormat="false" ht="18" hidden="false" customHeight="true" outlineLevel="0" collapsed="false">
      <c r="B15" s="17" t="s">
        <v>204</v>
      </c>
      <c r="C15" s="17" t="s">
        <v>169</v>
      </c>
      <c r="D15" s="18" t="s">
        <v>205</v>
      </c>
      <c r="E15" s="17" t="s">
        <v>189</v>
      </c>
      <c r="F15" s="17" t="s">
        <v>206</v>
      </c>
      <c r="G15" s="17" t="s">
        <v>173</v>
      </c>
    </row>
    <row r="16" customFormat="false" ht="18" hidden="false" customHeight="true" outlineLevel="0" collapsed="false">
      <c r="B16" s="17" t="s">
        <v>207</v>
      </c>
      <c r="C16" s="17" t="s">
        <v>208</v>
      </c>
      <c r="D16" s="18" t="s">
        <v>209</v>
      </c>
      <c r="E16" s="17" t="s">
        <v>171</v>
      </c>
      <c r="F16" s="17" t="s">
        <v>210</v>
      </c>
      <c r="G16" s="17" t="s">
        <v>211</v>
      </c>
    </row>
    <row r="17" customFormat="false" ht="18" hidden="false" customHeight="true" outlineLevel="0" collapsed="false">
      <c r="B17" s="17" t="s">
        <v>212</v>
      </c>
      <c r="C17" s="17" t="s">
        <v>208</v>
      </c>
      <c r="D17" s="18" t="s">
        <v>213</v>
      </c>
      <c r="E17" s="17" t="s">
        <v>189</v>
      </c>
      <c r="F17" s="17" t="s">
        <v>214</v>
      </c>
      <c r="G17" s="17" t="s">
        <v>173</v>
      </c>
    </row>
    <row r="18" customFormat="false" ht="18" hidden="false" customHeight="true" outlineLevel="0" collapsed="false">
      <c r="B18" s="17" t="s">
        <v>215</v>
      </c>
      <c r="C18" s="17" t="s">
        <v>208</v>
      </c>
      <c r="D18" s="18" t="s">
        <v>216</v>
      </c>
      <c r="E18" s="17" t="s">
        <v>189</v>
      </c>
      <c r="F18" s="17" t="s">
        <v>217</v>
      </c>
      <c r="G18" s="17" t="s">
        <v>173</v>
      </c>
    </row>
    <row r="19" customFormat="false" ht="18" hidden="false" customHeight="true" outlineLevel="0" collapsed="false">
      <c r="B19" s="17" t="s">
        <v>218</v>
      </c>
      <c r="C19" s="17" t="s">
        <v>208</v>
      </c>
      <c r="D19" s="18" t="s">
        <v>219</v>
      </c>
      <c r="E19" s="17" t="s">
        <v>189</v>
      </c>
      <c r="F19" s="17" t="s">
        <v>220</v>
      </c>
      <c r="G19" s="17" t="s">
        <v>221</v>
      </c>
    </row>
    <row r="20" customFormat="false" ht="18" hidden="false" customHeight="true" outlineLevel="0" collapsed="false">
      <c r="B20" s="17" t="s">
        <v>222</v>
      </c>
      <c r="C20" s="17" t="s">
        <v>208</v>
      </c>
      <c r="D20" s="18" t="s">
        <v>223</v>
      </c>
      <c r="E20" s="17" t="s">
        <v>171</v>
      </c>
      <c r="F20" s="17" t="s">
        <v>224</v>
      </c>
      <c r="G20" s="17" t="s">
        <v>225</v>
      </c>
    </row>
    <row r="21" customFormat="false" ht="18" hidden="false" customHeight="true" outlineLevel="0" collapsed="false">
      <c r="B21" s="17" t="s">
        <v>226</v>
      </c>
      <c r="C21" s="17" t="s">
        <v>208</v>
      </c>
      <c r="D21" s="18" t="s">
        <v>227</v>
      </c>
      <c r="E21" s="17" t="s">
        <v>189</v>
      </c>
      <c r="F21" s="17" t="s">
        <v>228</v>
      </c>
      <c r="G21" s="17" t="s">
        <v>229</v>
      </c>
    </row>
    <row r="22" customFormat="false" ht="18" hidden="false" customHeight="true" outlineLevel="0" collapsed="false">
      <c r="B22" s="17" t="s">
        <v>230</v>
      </c>
      <c r="C22" s="17" t="s">
        <v>208</v>
      </c>
      <c r="D22" s="18" t="s">
        <v>231</v>
      </c>
      <c r="E22" s="17" t="s">
        <v>171</v>
      </c>
      <c r="F22" s="17" t="s">
        <v>232</v>
      </c>
      <c r="G22" s="17" t="s">
        <v>173</v>
      </c>
    </row>
    <row r="23" customFormat="false" ht="18" hidden="false" customHeight="true" outlineLevel="0" collapsed="false">
      <c r="B23" s="17" t="s">
        <v>233</v>
      </c>
      <c r="C23" s="17" t="s">
        <v>208</v>
      </c>
      <c r="D23" s="18" t="s">
        <v>234</v>
      </c>
      <c r="E23" s="17" t="s">
        <v>235</v>
      </c>
      <c r="F23" s="17" t="s">
        <v>236</v>
      </c>
      <c r="G23" s="17" t="s">
        <v>237</v>
      </c>
    </row>
    <row r="24" customFormat="false" ht="18" hidden="false" customHeight="true" outlineLevel="0" collapsed="false">
      <c r="B24" s="17" t="s">
        <v>238</v>
      </c>
      <c r="C24" s="17" t="s">
        <v>208</v>
      </c>
      <c r="D24" s="18" t="s">
        <v>239</v>
      </c>
      <c r="E24" s="17" t="s">
        <v>235</v>
      </c>
      <c r="F24" s="17" t="s">
        <v>240</v>
      </c>
      <c r="G24" s="17" t="s">
        <v>237</v>
      </c>
    </row>
    <row r="25" customFormat="false" ht="18" hidden="false" customHeight="true" outlineLevel="0" collapsed="false">
      <c r="B25" s="17" t="s">
        <v>241</v>
      </c>
      <c r="C25" s="17" t="s">
        <v>208</v>
      </c>
      <c r="D25" s="18" t="s">
        <v>242</v>
      </c>
      <c r="E25" s="17" t="s">
        <v>235</v>
      </c>
      <c r="F25" s="17" t="s">
        <v>243</v>
      </c>
      <c r="G25" s="17" t="s">
        <v>237</v>
      </c>
    </row>
    <row r="26" customFormat="false" ht="18" hidden="false" customHeight="true" outlineLevel="0" collapsed="false">
      <c r="B26" s="17" t="s">
        <v>244</v>
      </c>
      <c r="C26" s="17" t="s">
        <v>245</v>
      </c>
      <c r="D26" s="18" t="s">
        <v>246</v>
      </c>
      <c r="E26" s="17" t="s">
        <v>171</v>
      </c>
      <c r="F26" s="17" t="s">
        <v>247</v>
      </c>
      <c r="G26" s="17" t="s">
        <v>248</v>
      </c>
    </row>
    <row r="27" customFormat="false" ht="18" hidden="false" customHeight="true" outlineLevel="0" collapsed="false">
      <c r="B27" s="17" t="s">
        <v>249</v>
      </c>
      <c r="C27" s="17" t="s">
        <v>245</v>
      </c>
      <c r="D27" s="18" t="s">
        <v>250</v>
      </c>
      <c r="E27" s="17" t="s">
        <v>171</v>
      </c>
      <c r="F27" s="17" t="s">
        <v>251</v>
      </c>
      <c r="G27" s="17" t="s">
        <v>248</v>
      </c>
    </row>
    <row r="28" customFormat="false" ht="18" hidden="false" customHeight="true" outlineLevel="0" collapsed="false">
      <c r="B28" s="17" t="s">
        <v>252</v>
      </c>
      <c r="C28" s="17" t="s">
        <v>245</v>
      </c>
      <c r="D28" s="18" t="s">
        <v>253</v>
      </c>
      <c r="E28" s="17" t="s">
        <v>189</v>
      </c>
      <c r="F28" s="17" t="s">
        <v>176</v>
      </c>
      <c r="G28" s="17" t="s">
        <v>248</v>
      </c>
    </row>
    <row r="29" customFormat="false" ht="18" hidden="false" customHeight="true" outlineLevel="0" collapsed="false">
      <c r="B29" s="17" t="s">
        <v>254</v>
      </c>
      <c r="C29" s="17" t="s">
        <v>245</v>
      </c>
      <c r="D29" s="18" t="s">
        <v>255</v>
      </c>
      <c r="E29" s="17" t="s">
        <v>189</v>
      </c>
      <c r="F29" s="17" t="s">
        <v>179</v>
      </c>
      <c r="G29" s="17" t="s">
        <v>248</v>
      </c>
    </row>
    <row r="30" customFormat="false" ht="18" hidden="false" customHeight="true" outlineLevel="0" collapsed="false">
      <c r="B30" s="17" t="s">
        <v>256</v>
      </c>
      <c r="C30" s="17" t="s">
        <v>245</v>
      </c>
      <c r="D30" s="18" t="s">
        <v>257</v>
      </c>
      <c r="E30" s="17" t="s">
        <v>189</v>
      </c>
      <c r="F30" s="17" t="s">
        <v>190</v>
      </c>
      <c r="G30" s="17" t="s">
        <v>258</v>
      </c>
    </row>
    <row r="31" customFormat="false" ht="18" hidden="false" customHeight="true" outlineLevel="0" collapsed="false">
      <c r="B31" s="17" t="s">
        <v>259</v>
      </c>
      <c r="C31" s="17" t="s">
        <v>245</v>
      </c>
      <c r="D31" s="18" t="s">
        <v>260</v>
      </c>
      <c r="E31" s="17" t="s">
        <v>189</v>
      </c>
      <c r="F31" s="17" t="s">
        <v>261</v>
      </c>
      <c r="G31" s="17" t="s">
        <v>258</v>
      </c>
    </row>
    <row r="32" customFormat="false" ht="18" hidden="false" customHeight="true" outlineLevel="0" collapsed="false">
      <c r="B32" s="17" t="s">
        <v>262</v>
      </c>
      <c r="C32" s="17" t="s">
        <v>245</v>
      </c>
      <c r="D32" s="18" t="s">
        <v>263</v>
      </c>
      <c r="E32" s="17" t="s">
        <v>235</v>
      </c>
      <c r="F32" s="17" t="s">
        <v>264</v>
      </c>
      <c r="G32" s="17" t="s">
        <v>265</v>
      </c>
    </row>
    <row r="33" customFormat="false" ht="18" hidden="false" customHeight="true" outlineLevel="0" collapsed="false">
      <c r="B33" s="17" t="s">
        <v>266</v>
      </c>
      <c r="C33" s="17" t="s">
        <v>245</v>
      </c>
      <c r="D33" s="18" t="s">
        <v>267</v>
      </c>
      <c r="E33" s="17" t="s">
        <v>189</v>
      </c>
      <c r="F33" s="17" t="s">
        <v>268</v>
      </c>
      <c r="G33" s="17" t="s">
        <v>258</v>
      </c>
    </row>
    <row r="34" customFormat="false" ht="18" hidden="false" customHeight="true" outlineLevel="0" collapsed="false">
      <c r="B34" s="17" t="s">
        <v>269</v>
      </c>
      <c r="C34" s="17" t="s">
        <v>245</v>
      </c>
      <c r="D34" s="18" t="s">
        <v>270</v>
      </c>
      <c r="E34" s="17" t="s">
        <v>235</v>
      </c>
      <c r="F34" s="17" t="s">
        <v>271</v>
      </c>
      <c r="G34" s="17" t="s">
        <v>258</v>
      </c>
    </row>
    <row r="35" customFormat="false" ht="18" hidden="false" customHeight="true" outlineLevel="0" collapsed="false">
      <c r="B35" s="17" t="s">
        <v>272</v>
      </c>
      <c r="C35" s="17" t="s">
        <v>245</v>
      </c>
      <c r="D35" s="18" t="s">
        <v>273</v>
      </c>
      <c r="E35" s="17" t="s">
        <v>235</v>
      </c>
      <c r="F35" s="17" t="s">
        <v>240</v>
      </c>
      <c r="G35" s="17" t="s">
        <v>274</v>
      </c>
    </row>
    <row r="36" customFormat="false" ht="18" hidden="false" customHeight="true" outlineLevel="0" collapsed="false">
      <c r="B36" s="17" t="s">
        <v>275</v>
      </c>
      <c r="C36" s="17" t="s">
        <v>276</v>
      </c>
      <c r="D36" s="18" t="s">
        <v>277</v>
      </c>
      <c r="E36" s="17" t="s">
        <v>171</v>
      </c>
      <c r="F36" s="17" t="s">
        <v>278</v>
      </c>
      <c r="G36" s="17" t="s">
        <v>279</v>
      </c>
    </row>
    <row r="37" customFormat="false" ht="18" hidden="false" customHeight="true" outlineLevel="0" collapsed="false">
      <c r="B37" s="17" t="s">
        <v>280</v>
      </c>
      <c r="C37" s="17" t="s">
        <v>276</v>
      </c>
      <c r="D37" s="18" t="s">
        <v>281</v>
      </c>
      <c r="E37" s="17" t="s">
        <v>189</v>
      </c>
      <c r="F37" s="17" t="s">
        <v>282</v>
      </c>
      <c r="G37" s="17" t="s">
        <v>283</v>
      </c>
    </row>
    <row r="38" customFormat="false" ht="18" hidden="false" customHeight="true" outlineLevel="0" collapsed="false">
      <c r="B38" s="17" t="s">
        <v>284</v>
      </c>
      <c r="C38" s="17" t="s">
        <v>276</v>
      </c>
      <c r="D38" s="18" t="s">
        <v>285</v>
      </c>
      <c r="E38" s="17" t="s">
        <v>171</v>
      </c>
      <c r="F38" s="17" t="s">
        <v>286</v>
      </c>
      <c r="G38" s="17" t="s">
        <v>283</v>
      </c>
    </row>
    <row r="39" customFormat="false" ht="18" hidden="false" customHeight="true" outlineLevel="0" collapsed="false">
      <c r="B39" s="17" t="s">
        <v>287</v>
      </c>
      <c r="C39" s="17" t="s">
        <v>276</v>
      </c>
      <c r="D39" s="18" t="s">
        <v>288</v>
      </c>
      <c r="E39" s="17" t="s">
        <v>235</v>
      </c>
      <c r="F39" s="17" t="s">
        <v>289</v>
      </c>
      <c r="G39" s="17" t="s">
        <v>290</v>
      </c>
    </row>
    <row r="40" customFormat="false" ht="18" hidden="false" customHeight="true" outlineLevel="0" collapsed="false">
      <c r="B40" s="17" t="s">
        <v>291</v>
      </c>
      <c r="C40" s="17" t="s">
        <v>276</v>
      </c>
      <c r="D40" s="18" t="s">
        <v>292</v>
      </c>
      <c r="E40" s="17" t="s">
        <v>189</v>
      </c>
      <c r="F40" s="17" t="s">
        <v>293</v>
      </c>
      <c r="G40" s="17" t="s">
        <v>294</v>
      </c>
    </row>
    <row r="41" customFormat="false" ht="18" hidden="false" customHeight="true" outlineLevel="0" collapsed="false">
      <c r="B41" s="17" t="s">
        <v>295</v>
      </c>
      <c r="C41" s="17" t="s">
        <v>276</v>
      </c>
      <c r="D41" s="18" t="s">
        <v>296</v>
      </c>
      <c r="E41" s="17" t="s">
        <v>189</v>
      </c>
      <c r="F41" s="17" t="s">
        <v>297</v>
      </c>
      <c r="G41" s="17" t="s">
        <v>298</v>
      </c>
    </row>
    <row r="42" customFormat="false" ht="18" hidden="false" customHeight="true" outlineLevel="0" collapsed="false">
      <c r="B42" s="17" t="s">
        <v>299</v>
      </c>
      <c r="C42" s="17" t="s">
        <v>276</v>
      </c>
      <c r="D42" s="18" t="s">
        <v>300</v>
      </c>
      <c r="E42" s="17" t="s">
        <v>189</v>
      </c>
      <c r="F42" s="17" t="s">
        <v>301</v>
      </c>
      <c r="G42" s="17" t="s">
        <v>298</v>
      </c>
    </row>
    <row r="43" customFormat="false" ht="31.5" hidden="false" customHeight="true" outlineLevel="0" collapsed="false">
      <c r="B43" s="17" t="s">
        <v>302</v>
      </c>
      <c r="C43" s="17" t="s">
        <v>276</v>
      </c>
      <c r="D43" s="18" t="s">
        <v>303</v>
      </c>
      <c r="E43" s="17" t="s">
        <v>235</v>
      </c>
      <c r="F43" s="17" t="s">
        <v>304</v>
      </c>
      <c r="G43" s="17" t="s">
        <v>305</v>
      </c>
    </row>
    <row r="44" customFormat="false" ht="31.5" hidden="false" customHeight="true" outlineLevel="0" collapsed="false">
      <c r="B44" s="17" t="s">
        <v>306</v>
      </c>
      <c r="C44" s="17" t="s">
        <v>276</v>
      </c>
      <c r="D44" s="18" t="s">
        <v>307</v>
      </c>
      <c r="E44" s="17" t="s">
        <v>235</v>
      </c>
      <c r="F44" s="17" t="s">
        <v>308</v>
      </c>
      <c r="G44" s="17" t="s">
        <v>305</v>
      </c>
    </row>
    <row r="45" customFormat="false" ht="18" hidden="false" customHeight="true" outlineLevel="0" collapsed="false">
      <c r="B45" s="17" t="s">
        <v>309</v>
      </c>
      <c r="C45" s="17" t="s">
        <v>276</v>
      </c>
      <c r="D45" s="18" t="s">
        <v>310</v>
      </c>
      <c r="E45" s="17" t="s">
        <v>235</v>
      </c>
      <c r="F45" s="17" t="s">
        <v>311</v>
      </c>
      <c r="G45" s="17" t="s">
        <v>312</v>
      </c>
    </row>
    <row r="47" customFormat="false" ht="15" hidden="false" customHeight="false" outlineLevel="0" collapsed="false">
      <c r="B47" s="6" t="s">
        <v>313</v>
      </c>
      <c r="D47" s="6" t="n">
        <f aca="false">COUNTIF(B6:B45,"H*")</f>
        <v>40</v>
      </c>
    </row>
    <row r="49" customFormat="false" ht="16.15" hidden="false" customHeight="false" outlineLevel="0" collapsed="false">
      <c r="B49" s="5" t="s">
        <v>314</v>
      </c>
    </row>
    <row r="50" customFormat="false" ht="15" hidden="false" customHeight="false" outlineLevel="0" collapsed="false">
      <c r="C50" s="21" t="s">
        <v>169</v>
      </c>
      <c r="D50" s="21" t="n">
        <f aca="false">COUNTIF($C$6:$C$45,C50)</f>
        <v>10</v>
      </c>
    </row>
    <row r="51" customFormat="false" ht="15" hidden="false" customHeight="false" outlineLevel="0" collapsed="false">
      <c r="C51" s="21" t="s">
        <v>208</v>
      </c>
      <c r="D51" s="21" t="n">
        <f aca="false">COUNTIF($C$6:$C$45,C51)</f>
        <v>10</v>
      </c>
    </row>
    <row r="52" customFormat="false" ht="15" hidden="false" customHeight="false" outlineLevel="0" collapsed="false">
      <c r="C52" s="21" t="s">
        <v>245</v>
      </c>
      <c r="D52" s="21" t="n">
        <f aca="false">COUNTIF($C$6:$C$45,C52)</f>
        <v>10</v>
      </c>
    </row>
    <row r="53" customFormat="false" ht="15" hidden="false" customHeight="false" outlineLevel="0" collapsed="false">
      <c r="C53" s="21" t="s">
        <v>276</v>
      </c>
      <c r="D53" s="21" t="n">
        <f aca="false">COUNTIF($C$6:$C$45,C53)</f>
        <v>10</v>
      </c>
    </row>
  </sheetData>
  <hyperlinks>
    <hyperlink ref="B1" location="'Contents'!B2" display="← Contents"/>
    <hyperlink ref="D6" location="'Hitting Drills'!B6" display="Middle-Tee Line Drives"/>
    <hyperlink ref="D7" location="'Hitting Drills'!B7" display="Inside-Pitch Tee"/>
    <hyperlink ref="D8" location="'Hitting Drills'!B8" display="Outside-Pitch Tee"/>
    <hyperlink ref="D9" location="'Hitting Drills'!B9" display="High-Tee Line Drives"/>
    <hyperlink ref="D10" location="'Hitting Drills'!B10" display="Low-Tee Line Drives"/>
    <hyperlink ref="D11" location="'Hitting Drills'!B11" display="Three-Height Tee Ladder"/>
    <hyperlink ref="D12" location="'Hitting Drills'!B12" display="Nine-Zone Tee Circuit"/>
    <hyperlink ref="D13" location="'Hitting Drills'!B13" display="Alternating Inside–Away Tee"/>
    <hyperlink ref="D14" location="'Hitting Drills'!B14" display="Called-Location Tee Challenge"/>
    <hyperlink ref="D15" location="'Hitting Drills'!B15" display="Small-Ball Tee Contact"/>
    <hyperlink ref="D16" location="'Hitting Drills'!B16" display="No-Stride Tee"/>
    <hyperlink ref="D17" location="'Hitting Drills'!B17" display="Launch-Position Tee"/>
    <hyperlink ref="D18" location="'Hitting Drills'!B18" display="Stride–Pause Tee"/>
    <hyperlink ref="D19" location="'Hitting Drills'!B19" display="Pause–Continuous Contrast"/>
    <hyperlink ref="D20" location="'Hitting Drills'!B20" display="Landing-Spot Tee"/>
    <hyperlink ref="D21" location="'Hitting Drills'!B21" display="Hover-to-Stride Tee"/>
    <hyperlink ref="D22" location="'Hitting Drills'!B22" display="Toe-Tap Tee"/>
    <hyperlink ref="D23" location="'Hitting Drills'!B23" display="Walk-Through Tee"/>
    <hyperlink ref="D24" location="'Hitting Drills'!B24" display="Offset-Open Tee"/>
    <hyperlink ref="D25" location="'Hitting Drills'!B25" display="Offset-Closed Tee"/>
    <hyperlink ref="D26" location="'Hitting Drills'!B26" display="Side Soft Toss"/>
    <hyperlink ref="D27" location="'Hitting Drills'!B27" display="Predictable Middle Front Toss"/>
    <hyperlink ref="D28" location="'Hitting Drills'!B28" display="Inside Front Toss"/>
    <hyperlink ref="D29" location="'Hitting Drills'!B29" display="Away Front Toss"/>
    <hyperlink ref="D30" location="'Hitting Drills'!B30" display="High–Low Front Toss"/>
    <hyperlink ref="D31" location="'Hitting Drills'!B31" display="Inside–Away Front Toss"/>
    <hyperlink ref="D32" location="'Hitting Drills'!B32" display="Random Four-Zone Toss"/>
    <hyperlink ref="D33" location="'Hitting Drills'!B33" display="Slow–Normal Toss Timing"/>
    <hyperlink ref="D34" location="'Hitting Drills'!B34" display="Variable-Release Toss"/>
    <hyperlink ref="D35" location="'Hitting Drills'!B35" display="Offset-Open Front Toss"/>
    <hyperlink ref="D36" location="'Hitting Drills'!B36" display="Take–Take–Hit"/>
    <hyperlink ref="D37" location="'Hitting Drills'!B37" display="Hunt-One-Zone"/>
    <hyperlink ref="D38" location="'Hitting Drills'!B38" display="Strike-or-Take"/>
    <hyperlink ref="D39" location="'Hitting Drills'!B39" display="Zone-Edge Decisions"/>
    <hyperlink ref="D40" location="'Hitting Drills'!B40" display="First-Pitch Attack"/>
    <hyperlink ref="D41" location="'Hitting Drills'!B41" display="Advantage-Count Attack"/>
    <hyperlink ref="D42" location="'Hitting Drills'!B42" display="Two-Strike Battle"/>
    <hyperlink ref="D43" location="'Hitting Drills'!B43" display="Runner-on-Second Advance Round"/>
    <hyperlink ref="D44" location="'Hitting Drills'!B44" display="Runner-on-Third Scoring Round"/>
    <hyperlink ref="D45" location="'Hitting Drills'!B45" display="Full-Count Live At-Ba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0"/>
    <col collapsed="false" customWidth="true" hidden="false" outlineLevel="0" max="4" min="4" style="0" width="22"/>
    <col collapsed="false" customWidth="true" hidden="false" outlineLevel="0" max="5" min="5" style="0" width="12"/>
    <col collapsed="false" customWidth="true" hidden="false" outlineLevel="0" max="6" min="6" style="0" width="30"/>
    <col collapsed="false" customWidth="true" hidden="false" outlineLevel="0" max="7" min="7" style="0" width="28"/>
    <col collapsed="false" customWidth="true" hidden="false" outlineLevel="0" max="8" min="8" style="0" width="32"/>
    <col collapsed="false" customWidth="true" hidden="false" outlineLevel="0" max="9" min="9" style="0" width="46"/>
    <col collapsed="false" customWidth="true" hidden="false" outlineLevel="0" max="10" min="10" style="0" width="22"/>
    <col collapsed="false" customWidth="true" hidden="false" outlineLevel="0" max="11" min="11" style="0" width="14"/>
    <col collapsed="false" customWidth="true" hidden="false" outlineLevel="0" max="13" min="12" style="0" width="30"/>
    <col collapsed="false" customWidth="true" hidden="false" outlineLevel="0" max="15" min="14" style="0" width="22"/>
    <col collapsed="false" customWidth="true" hidden="false" outlineLevel="0" max="16" min="16" style="0" width="30"/>
    <col collapsed="false" customWidth="true" hidden="false" outlineLevel="0" max="17" min="17" style="0" width="32"/>
  </cols>
  <sheetData>
    <row r="1" customFormat="false" ht="15" hidden="false" customHeight="false" outlineLevel="0" collapsed="false">
      <c r="B1" s="12" t="s">
        <v>24</v>
      </c>
    </row>
    <row r="2" customFormat="false" ht="22.05" hidden="false" customHeight="false" outlineLevel="0" collapsed="false">
      <c r="B2" s="13" t="s">
        <v>315</v>
      </c>
    </row>
    <row r="3" customFormat="false" ht="15" hidden="false" customHeight="false" outlineLevel="0" collapsed="false">
      <c r="B3" s="14" t="s">
        <v>316</v>
      </c>
    </row>
    <row r="5" customFormat="false" ht="30" hidden="false" customHeight="true" outlineLevel="0" collapsed="false">
      <c r="B5" s="15" t="s">
        <v>163</v>
      </c>
      <c r="C5" s="15" t="s">
        <v>28</v>
      </c>
      <c r="D5" s="15" t="s">
        <v>317</v>
      </c>
      <c r="E5" s="15" t="s">
        <v>165</v>
      </c>
      <c r="F5" s="15" t="s">
        <v>318</v>
      </c>
      <c r="G5" s="15" t="s">
        <v>319</v>
      </c>
      <c r="H5" s="15" t="s">
        <v>320</v>
      </c>
      <c r="I5" s="15" t="s">
        <v>321</v>
      </c>
      <c r="J5" s="15" t="s">
        <v>166</v>
      </c>
      <c r="K5" s="15" t="s">
        <v>167</v>
      </c>
      <c r="L5" s="15" t="s">
        <v>322</v>
      </c>
      <c r="M5" s="15" t="s">
        <v>323</v>
      </c>
      <c r="N5" s="15" t="s">
        <v>324</v>
      </c>
      <c r="O5" s="15" t="s">
        <v>325</v>
      </c>
      <c r="P5" s="15" t="s">
        <v>326</v>
      </c>
      <c r="Q5" s="15" t="s">
        <v>327</v>
      </c>
    </row>
    <row r="6" customFormat="false" ht="60" hidden="false" customHeight="true" outlineLevel="0" collapsed="false">
      <c r="B6" s="22" t="s">
        <v>168</v>
      </c>
      <c r="C6" s="17" t="s">
        <v>169</v>
      </c>
      <c r="D6" s="23" t="s">
        <v>170</v>
      </c>
      <c r="E6" s="17" t="s">
        <v>171</v>
      </c>
      <c r="F6" s="17" t="s">
        <v>328</v>
      </c>
      <c r="G6" s="17" t="s">
        <v>329</v>
      </c>
      <c r="H6" s="17" t="s">
        <v>330</v>
      </c>
      <c r="I6" s="17" t="s">
        <v>331</v>
      </c>
      <c r="J6" s="17" t="s">
        <v>172</v>
      </c>
      <c r="K6" s="17" t="s">
        <v>173</v>
      </c>
      <c r="L6" s="17" t="s">
        <v>332</v>
      </c>
      <c r="M6" s="17" t="s">
        <v>333</v>
      </c>
      <c r="N6" s="17" t="s">
        <v>334</v>
      </c>
      <c r="O6" s="17" t="s">
        <v>335</v>
      </c>
      <c r="P6" s="17" t="s">
        <v>336</v>
      </c>
      <c r="Q6" s="17" t="s">
        <v>337</v>
      </c>
    </row>
    <row r="7" customFormat="false" ht="45.75" hidden="false" customHeight="true" outlineLevel="0" collapsed="false">
      <c r="B7" s="22" t="s">
        <v>174</v>
      </c>
      <c r="C7" s="17" t="s">
        <v>169</v>
      </c>
      <c r="D7" s="23" t="s">
        <v>175</v>
      </c>
      <c r="E7" s="17" t="s">
        <v>171</v>
      </c>
      <c r="F7" s="17" t="s">
        <v>338</v>
      </c>
      <c r="G7" s="17" t="s">
        <v>329</v>
      </c>
      <c r="H7" s="17" t="s">
        <v>339</v>
      </c>
      <c r="I7" s="17" t="s">
        <v>340</v>
      </c>
      <c r="J7" s="17" t="s">
        <v>176</v>
      </c>
      <c r="K7" s="17" t="s">
        <v>173</v>
      </c>
      <c r="L7" s="17" t="s">
        <v>341</v>
      </c>
      <c r="M7" s="17" t="s">
        <v>342</v>
      </c>
      <c r="N7" s="17" t="s">
        <v>343</v>
      </c>
      <c r="O7" s="17" t="s">
        <v>344</v>
      </c>
      <c r="P7" s="17" t="s">
        <v>345</v>
      </c>
      <c r="Q7" s="17" t="s">
        <v>337</v>
      </c>
    </row>
    <row r="8" customFormat="false" ht="45.75" hidden="false" customHeight="true" outlineLevel="0" collapsed="false">
      <c r="B8" s="22" t="s">
        <v>177</v>
      </c>
      <c r="C8" s="17" t="s">
        <v>169</v>
      </c>
      <c r="D8" s="23" t="s">
        <v>178</v>
      </c>
      <c r="E8" s="17" t="s">
        <v>171</v>
      </c>
      <c r="F8" s="17" t="s">
        <v>346</v>
      </c>
      <c r="G8" s="17" t="s">
        <v>329</v>
      </c>
      <c r="H8" s="17" t="s">
        <v>347</v>
      </c>
      <c r="I8" s="17" t="s">
        <v>348</v>
      </c>
      <c r="J8" s="17" t="s">
        <v>179</v>
      </c>
      <c r="K8" s="17" t="s">
        <v>173</v>
      </c>
      <c r="L8" s="17" t="s">
        <v>349</v>
      </c>
      <c r="M8" s="17" t="s">
        <v>350</v>
      </c>
      <c r="N8" s="17" t="s">
        <v>351</v>
      </c>
      <c r="O8" s="17" t="s">
        <v>352</v>
      </c>
      <c r="P8" s="17" t="s">
        <v>353</v>
      </c>
      <c r="Q8" s="17" t="s">
        <v>337</v>
      </c>
    </row>
    <row r="9" customFormat="false" ht="45.75" hidden="false" customHeight="true" outlineLevel="0" collapsed="false">
      <c r="B9" s="22" t="s">
        <v>180</v>
      </c>
      <c r="C9" s="17" t="s">
        <v>169</v>
      </c>
      <c r="D9" s="23" t="s">
        <v>181</v>
      </c>
      <c r="E9" s="17" t="s">
        <v>171</v>
      </c>
      <c r="F9" s="17" t="s">
        <v>354</v>
      </c>
      <c r="G9" s="17" t="s">
        <v>329</v>
      </c>
      <c r="H9" s="17" t="s">
        <v>355</v>
      </c>
      <c r="I9" s="17" t="s">
        <v>356</v>
      </c>
      <c r="J9" s="17" t="s">
        <v>182</v>
      </c>
      <c r="K9" s="17" t="s">
        <v>183</v>
      </c>
      <c r="L9" s="17" t="s">
        <v>357</v>
      </c>
      <c r="M9" s="17" t="s">
        <v>358</v>
      </c>
      <c r="N9" s="17" t="s">
        <v>359</v>
      </c>
      <c r="O9" s="17" t="s">
        <v>360</v>
      </c>
      <c r="P9" s="17" t="s">
        <v>361</v>
      </c>
      <c r="Q9" s="17" t="s">
        <v>337</v>
      </c>
    </row>
    <row r="10" customFormat="false" ht="45.75" hidden="false" customHeight="true" outlineLevel="0" collapsed="false">
      <c r="B10" s="22" t="s">
        <v>184</v>
      </c>
      <c r="C10" s="17" t="s">
        <v>169</v>
      </c>
      <c r="D10" s="23" t="s">
        <v>185</v>
      </c>
      <c r="E10" s="17" t="s">
        <v>171</v>
      </c>
      <c r="F10" s="17" t="s">
        <v>362</v>
      </c>
      <c r="G10" s="17" t="s">
        <v>329</v>
      </c>
      <c r="H10" s="17" t="s">
        <v>363</v>
      </c>
      <c r="I10" s="17" t="s">
        <v>364</v>
      </c>
      <c r="J10" s="17" t="s">
        <v>186</v>
      </c>
      <c r="K10" s="17" t="s">
        <v>173</v>
      </c>
      <c r="L10" s="17" t="s">
        <v>365</v>
      </c>
      <c r="M10" s="17" t="s">
        <v>366</v>
      </c>
      <c r="N10" s="17" t="s">
        <v>367</v>
      </c>
      <c r="O10" s="17" t="s">
        <v>368</v>
      </c>
      <c r="P10" s="17" t="s">
        <v>369</v>
      </c>
      <c r="Q10" s="17" t="s">
        <v>337</v>
      </c>
    </row>
    <row r="11" customFormat="false" ht="45.75" hidden="false" customHeight="true" outlineLevel="0" collapsed="false">
      <c r="B11" s="22" t="s">
        <v>187</v>
      </c>
      <c r="C11" s="17" t="s">
        <v>169</v>
      </c>
      <c r="D11" s="23" t="s">
        <v>188</v>
      </c>
      <c r="E11" s="17" t="s">
        <v>189</v>
      </c>
      <c r="F11" s="17" t="s">
        <v>370</v>
      </c>
      <c r="G11" s="17" t="s">
        <v>329</v>
      </c>
      <c r="H11" s="17" t="s">
        <v>371</v>
      </c>
      <c r="I11" s="17" t="s">
        <v>372</v>
      </c>
      <c r="J11" s="17" t="s">
        <v>190</v>
      </c>
      <c r="K11" s="17" t="s">
        <v>191</v>
      </c>
      <c r="L11" s="17" t="s">
        <v>373</v>
      </c>
      <c r="M11" s="17" t="s">
        <v>374</v>
      </c>
      <c r="N11" s="17" t="s">
        <v>375</v>
      </c>
      <c r="O11" s="17" t="s">
        <v>376</v>
      </c>
      <c r="P11" s="17" t="s">
        <v>377</v>
      </c>
      <c r="Q11" s="17" t="s">
        <v>337</v>
      </c>
    </row>
    <row r="12" customFormat="false" ht="45.75" hidden="false" customHeight="true" outlineLevel="0" collapsed="false">
      <c r="B12" s="22" t="s">
        <v>192</v>
      </c>
      <c r="C12" s="17" t="s">
        <v>169</v>
      </c>
      <c r="D12" s="23" t="s">
        <v>193</v>
      </c>
      <c r="E12" s="17" t="s">
        <v>189</v>
      </c>
      <c r="F12" s="17" t="s">
        <v>378</v>
      </c>
      <c r="G12" s="17" t="s">
        <v>329</v>
      </c>
      <c r="H12" s="17" t="s">
        <v>379</v>
      </c>
      <c r="I12" s="17" t="s">
        <v>380</v>
      </c>
      <c r="J12" s="17" t="s">
        <v>194</v>
      </c>
      <c r="K12" s="17" t="s">
        <v>195</v>
      </c>
      <c r="L12" s="17" t="s">
        <v>381</v>
      </c>
      <c r="M12" s="17" t="s">
        <v>382</v>
      </c>
      <c r="N12" s="17" t="s">
        <v>383</v>
      </c>
      <c r="O12" s="17" t="s">
        <v>384</v>
      </c>
      <c r="P12" s="17" t="s">
        <v>385</v>
      </c>
      <c r="Q12" s="17" t="s">
        <v>337</v>
      </c>
    </row>
    <row r="13" customFormat="false" ht="60" hidden="false" customHeight="true" outlineLevel="0" collapsed="false">
      <c r="B13" s="22" t="s">
        <v>196</v>
      </c>
      <c r="C13" s="17" t="s">
        <v>169</v>
      </c>
      <c r="D13" s="23" t="s">
        <v>197</v>
      </c>
      <c r="E13" s="17" t="s">
        <v>189</v>
      </c>
      <c r="F13" s="17" t="s">
        <v>386</v>
      </c>
      <c r="G13" s="17" t="s">
        <v>387</v>
      </c>
      <c r="H13" s="17" t="s">
        <v>388</v>
      </c>
      <c r="I13" s="17" t="s">
        <v>389</v>
      </c>
      <c r="J13" s="17" t="s">
        <v>198</v>
      </c>
      <c r="K13" s="17" t="s">
        <v>199</v>
      </c>
      <c r="L13" s="17" t="s">
        <v>390</v>
      </c>
      <c r="M13" s="17" t="s">
        <v>391</v>
      </c>
      <c r="N13" s="17" t="s">
        <v>392</v>
      </c>
      <c r="O13" s="17" t="s">
        <v>393</v>
      </c>
      <c r="P13" s="17" t="s">
        <v>394</v>
      </c>
      <c r="Q13" s="17" t="s">
        <v>337</v>
      </c>
    </row>
    <row r="14" customFormat="false" ht="45.75" hidden="false" customHeight="true" outlineLevel="0" collapsed="false">
      <c r="B14" s="22" t="s">
        <v>200</v>
      </c>
      <c r="C14" s="17" t="s">
        <v>169</v>
      </c>
      <c r="D14" s="23" t="s">
        <v>201</v>
      </c>
      <c r="E14" s="17" t="s">
        <v>189</v>
      </c>
      <c r="F14" s="17" t="s">
        <v>395</v>
      </c>
      <c r="G14" s="17" t="s">
        <v>329</v>
      </c>
      <c r="H14" s="17" t="s">
        <v>396</v>
      </c>
      <c r="I14" s="17" t="s">
        <v>397</v>
      </c>
      <c r="J14" s="17" t="s">
        <v>202</v>
      </c>
      <c r="K14" s="17" t="s">
        <v>203</v>
      </c>
      <c r="L14" s="17" t="s">
        <v>398</v>
      </c>
      <c r="M14" s="17" t="s">
        <v>399</v>
      </c>
      <c r="N14" s="17" t="s">
        <v>400</v>
      </c>
      <c r="O14" s="17" t="s">
        <v>401</v>
      </c>
      <c r="P14" s="17" t="s">
        <v>402</v>
      </c>
      <c r="Q14" s="17" t="s">
        <v>337</v>
      </c>
    </row>
    <row r="15" customFormat="false" ht="45.75" hidden="false" customHeight="true" outlineLevel="0" collapsed="false">
      <c r="B15" s="22" t="s">
        <v>204</v>
      </c>
      <c r="C15" s="17" t="s">
        <v>169</v>
      </c>
      <c r="D15" s="23" t="s">
        <v>205</v>
      </c>
      <c r="E15" s="17" t="s">
        <v>189</v>
      </c>
      <c r="F15" s="17" t="s">
        <v>403</v>
      </c>
      <c r="G15" s="17" t="s">
        <v>404</v>
      </c>
      <c r="H15" s="17" t="s">
        <v>405</v>
      </c>
      <c r="I15" s="17" t="s">
        <v>406</v>
      </c>
      <c r="J15" s="17" t="s">
        <v>206</v>
      </c>
      <c r="K15" s="17" t="s">
        <v>173</v>
      </c>
      <c r="L15" s="17" t="s">
        <v>407</v>
      </c>
      <c r="M15" s="17" t="s">
        <v>408</v>
      </c>
      <c r="N15" s="17" t="s">
        <v>409</v>
      </c>
      <c r="O15" s="17" t="s">
        <v>410</v>
      </c>
      <c r="P15" s="17" t="s">
        <v>411</v>
      </c>
      <c r="Q15" s="17" t="s">
        <v>337</v>
      </c>
    </row>
    <row r="16" customFormat="false" ht="45.75" hidden="false" customHeight="true" outlineLevel="0" collapsed="false">
      <c r="B16" s="22" t="s">
        <v>207</v>
      </c>
      <c r="C16" s="17" t="s">
        <v>208</v>
      </c>
      <c r="D16" s="23" t="s">
        <v>209</v>
      </c>
      <c r="E16" s="17" t="s">
        <v>171</v>
      </c>
      <c r="F16" s="17" t="s">
        <v>412</v>
      </c>
      <c r="G16" s="17" t="s">
        <v>329</v>
      </c>
      <c r="H16" s="17" t="s">
        <v>413</v>
      </c>
      <c r="I16" s="17" t="s">
        <v>414</v>
      </c>
      <c r="J16" s="17" t="s">
        <v>210</v>
      </c>
      <c r="K16" s="17" t="s">
        <v>211</v>
      </c>
      <c r="L16" s="17" t="s">
        <v>415</v>
      </c>
      <c r="M16" s="17" t="s">
        <v>416</v>
      </c>
      <c r="N16" s="17" t="s">
        <v>417</v>
      </c>
      <c r="O16" s="17" t="s">
        <v>418</v>
      </c>
      <c r="P16" s="17" t="s">
        <v>419</v>
      </c>
      <c r="Q16" s="17" t="s">
        <v>337</v>
      </c>
    </row>
    <row r="17" customFormat="false" ht="60" hidden="false" customHeight="true" outlineLevel="0" collapsed="false">
      <c r="B17" s="22" t="s">
        <v>212</v>
      </c>
      <c r="C17" s="17" t="s">
        <v>208</v>
      </c>
      <c r="D17" s="23" t="s">
        <v>213</v>
      </c>
      <c r="E17" s="17" t="s">
        <v>189</v>
      </c>
      <c r="F17" s="17" t="s">
        <v>420</v>
      </c>
      <c r="G17" s="17" t="s">
        <v>329</v>
      </c>
      <c r="H17" s="17" t="s">
        <v>421</v>
      </c>
      <c r="I17" s="17" t="s">
        <v>422</v>
      </c>
      <c r="J17" s="17" t="s">
        <v>214</v>
      </c>
      <c r="K17" s="17" t="s">
        <v>173</v>
      </c>
      <c r="L17" s="17" t="s">
        <v>423</v>
      </c>
      <c r="M17" s="17" t="s">
        <v>424</v>
      </c>
      <c r="N17" s="17" t="s">
        <v>425</v>
      </c>
      <c r="O17" s="17" t="s">
        <v>426</v>
      </c>
      <c r="P17" s="17" t="s">
        <v>427</v>
      </c>
      <c r="Q17" s="17" t="s">
        <v>337</v>
      </c>
    </row>
    <row r="18" customFormat="false" ht="45.75" hidden="false" customHeight="true" outlineLevel="0" collapsed="false">
      <c r="B18" s="22" t="s">
        <v>215</v>
      </c>
      <c r="C18" s="17" t="s">
        <v>208</v>
      </c>
      <c r="D18" s="23" t="s">
        <v>216</v>
      </c>
      <c r="E18" s="17" t="s">
        <v>189</v>
      </c>
      <c r="F18" s="17" t="s">
        <v>428</v>
      </c>
      <c r="G18" s="17" t="s">
        <v>329</v>
      </c>
      <c r="H18" s="17" t="s">
        <v>429</v>
      </c>
      <c r="I18" s="17" t="s">
        <v>430</v>
      </c>
      <c r="J18" s="17" t="s">
        <v>217</v>
      </c>
      <c r="K18" s="17" t="s">
        <v>173</v>
      </c>
      <c r="L18" s="17" t="s">
        <v>431</v>
      </c>
      <c r="M18" s="17" t="s">
        <v>432</v>
      </c>
      <c r="N18" s="17" t="s">
        <v>433</v>
      </c>
      <c r="O18" s="17" t="s">
        <v>434</v>
      </c>
      <c r="P18" s="17" t="s">
        <v>435</v>
      </c>
      <c r="Q18" s="17" t="s">
        <v>337</v>
      </c>
    </row>
    <row r="19" customFormat="false" ht="45.75" hidden="false" customHeight="true" outlineLevel="0" collapsed="false">
      <c r="B19" s="22" t="s">
        <v>218</v>
      </c>
      <c r="C19" s="17" t="s">
        <v>208</v>
      </c>
      <c r="D19" s="23" t="s">
        <v>219</v>
      </c>
      <c r="E19" s="17" t="s">
        <v>189</v>
      </c>
      <c r="F19" s="17" t="s">
        <v>436</v>
      </c>
      <c r="G19" s="17" t="s">
        <v>329</v>
      </c>
      <c r="H19" s="17" t="s">
        <v>437</v>
      </c>
      <c r="I19" s="17" t="s">
        <v>438</v>
      </c>
      <c r="J19" s="17" t="s">
        <v>220</v>
      </c>
      <c r="K19" s="17" t="s">
        <v>221</v>
      </c>
      <c r="L19" s="17" t="s">
        <v>439</v>
      </c>
      <c r="M19" s="17" t="s">
        <v>440</v>
      </c>
      <c r="N19" s="17" t="s">
        <v>441</v>
      </c>
      <c r="O19" s="17" t="s">
        <v>442</v>
      </c>
      <c r="P19" s="17" t="s">
        <v>443</v>
      </c>
      <c r="Q19" s="17" t="s">
        <v>337</v>
      </c>
    </row>
    <row r="20" customFormat="false" ht="60" hidden="false" customHeight="true" outlineLevel="0" collapsed="false">
      <c r="B20" s="22" t="s">
        <v>222</v>
      </c>
      <c r="C20" s="17" t="s">
        <v>208</v>
      </c>
      <c r="D20" s="23" t="s">
        <v>223</v>
      </c>
      <c r="E20" s="17" t="s">
        <v>171</v>
      </c>
      <c r="F20" s="17" t="s">
        <v>444</v>
      </c>
      <c r="G20" s="17" t="s">
        <v>445</v>
      </c>
      <c r="H20" s="17" t="s">
        <v>446</v>
      </c>
      <c r="I20" s="17" t="s">
        <v>447</v>
      </c>
      <c r="J20" s="17" t="s">
        <v>224</v>
      </c>
      <c r="K20" s="17" t="s">
        <v>225</v>
      </c>
      <c r="L20" s="17" t="s">
        <v>448</v>
      </c>
      <c r="M20" s="17" t="s">
        <v>449</v>
      </c>
      <c r="N20" s="17" t="s">
        <v>450</v>
      </c>
      <c r="O20" s="17" t="s">
        <v>451</v>
      </c>
      <c r="P20" s="17" t="s">
        <v>452</v>
      </c>
      <c r="Q20" s="17" t="s">
        <v>337</v>
      </c>
    </row>
    <row r="21" customFormat="false" ht="45.75" hidden="false" customHeight="true" outlineLevel="0" collapsed="false">
      <c r="B21" s="22" t="s">
        <v>226</v>
      </c>
      <c r="C21" s="17" t="s">
        <v>208</v>
      </c>
      <c r="D21" s="23" t="s">
        <v>227</v>
      </c>
      <c r="E21" s="17" t="s">
        <v>189</v>
      </c>
      <c r="F21" s="17" t="s">
        <v>453</v>
      </c>
      <c r="G21" s="17" t="s">
        <v>454</v>
      </c>
      <c r="H21" s="17" t="s">
        <v>455</v>
      </c>
      <c r="I21" s="17" t="s">
        <v>456</v>
      </c>
      <c r="J21" s="17" t="s">
        <v>228</v>
      </c>
      <c r="K21" s="17" t="s">
        <v>229</v>
      </c>
      <c r="L21" s="17" t="s">
        <v>457</v>
      </c>
      <c r="M21" s="17" t="s">
        <v>458</v>
      </c>
      <c r="N21" s="17" t="s">
        <v>459</v>
      </c>
      <c r="O21" s="17" t="s">
        <v>460</v>
      </c>
      <c r="P21" s="17" t="s">
        <v>461</v>
      </c>
      <c r="Q21" s="17" t="s">
        <v>337</v>
      </c>
    </row>
    <row r="22" customFormat="false" ht="45.75" hidden="false" customHeight="true" outlineLevel="0" collapsed="false">
      <c r="B22" s="22" t="s">
        <v>230</v>
      </c>
      <c r="C22" s="17" t="s">
        <v>208</v>
      </c>
      <c r="D22" s="23" t="s">
        <v>231</v>
      </c>
      <c r="E22" s="17" t="s">
        <v>171</v>
      </c>
      <c r="F22" s="17" t="s">
        <v>462</v>
      </c>
      <c r="G22" s="17" t="s">
        <v>329</v>
      </c>
      <c r="H22" s="17" t="s">
        <v>437</v>
      </c>
      <c r="I22" s="17" t="s">
        <v>463</v>
      </c>
      <c r="J22" s="17" t="s">
        <v>232</v>
      </c>
      <c r="K22" s="17" t="s">
        <v>173</v>
      </c>
      <c r="L22" s="17" t="s">
        <v>464</v>
      </c>
      <c r="M22" s="17" t="s">
        <v>465</v>
      </c>
      <c r="N22" s="17" t="s">
        <v>466</v>
      </c>
      <c r="O22" s="17" t="s">
        <v>467</v>
      </c>
      <c r="P22" s="17" t="s">
        <v>468</v>
      </c>
      <c r="Q22" s="17" t="s">
        <v>337</v>
      </c>
    </row>
    <row r="23" customFormat="false" ht="60" hidden="false" customHeight="true" outlineLevel="0" collapsed="false">
      <c r="B23" s="22" t="s">
        <v>233</v>
      </c>
      <c r="C23" s="17" t="s">
        <v>208</v>
      </c>
      <c r="D23" s="23" t="s">
        <v>234</v>
      </c>
      <c r="E23" s="17" t="s">
        <v>235</v>
      </c>
      <c r="F23" s="17" t="s">
        <v>469</v>
      </c>
      <c r="G23" s="17" t="s">
        <v>470</v>
      </c>
      <c r="H23" s="17" t="s">
        <v>471</v>
      </c>
      <c r="I23" s="17" t="s">
        <v>472</v>
      </c>
      <c r="J23" s="17" t="s">
        <v>236</v>
      </c>
      <c r="K23" s="17" t="s">
        <v>237</v>
      </c>
      <c r="L23" s="17" t="s">
        <v>473</v>
      </c>
      <c r="M23" s="17" t="s">
        <v>474</v>
      </c>
      <c r="N23" s="17" t="s">
        <v>475</v>
      </c>
      <c r="O23" s="17" t="s">
        <v>476</v>
      </c>
      <c r="P23" s="17" t="s">
        <v>477</v>
      </c>
      <c r="Q23" s="17" t="s">
        <v>337</v>
      </c>
    </row>
    <row r="24" customFormat="false" ht="45.75" hidden="false" customHeight="true" outlineLevel="0" collapsed="false">
      <c r="B24" s="22" t="s">
        <v>238</v>
      </c>
      <c r="C24" s="17" t="s">
        <v>208</v>
      </c>
      <c r="D24" s="23" t="s">
        <v>239</v>
      </c>
      <c r="E24" s="17" t="s">
        <v>235</v>
      </c>
      <c r="F24" s="17" t="s">
        <v>478</v>
      </c>
      <c r="G24" s="17" t="s">
        <v>329</v>
      </c>
      <c r="H24" s="17" t="s">
        <v>479</v>
      </c>
      <c r="I24" s="17" t="s">
        <v>480</v>
      </c>
      <c r="J24" s="17" t="s">
        <v>240</v>
      </c>
      <c r="K24" s="17" t="s">
        <v>237</v>
      </c>
      <c r="L24" s="17" t="s">
        <v>481</v>
      </c>
      <c r="M24" s="17" t="s">
        <v>482</v>
      </c>
      <c r="N24" s="17" t="s">
        <v>483</v>
      </c>
      <c r="O24" s="17" t="s">
        <v>484</v>
      </c>
      <c r="P24" s="17" t="s">
        <v>485</v>
      </c>
      <c r="Q24" s="17" t="s">
        <v>337</v>
      </c>
    </row>
    <row r="25" customFormat="false" ht="45.75" hidden="false" customHeight="true" outlineLevel="0" collapsed="false">
      <c r="B25" s="22" t="s">
        <v>241</v>
      </c>
      <c r="C25" s="17" t="s">
        <v>208</v>
      </c>
      <c r="D25" s="23" t="s">
        <v>242</v>
      </c>
      <c r="E25" s="17" t="s">
        <v>235</v>
      </c>
      <c r="F25" s="17" t="s">
        <v>486</v>
      </c>
      <c r="G25" s="17" t="s">
        <v>329</v>
      </c>
      <c r="H25" s="17" t="s">
        <v>487</v>
      </c>
      <c r="I25" s="17" t="s">
        <v>488</v>
      </c>
      <c r="J25" s="17" t="s">
        <v>243</v>
      </c>
      <c r="K25" s="17" t="s">
        <v>237</v>
      </c>
      <c r="L25" s="17" t="s">
        <v>489</v>
      </c>
      <c r="M25" s="17" t="s">
        <v>490</v>
      </c>
      <c r="N25" s="17" t="s">
        <v>483</v>
      </c>
      <c r="O25" s="17" t="s">
        <v>491</v>
      </c>
      <c r="P25" s="17" t="s">
        <v>492</v>
      </c>
      <c r="Q25" s="17" t="s">
        <v>337</v>
      </c>
    </row>
    <row r="26" customFormat="false" ht="73.5" hidden="false" customHeight="true" outlineLevel="0" collapsed="false">
      <c r="B26" s="22" t="s">
        <v>244</v>
      </c>
      <c r="C26" s="17" t="s">
        <v>245</v>
      </c>
      <c r="D26" s="23" t="s">
        <v>246</v>
      </c>
      <c r="E26" s="17" t="s">
        <v>171</v>
      </c>
      <c r="F26" s="17" t="s">
        <v>493</v>
      </c>
      <c r="G26" s="17" t="s">
        <v>494</v>
      </c>
      <c r="H26" s="17" t="s">
        <v>495</v>
      </c>
      <c r="I26" s="17" t="s">
        <v>496</v>
      </c>
      <c r="J26" s="17" t="s">
        <v>247</v>
      </c>
      <c r="K26" s="17" t="s">
        <v>248</v>
      </c>
      <c r="L26" s="17" t="s">
        <v>497</v>
      </c>
      <c r="M26" s="17" t="s">
        <v>498</v>
      </c>
      <c r="N26" s="17" t="s">
        <v>499</v>
      </c>
      <c r="O26" s="17" t="s">
        <v>500</v>
      </c>
      <c r="P26" s="17" t="s">
        <v>501</v>
      </c>
      <c r="Q26" s="17" t="s">
        <v>502</v>
      </c>
    </row>
    <row r="27" customFormat="false" ht="73.5" hidden="false" customHeight="true" outlineLevel="0" collapsed="false">
      <c r="B27" s="22" t="s">
        <v>249</v>
      </c>
      <c r="C27" s="17" t="s">
        <v>245</v>
      </c>
      <c r="D27" s="23" t="s">
        <v>250</v>
      </c>
      <c r="E27" s="17" t="s">
        <v>171</v>
      </c>
      <c r="F27" s="17" t="s">
        <v>503</v>
      </c>
      <c r="G27" s="17" t="s">
        <v>494</v>
      </c>
      <c r="H27" s="17" t="s">
        <v>504</v>
      </c>
      <c r="I27" s="17" t="s">
        <v>505</v>
      </c>
      <c r="J27" s="17" t="s">
        <v>251</v>
      </c>
      <c r="K27" s="17" t="s">
        <v>248</v>
      </c>
      <c r="L27" s="17" t="s">
        <v>506</v>
      </c>
      <c r="M27" s="17" t="s">
        <v>507</v>
      </c>
      <c r="N27" s="17" t="s">
        <v>508</v>
      </c>
      <c r="O27" s="17" t="s">
        <v>509</v>
      </c>
      <c r="P27" s="17" t="s">
        <v>510</v>
      </c>
      <c r="Q27" s="17" t="s">
        <v>502</v>
      </c>
    </row>
    <row r="28" customFormat="false" ht="73.5" hidden="false" customHeight="true" outlineLevel="0" collapsed="false">
      <c r="B28" s="22" t="s">
        <v>252</v>
      </c>
      <c r="C28" s="17" t="s">
        <v>245</v>
      </c>
      <c r="D28" s="23" t="s">
        <v>253</v>
      </c>
      <c r="E28" s="17" t="s">
        <v>189</v>
      </c>
      <c r="F28" s="17" t="s">
        <v>511</v>
      </c>
      <c r="G28" s="17" t="s">
        <v>494</v>
      </c>
      <c r="H28" s="17" t="s">
        <v>512</v>
      </c>
      <c r="I28" s="17" t="s">
        <v>513</v>
      </c>
      <c r="J28" s="17" t="s">
        <v>176</v>
      </c>
      <c r="K28" s="17" t="s">
        <v>248</v>
      </c>
      <c r="L28" s="17" t="s">
        <v>514</v>
      </c>
      <c r="M28" s="17" t="s">
        <v>515</v>
      </c>
      <c r="N28" s="17" t="s">
        <v>516</v>
      </c>
      <c r="O28" s="17" t="s">
        <v>517</v>
      </c>
      <c r="P28" s="17" t="s">
        <v>518</v>
      </c>
      <c r="Q28" s="17" t="s">
        <v>502</v>
      </c>
    </row>
    <row r="29" customFormat="false" ht="73.5" hidden="false" customHeight="true" outlineLevel="0" collapsed="false">
      <c r="B29" s="22" t="s">
        <v>254</v>
      </c>
      <c r="C29" s="17" t="s">
        <v>245</v>
      </c>
      <c r="D29" s="23" t="s">
        <v>255</v>
      </c>
      <c r="E29" s="17" t="s">
        <v>189</v>
      </c>
      <c r="F29" s="17" t="s">
        <v>519</v>
      </c>
      <c r="G29" s="17" t="s">
        <v>494</v>
      </c>
      <c r="H29" s="17" t="s">
        <v>520</v>
      </c>
      <c r="I29" s="17" t="s">
        <v>521</v>
      </c>
      <c r="J29" s="17" t="s">
        <v>179</v>
      </c>
      <c r="K29" s="17" t="s">
        <v>248</v>
      </c>
      <c r="L29" s="17" t="s">
        <v>522</v>
      </c>
      <c r="M29" s="17" t="s">
        <v>523</v>
      </c>
      <c r="N29" s="17" t="s">
        <v>524</v>
      </c>
      <c r="O29" s="17" t="s">
        <v>517</v>
      </c>
      <c r="P29" s="17" t="s">
        <v>525</v>
      </c>
      <c r="Q29" s="17" t="s">
        <v>502</v>
      </c>
    </row>
    <row r="30" customFormat="false" ht="73.5" hidden="false" customHeight="true" outlineLevel="0" collapsed="false">
      <c r="B30" s="22" t="s">
        <v>256</v>
      </c>
      <c r="C30" s="17" t="s">
        <v>245</v>
      </c>
      <c r="D30" s="23" t="s">
        <v>257</v>
      </c>
      <c r="E30" s="17" t="s">
        <v>189</v>
      </c>
      <c r="F30" s="17" t="s">
        <v>526</v>
      </c>
      <c r="G30" s="17" t="s">
        <v>494</v>
      </c>
      <c r="H30" s="17" t="s">
        <v>527</v>
      </c>
      <c r="I30" s="17" t="s">
        <v>528</v>
      </c>
      <c r="J30" s="17" t="s">
        <v>190</v>
      </c>
      <c r="K30" s="17" t="s">
        <v>258</v>
      </c>
      <c r="L30" s="17" t="s">
        <v>529</v>
      </c>
      <c r="M30" s="17" t="s">
        <v>530</v>
      </c>
      <c r="N30" s="17" t="s">
        <v>531</v>
      </c>
      <c r="O30" s="17" t="s">
        <v>532</v>
      </c>
      <c r="P30" s="17" t="s">
        <v>533</v>
      </c>
      <c r="Q30" s="17" t="s">
        <v>502</v>
      </c>
    </row>
    <row r="31" customFormat="false" ht="73.5" hidden="false" customHeight="true" outlineLevel="0" collapsed="false">
      <c r="B31" s="22" t="s">
        <v>259</v>
      </c>
      <c r="C31" s="17" t="s">
        <v>245</v>
      </c>
      <c r="D31" s="23" t="s">
        <v>260</v>
      </c>
      <c r="E31" s="17" t="s">
        <v>189</v>
      </c>
      <c r="F31" s="17" t="s">
        <v>534</v>
      </c>
      <c r="G31" s="17" t="s">
        <v>494</v>
      </c>
      <c r="H31" s="17" t="s">
        <v>535</v>
      </c>
      <c r="I31" s="17" t="s">
        <v>536</v>
      </c>
      <c r="J31" s="17" t="s">
        <v>261</v>
      </c>
      <c r="K31" s="17" t="s">
        <v>258</v>
      </c>
      <c r="L31" s="17" t="s">
        <v>537</v>
      </c>
      <c r="M31" s="17" t="s">
        <v>538</v>
      </c>
      <c r="N31" s="17" t="s">
        <v>531</v>
      </c>
      <c r="O31" s="17" t="s">
        <v>401</v>
      </c>
      <c r="P31" s="17" t="s">
        <v>539</v>
      </c>
      <c r="Q31" s="17" t="s">
        <v>502</v>
      </c>
    </row>
    <row r="32" customFormat="false" ht="73.5" hidden="false" customHeight="true" outlineLevel="0" collapsed="false">
      <c r="B32" s="22" t="s">
        <v>262</v>
      </c>
      <c r="C32" s="17" t="s">
        <v>245</v>
      </c>
      <c r="D32" s="23" t="s">
        <v>263</v>
      </c>
      <c r="E32" s="17" t="s">
        <v>235</v>
      </c>
      <c r="F32" s="17" t="s">
        <v>540</v>
      </c>
      <c r="G32" s="17" t="s">
        <v>494</v>
      </c>
      <c r="H32" s="17" t="s">
        <v>541</v>
      </c>
      <c r="I32" s="17" t="s">
        <v>542</v>
      </c>
      <c r="J32" s="17" t="s">
        <v>264</v>
      </c>
      <c r="K32" s="17" t="s">
        <v>265</v>
      </c>
      <c r="L32" s="17" t="s">
        <v>543</v>
      </c>
      <c r="M32" s="17" t="s">
        <v>544</v>
      </c>
      <c r="N32" s="17" t="s">
        <v>545</v>
      </c>
      <c r="O32" s="17" t="s">
        <v>546</v>
      </c>
      <c r="P32" s="17" t="s">
        <v>547</v>
      </c>
      <c r="Q32" s="17" t="s">
        <v>502</v>
      </c>
    </row>
    <row r="33" customFormat="false" ht="73.5" hidden="false" customHeight="true" outlineLevel="0" collapsed="false">
      <c r="B33" s="22" t="s">
        <v>266</v>
      </c>
      <c r="C33" s="17" t="s">
        <v>245</v>
      </c>
      <c r="D33" s="23" t="s">
        <v>267</v>
      </c>
      <c r="E33" s="17" t="s">
        <v>189</v>
      </c>
      <c r="F33" s="17" t="s">
        <v>548</v>
      </c>
      <c r="G33" s="17" t="s">
        <v>494</v>
      </c>
      <c r="H33" s="17" t="s">
        <v>549</v>
      </c>
      <c r="I33" s="17" t="s">
        <v>550</v>
      </c>
      <c r="J33" s="17" t="s">
        <v>268</v>
      </c>
      <c r="K33" s="17" t="s">
        <v>258</v>
      </c>
      <c r="L33" s="17" t="s">
        <v>551</v>
      </c>
      <c r="M33" s="17" t="s">
        <v>552</v>
      </c>
      <c r="N33" s="17" t="s">
        <v>553</v>
      </c>
      <c r="O33" s="17" t="s">
        <v>554</v>
      </c>
      <c r="P33" s="17" t="s">
        <v>555</v>
      </c>
      <c r="Q33" s="17" t="s">
        <v>502</v>
      </c>
    </row>
    <row r="34" customFormat="false" ht="73.5" hidden="false" customHeight="true" outlineLevel="0" collapsed="false">
      <c r="B34" s="22" t="s">
        <v>269</v>
      </c>
      <c r="C34" s="17" t="s">
        <v>245</v>
      </c>
      <c r="D34" s="23" t="s">
        <v>270</v>
      </c>
      <c r="E34" s="17" t="s">
        <v>235</v>
      </c>
      <c r="F34" s="17" t="s">
        <v>556</v>
      </c>
      <c r="G34" s="17" t="s">
        <v>494</v>
      </c>
      <c r="H34" s="17" t="s">
        <v>557</v>
      </c>
      <c r="I34" s="17" t="s">
        <v>558</v>
      </c>
      <c r="J34" s="17" t="s">
        <v>271</v>
      </c>
      <c r="K34" s="17" t="s">
        <v>258</v>
      </c>
      <c r="L34" s="17" t="s">
        <v>559</v>
      </c>
      <c r="M34" s="17" t="s">
        <v>560</v>
      </c>
      <c r="N34" s="17" t="s">
        <v>561</v>
      </c>
      <c r="O34" s="17" t="s">
        <v>562</v>
      </c>
      <c r="P34" s="17" t="s">
        <v>563</v>
      </c>
      <c r="Q34" s="17" t="s">
        <v>502</v>
      </c>
    </row>
    <row r="35" customFormat="false" ht="73.5" hidden="false" customHeight="true" outlineLevel="0" collapsed="false">
      <c r="B35" s="22" t="s">
        <v>272</v>
      </c>
      <c r="C35" s="17" t="s">
        <v>245</v>
      </c>
      <c r="D35" s="23" t="s">
        <v>273</v>
      </c>
      <c r="E35" s="17" t="s">
        <v>235</v>
      </c>
      <c r="F35" s="17" t="s">
        <v>564</v>
      </c>
      <c r="G35" s="17" t="s">
        <v>494</v>
      </c>
      <c r="H35" s="17" t="s">
        <v>565</v>
      </c>
      <c r="I35" s="17" t="s">
        <v>566</v>
      </c>
      <c r="J35" s="17" t="s">
        <v>240</v>
      </c>
      <c r="K35" s="17" t="s">
        <v>274</v>
      </c>
      <c r="L35" s="17" t="s">
        <v>567</v>
      </c>
      <c r="M35" s="17" t="s">
        <v>568</v>
      </c>
      <c r="N35" s="17" t="s">
        <v>569</v>
      </c>
      <c r="O35" s="17" t="s">
        <v>517</v>
      </c>
      <c r="P35" s="17" t="s">
        <v>570</v>
      </c>
      <c r="Q35" s="17" t="s">
        <v>502</v>
      </c>
    </row>
    <row r="36" customFormat="false" ht="73.5" hidden="false" customHeight="true" outlineLevel="0" collapsed="false">
      <c r="B36" s="22" t="s">
        <v>275</v>
      </c>
      <c r="C36" s="17" t="s">
        <v>276</v>
      </c>
      <c r="D36" s="23" t="s">
        <v>277</v>
      </c>
      <c r="E36" s="17" t="s">
        <v>171</v>
      </c>
      <c r="F36" s="17" t="s">
        <v>571</v>
      </c>
      <c r="G36" s="17" t="s">
        <v>494</v>
      </c>
      <c r="H36" s="17" t="s">
        <v>572</v>
      </c>
      <c r="I36" s="17" t="s">
        <v>573</v>
      </c>
      <c r="J36" s="17" t="s">
        <v>278</v>
      </c>
      <c r="K36" s="17" t="s">
        <v>279</v>
      </c>
      <c r="L36" s="17" t="s">
        <v>574</v>
      </c>
      <c r="M36" s="17" t="s">
        <v>575</v>
      </c>
      <c r="N36" s="17" t="s">
        <v>576</v>
      </c>
      <c r="O36" s="17" t="s">
        <v>577</v>
      </c>
      <c r="P36" s="17" t="s">
        <v>578</v>
      </c>
      <c r="Q36" s="17" t="s">
        <v>579</v>
      </c>
    </row>
    <row r="37" customFormat="false" ht="73.5" hidden="false" customHeight="true" outlineLevel="0" collapsed="false">
      <c r="B37" s="22" t="s">
        <v>280</v>
      </c>
      <c r="C37" s="17" t="s">
        <v>276</v>
      </c>
      <c r="D37" s="23" t="s">
        <v>281</v>
      </c>
      <c r="E37" s="17" t="s">
        <v>189</v>
      </c>
      <c r="F37" s="17" t="s">
        <v>580</v>
      </c>
      <c r="G37" s="17" t="s">
        <v>494</v>
      </c>
      <c r="H37" s="17" t="s">
        <v>581</v>
      </c>
      <c r="I37" s="17" t="s">
        <v>582</v>
      </c>
      <c r="J37" s="17" t="s">
        <v>282</v>
      </c>
      <c r="K37" s="17" t="s">
        <v>283</v>
      </c>
      <c r="L37" s="17" t="s">
        <v>583</v>
      </c>
      <c r="M37" s="17" t="s">
        <v>584</v>
      </c>
      <c r="N37" s="17" t="s">
        <v>585</v>
      </c>
      <c r="O37" s="17" t="s">
        <v>586</v>
      </c>
      <c r="P37" s="17" t="s">
        <v>587</v>
      </c>
      <c r="Q37" s="17" t="s">
        <v>579</v>
      </c>
    </row>
    <row r="38" customFormat="false" ht="73.5" hidden="false" customHeight="true" outlineLevel="0" collapsed="false">
      <c r="B38" s="22" t="s">
        <v>284</v>
      </c>
      <c r="C38" s="17" t="s">
        <v>276</v>
      </c>
      <c r="D38" s="23" t="s">
        <v>285</v>
      </c>
      <c r="E38" s="17" t="s">
        <v>171</v>
      </c>
      <c r="F38" s="17" t="s">
        <v>588</v>
      </c>
      <c r="G38" s="17" t="s">
        <v>494</v>
      </c>
      <c r="H38" s="17" t="s">
        <v>589</v>
      </c>
      <c r="I38" s="17" t="s">
        <v>590</v>
      </c>
      <c r="J38" s="17" t="s">
        <v>286</v>
      </c>
      <c r="K38" s="17" t="s">
        <v>283</v>
      </c>
      <c r="L38" s="17" t="s">
        <v>591</v>
      </c>
      <c r="M38" s="17" t="s">
        <v>592</v>
      </c>
      <c r="N38" s="17" t="s">
        <v>593</v>
      </c>
      <c r="O38" s="17" t="s">
        <v>594</v>
      </c>
      <c r="P38" s="17" t="s">
        <v>595</v>
      </c>
      <c r="Q38" s="17" t="s">
        <v>579</v>
      </c>
    </row>
    <row r="39" customFormat="false" ht="60" hidden="false" customHeight="true" outlineLevel="0" collapsed="false">
      <c r="B39" s="22" t="s">
        <v>287</v>
      </c>
      <c r="C39" s="17" t="s">
        <v>276</v>
      </c>
      <c r="D39" s="23" t="s">
        <v>288</v>
      </c>
      <c r="E39" s="17" t="s">
        <v>235</v>
      </c>
      <c r="F39" s="17" t="s">
        <v>596</v>
      </c>
      <c r="G39" s="17" t="s">
        <v>597</v>
      </c>
      <c r="H39" s="17" t="s">
        <v>598</v>
      </c>
      <c r="I39" s="17" t="s">
        <v>599</v>
      </c>
      <c r="J39" s="17" t="s">
        <v>289</v>
      </c>
      <c r="K39" s="17" t="s">
        <v>290</v>
      </c>
      <c r="L39" s="17" t="s">
        <v>600</v>
      </c>
      <c r="M39" s="17" t="s">
        <v>601</v>
      </c>
      <c r="N39" s="17" t="s">
        <v>602</v>
      </c>
      <c r="O39" s="17" t="s">
        <v>603</v>
      </c>
      <c r="P39" s="17" t="s">
        <v>604</v>
      </c>
      <c r="Q39" s="17" t="s">
        <v>579</v>
      </c>
    </row>
    <row r="40" customFormat="false" ht="60" hidden="false" customHeight="true" outlineLevel="0" collapsed="false">
      <c r="B40" s="22" t="s">
        <v>291</v>
      </c>
      <c r="C40" s="17" t="s">
        <v>276</v>
      </c>
      <c r="D40" s="23" t="s">
        <v>292</v>
      </c>
      <c r="E40" s="17" t="s">
        <v>189</v>
      </c>
      <c r="F40" s="17" t="s">
        <v>605</v>
      </c>
      <c r="G40" s="17" t="s">
        <v>597</v>
      </c>
      <c r="H40" s="17" t="s">
        <v>606</v>
      </c>
      <c r="I40" s="17" t="s">
        <v>607</v>
      </c>
      <c r="J40" s="17" t="s">
        <v>293</v>
      </c>
      <c r="K40" s="17" t="s">
        <v>294</v>
      </c>
      <c r="L40" s="17" t="s">
        <v>608</v>
      </c>
      <c r="M40" s="17" t="s">
        <v>609</v>
      </c>
      <c r="N40" s="17" t="s">
        <v>610</v>
      </c>
      <c r="O40" s="17" t="s">
        <v>611</v>
      </c>
      <c r="P40" s="17" t="s">
        <v>612</v>
      </c>
      <c r="Q40" s="17" t="s">
        <v>579</v>
      </c>
    </row>
    <row r="41" customFormat="false" ht="60" hidden="false" customHeight="true" outlineLevel="0" collapsed="false">
      <c r="B41" s="22" t="s">
        <v>295</v>
      </c>
      <c r="C41" s="17" t="s">
        <v>276</v>
      </c>
      <c r="D41" s="23" t="s">
        <v>296</v>
      </c>
      <c r="E41" s="17" t="s">
        <v>189</v>
      </c>
      <c r="F41" s="17" t="s">
        <v>613</v>
      </c>
      <c r="G41" s="17" t="s">
        <v>597</v>
      </c>
      <c r="H41" s="17" t="s">
        <v>614</v>
      </c>
      <c r="I41" s="17" t="s">
        <v>615</v>
      </c>
      <c r="J41" s="17" t="s">
        <v>297</v>
      </c>
      <c r="K41" s="17" t="s">
        <v>298</v>
      </c>
      <c r="L41" s="17" t="s">
        <v>616</v>
      </c>
      <c r="M41" s="17" t="s">
        <v>617</v>
      </c>
      <c r="N41" s="17" t="s">
        <v>618</v>
      </c>
      <c r="O41" s="17" t="s">
        <v>619</v>
      </c>
      <c r="P41" s="17" t="s">
        <v>620</v>
      </c>
      <c r="Q41" s="17" t="s">
        <v>579</v>
      </c>
    </row>
    <row r="42" customFormat="false" ht="60" hidden="false" customHeight="true" outlineLevel="0" collapsed="false">
      <c r="B42" s="22" t="s">
        <v>299</v>
      </c>
      <c r="C42" s="17" t="s">
        <v>276</v>
      </c>
      <c r="D42" s="23" t="s">
        <v>300</v>
      </c>
      <c r="E42" s="17" t="s">
        <v>189</v>
      </c>
      <c r="F42" s="17" t="s">
        <v>621</v>
      </c>
      <c r="G42" s="17" t="s">
        <v>597</v>
      </c>
      <c r="H42" s="17" t="s">
        <v>622</v>
      </c>
      <c r="I42" s="17" t="s">
        <v>623</v>
      </c>
      <c r="J42" s="17" t="s">
        <v>301</v>
      </c>
      <c r="K42" s="17" t="s">
        <v>298</v>
      </c>
      <c r="L42" s="17" t="s">
        <v>624</v>
      </c>
      <c r="M42" s="17" t="s">
        <v>625</v>
      </c>
      <c r="N42" s="17" t="s">
        <v>626</v>
      </c>
      <c r="O42" s="17" t="s">
        <v>619</v>
      </c>
      <c r="P42" s="17" t="s">
        <v>627</v>
      </c>
      <c r="Q42" s="17" t="s">
        <v>579</v>
      </c>
    </row>
    <row r="43" customFormat="false" ht="60" hidden="false" customHeight="true" outlineLevel="0" collapsed="false">
      <c r="B43" s="22" t="s">
        <v>302</v>
      </c>
      <c r="C43" s="17" t="s">
        <v>276</v>
      </c>
      <c r="D43" s="23" t="s">
        <v>303</v>
      </c>
      <c r="E43" s="17" t="s">
        <v>235</v>
      </c>
      <c r="F43" s="17" t="s">
        <v>628</v>
      </c>
      <c r="G43" s="17" t="s">
        <v>597</v>
      </c>
      <c r="H43" s="17" t="s">
        <v>629</v>
      </c>
      <c r="I43" s="17" t="s">
        <v>630</v>
      </c>
      <c r="J43" s="17" t="s">
        <v>304</v>
      </c>
      <c r="K43" s="17" t="s">
        <v>305</v>
      </c>
      <c r="L43" s="17" t="s">
        <v>631</v>
      </c>
      <c r="M43" s="17" t="s">
        <v>632</v>
      </c>
      <c r="N43" s="17" t="s">
        <v>633</v>
      </c>
      <c r="O43" s="17" t="s">
        <v>634</v>
      </c>
      <c r="P43" s="17" t="s">
        <v>635</v>
      </c>
      <c r="Q43" s="17" t="s">
        <v>579</v>
      </c>
    </row>
    <row r="44" customFormat="false" ht="60" hidden="false" customHeight="true" outlineLevel="0" collapsed="false">
      <c r="B44" s="22" t="s">
        <v>306</v>
      </c>
      <c r="C44" s="17" t="s">
        <v>276</v>
      </c>
      <c r="D44" s="23" t="s">
        <v>307</v>
      </c>
      <c r="E44" s="17" t="s">
        <v>235</v>
      </c>
      <c r="F44" s="17" t="s">
        <v>636</v>
      </c>
      <c r="G44" s="17" t="s">
        <v>597</v>
      </c>
      <c r="H44" s="17" t="s">
        <v>637</v>
      </c>
      <c r="I44" s="17" t="s">
        <v>638</v>
      </c>
      <c r="J44" s="17" t="s">
        <v>308</v>
      </c>
      <c r="K44" s="17" t="s">
        <v>305</v>
      </c>
      <c r="L44" s="17" t="s">
        <v>639</v>
      </c>
      <c r="M44" s="17" t="s">
        <v>640</v>
      </c>
      <c r="N44" s="17" t="s">
        <v>610</v>
      </c>
      <c r="O44" s="17" t="s">
        <v>619</v>
      </c>
      <c r="P44" s="17" t="s">
        <v>641</v>
      </c>
      <c r="Q44" s="17" t="s">
        <v>579</v>
      </c>
    </row>
    <row r="45" customFormat="false" ht="60" hidden="false" customHeight="true" outlineLevel="0" collapsed="false">
      <c r="B45" s="22" t="s">
        <v>309</v>
      </c>
      <c r="C45" s="17" t="s">
        <v>276</v>
      </c>
      <c r="D45" s="23" t="s">
        <v>310</v>
      </c>
      <c r="E45" s="17" t="s">
        <v>235</v>
      </c>
      <c r="F45" s="17" t="s">
        <v>642</v>
      </c>
      <c r="G45" s="17" t="s">
        <v>597</v>
      </c>
      <c r="H45" s="17" t="s">
        <v>643</v>
      </c>
      <c r="I45" s="17" t="s">
        <v>644</v>
      </c>
      <c r="J45" s="17" t="s">
        <v>311</v>
      </c>
      <c r="K45" s="17" t="s">
        <v>312</v>
      </c>
      <c r="L45" s="17" t="s">
        <v>645</v>
      </c>
      <c r="M45" s="17" t="s">
        <v>646</v>
      </c>
      <c r="N45" s="17" t="s">
        <v>647</v>
      </c>
      <c r="O45" s="17" t="s">
        <v>648</v>
      </c>
      <c r="P45" s="17" t="s">
        <v>649</v>
      </c>
      <c r="Q45" s="17" t="s">
        <v>579</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6"/>
    <col collapsed="false" customWidth="true" hidden="false" outlineLevel="0" max="4" min="4" style="0" width="20"/>
    <col collapsed="false" customWidth="true" hidden="false" outlineLevel="0" max="5" min="5" style="0" width="30"/>
    <col collapsed="false" customWidth="true" hidden="false" outlineLevel="0" max="6" min="6" style="0" width="28"/>
    <col collapsed="false" customWidth="true" hidden="false" outlineLevel="0" max="7" min="7" style="0" width="46"/>
    <col collapsed="false" customWidth="true" hidden="false" outlineLevel="0" max="8" min="8" style="0" width="24"/>
    <col collapsed="false" customWidth="true" hidden="false" outlineLevel="0" max="9" min="9" style="0" width="14"/>
    <col collapsed="false" customWidth="true" hidden="false" outlineLevel="0" max="10" min="10" style="0" width="11"/>
    <col collapsed="false" customWidth="true" hidden="false" outlineLevel="0" max="11" min="11" style="0" width="16"/>
    <col collapsed="false" customWidth="true" hidden="false" outlineLevel="0" max="12" min="12" style="0" width="32"/>
    <col collapsed="false" customWidth="true" hidden="false" outlineLevel="0" max="13" min="13" style="0" width="26"/>
    <col collapsed="false" customWidth="true" hidden="false" outlineLevel="0" max="14" min="14" style="0" width="34"/>
  </cols>
  <sheetData>
    <row r="1" customFormat="false" ht="15" hidden="false" customHeight="false" outlineLevel="0" collapsed="false">
      <c r="B1" s="12" t="s">
        <v>24</v>
      </c>
    </row>
    <row r="2" customFormat="false" ht="22.05" hidden="false" customHeight="false" outlineLevel="0" collapsed="false">
      <c r="B2" s="13" t="s">
        <v>650</v>
      </c>
    </row>
    <row r="3" customFormat="false" ht="15" hidden="false" customHeight="false" outlineLevel="0" collapsed="false">
      <c r="B3" s="14" t="s">
        <v>651</v>
      </c>
    </row>
    <row r="5" customFormat="false" ht="30" hidden="false" customHeight="true" outlineLevel="0" collapsed="false">
      <c r="B5" s="15" t="s">
        <v>163</v>
      </c>
      <c r="C5" s="15" t="s">
        <v>652</v>
      </c>
      <c r="D5" s="15" t="s">
        <v>653</v>
      </c>
      <c r="E5" s="15" t="s">
        <v>318</v>
      </c>
      <c r="F5" s="15" t="s">
        <v>320</v>
      </c>
      <c r="G5" s="15" t="s">
        <v>654</v>
      </c>
      <c r="H5" s="15" t="s">
        <v>655</v>
      </c>
      <c r="I5" s="15" t="s">
        <v>656</v>
      </c>
      <c r="J5" s="15" t="s">
        <v>657</v>
      </c>
      <c r="K5" s="15" t="s">
        <v>658</v>
      </c>
      <c r="L5" s="15" t="s">
        <v>659</v>
      </c>
      <c r="M5" s="15" t="s">
        <v>660</v>
      </c>
      <c r="N5" s="15" t="s">
        <v>327</v>
      </c>
    </row>
    <row r="6" customFormat="false" ht="60" hidden="false" customHeight="true" outlineLevel="0" collapsed="false">
      <c r="B6" s="17" t="s">
        <v>661</v>
      </c>
      <c r="C6" s="17" t="s">
        <v>662</v>
      </c>
      <c r="D6" s="17" t="s">
        <v>663</v>
      </c>
      <c r="E6" s="17" t="s">
        <v>664</v>
      </c>
      <c r="F6" s="17" t="s">
        <v>665</v>
      </c>
      <c r="G6" s="17" t="s">
        <v>666</v>
      </c>
      <c r="H6" s="17" t="s">
        <v>667</v>
      </c>
      <c r="I6" s="17" t="s">
        <v>668</v>
      </c>
      <c r="J6" s="17" t="s">
        <v>669</v>
      </c>
      <c r="K6" s="17" t="s">
        <v>670</v>
      </c>
      <c r="L6" s="17" t="s">
        <v>671</v>
      </c>
      <c r="M6" s="17" t="s">
        <v>672</v>
      </c>
      <c r="N6" s="17" t="s">
        <v>673</v>
      </c>
    </row>
    <row r="7" customFormat="false" ht="60" hidden="false" customHeight="true" outlineLevel="0" collapsed="false">
      <c r="B7" s="17" t="s">
        <v>674</v>
      </c>
      <c r="C7" s="17" t="s">
        <v>675</v>
      </c>
      <c r="D7" s="17" t="s">
        <v>676</v>
      </c>
      <c r="E7" s="17" t="s">
        <v>677</v>
      </c>
      <c r="F7" s="17" t="s">
        <v>678</v>
      </c>
      <c r="G7" s="17" t="s">
        <v>679</v>
      </c>
      <c r="H7" s="17" t="s">
        <v>680</v>
      </c>
      <c r="I7" s="17" t="s">
        <v>668</v>
      </c>
      <c r="J7" s="17" t="s">
        <v>669</v>
      </c>
      <c r="K7" s="17" t="s">
        <v>681</v>
      </c>
      <c r="L7" s="17" t="s">
        <v>682</v>
      </c>
      <c r="M7" s="17" t="s">
        <v>683</v>
      </c>
      <c r="N7" s="17" t="s">
        <v>673</v>
      </c>
    </row>
    <row r="8" customFormat="false" ht="60" hidden="false" customHeight="true" outlineLevel="0" collapsed="false">
      <c r="B8" s="17" t="s">
        <v>684</v>
      </c>
      <c r="C8" s="17" t="s">
        <v>685</v>
      </c>
      <c r="D8" s="17" t="s">
        <v>686</v>
      </c>
      <c r="E8" s="17" t="s">
        <v>687</v>
      </c>
      <c r="F8" s="17" t="s">
        <v>688</v>
      </c>
      <c r="G8" s="17" t="s">
        <v>689</v>
      </c>
      <c r="H8" s="17" t="s">
        <v>690</v>
      </c>
      <c r="I8" s="17" t="s">
        <v>691</v>
      </c>
      <c r="J8" s="17" t="s">
        <v>692</v>
      </c>
      <c r="K8" s="17" t="s">
        <v>670</v>
      </c>
      <c r="L8" s="17" t="s">
        <v>693</v>
      </c>
      <c r="M8" s="17" t="s">
        <v>694</v>
      </c>
      <c r="N8" s="17" t="s">
        <v>673</v>
      </c>
    </row>
    <row r="9" customFormat="false" ht="60" hidden="false" customHeight="true" outlineLevel="0" collapsed="false">
      <c r="B9" s="17" t="s">
        <v>695</v>
      </c>
      <c r="C9" s="17" t="s">
        <v>696</v>
      </c>
      <c r="D9" s="17" t="s">
        <v>663</v>
      </c>
      <c r="E9" s="17" t="s">
        <v>697</v>
      </c>
      <c r="F9" s="17" t="s">
        <v>698</v>
      </c>
      <c r="G9" s="17" t="s">
        <v>699</v>
      </c>
      <c r="H9" s="17" t="s">
        <v>700</v>
      </c>
      <c r="I9" s="17" t="s">
        <v>668</v>
      </c>
      <c r="J9" s="17" t="s">
        <v>669</v>
      </c>
      <c r="K9" s="17" t="s">
        <v>701</v>
      </c>
      <c r="L9" s="17" t="s">
        <v>702</v>
      </c>
      <c r="M9" s="17" t="s">
        <v>703</v>
      </c>
      <c r="N9" s="17" t="s">
        <v>673</v>
      </c>
    </row>
    <row r="10" customFormat="false" ht="60" hidden="false" customHeight="true" outlineLevel="0" collapsed="false">
      <c r="B10" s="17" t="s">
        <v>704</v>
      </c>
      <c r="C10" s="17" t="s">
        <v>705</v>
      </c>
      <c r="D10" s="17" t="s">
        <v>706</v>
      </c>
      <c r="E10" s="17" t="s">
        <v>707</v>
      </c>
      <c r="F10" s="17" t="s">
        <v>708</v>
      </c>
      <c r="G10" s="17" t="s">
        <v>709</v>
      </c>
      <c r="H10" s="17" t="s">
        <v>710</v>
      </c>
      <c r="I10" s="17" t="s">
        <v>668</v>
      </c>
      <c r="J10" s="17" t="s">
        <v>711</v>
      </c>
      <c r="K10" s="17" t="s">
        <v>712</v>
      </c>
      <c r="L10" s="17" t="s">
        <v>713</v>
      </c>
      <c r="M10" s="17" t="s">
        <v>714</v>
      </c>
      <c r="N10" s="17" t="s">
        <v>715</v>
      </c>
    </row>
    <row r="11" customFormat="false" ht="60" hidden="false" customHeight="true" outlineLevel="0" collapsed="false">
      <c r="B11" s="17" t="s">
        <v>716</v>
      </c>
      <c r="C11" s="17" t="s">
        <v>717</v>
      </c>
      <c r="D11" s="17" t="s">
        <v>718</v>
      </c>
      <c r="E11" s="17" t="s">
        <v>719</v>
      </c>
      <c r="F11" s="17" t="s">
        <v>720</v>
      </c>
      <c r="G11" s="17" t="s">
        <v>721</v>
      </c>
      <c r="H11" s="17" t="s">
        <v>722</v>
      </c>
      <c r="I11" s="17" t="s">
        <v>668</v>
      </c>
      <c r="J11" s="17" t="s">
        <v>711</v>
      </c>
      <c r="K11" s="17" t="s">
        <v>723</v>
      </c>
      <c r="L11" s="17" t="s">
        <v>724</v>
      </c>
      <c r="M11" s="17" t="s">
        <v>725</v>
      </c>
      <c r="N11" s="17" t="s">
        <v>715</v>
      </c>
    </row>
    <row r="12" customFormat="false" ht="60" hidden="false" customHeight="true" outlineLevel="0" collapsed="false">
      <c r="B12" s="17" t="s">
        <v>726</v>
      </c>
      <c r="C12" s="17" t="s">
        <v>727</v>
      </c>
      <c r="D12" s="17" t="s">
        <v>686</v>
      </c>
      <c r="E12" s="17" t="s">
        <v>728</v>
      </c>
      <c r="F12" s="17" t="s">
        <v>729</v>
      </c>
      <c r="G12" s="17" t="s">
        <v>730</v>
      </c>
      <c r="H12" s="17" t="s">
        <v>731</v>
      </c>
      <c r="I12" s="17" t="s">
        <v>691</v>
      </c>
      <c r="J12" s="17" t="s">
        <v>692</v>
      </c>
      <c r="K12" s="17" t="s">
        <v>212</v>
      </c>
      <c r="L12" s="17" t="s">
        <v>732</v>
      </c>
      <c r="M12" s="17" t="s">
        <v>733</v>
      </c>
      <c r="N12" s="17" t="s">
        <v>673</v>
      </c>
    </row>
    <row r="13" customFormat="false" ht="60" hidden="false" customHeight="true" outlineLevel="0" collapsed="false">
      <c r="B13" s="17" t="s">
        <v>734</v>
      </c>
      <c r="C13" s="17" t="s">
        <v>735</v>
      </c>
      <c r="D13" s="17" t="s">
        <v>718</v>
      </c>
      <c r="E13" s="17" t="s">
        <v>736</v>
      </c>
      <c r="F13" s="17" t="s">
        <v>737</v>
      </c>
      <c r="G13" s="17" t="s">
        <v>738</v>
      </c>
      <c r="H13" s="17" t="s">
        <v>739</v>
      </c>
      <c r="I13" s="17" t="s">
        <v>668</v>
      </c>
      <c r="J13" s="17" t="s">
        <v>711</v>
      </c>
      <c r="K13" s="17" t="s">
        <v>249</v>
      </c>
      <c r="L13" s="17" t="s">
        <v>740</v>
      </c>
      <c r="M13" s="17" t="s">
        <v>741</v>
      </c>
      <c r="N13" s="17" t="s">
        <v>673</v>
      </c>
    </row>
    <row r="14" customFormat="false" ht="60" hidden="false" customHeight="true" outlineLevel="0" collapsed="false">
      <c r="B14" s="17" t="s">
        <v>742</v>
      </c>
      <c r="C14" s="17" t="s">
        <v>743</v>
      </c>
      <c r="D14" s="17" t="s">
        <v>744</v>
      </c>
      <c r="E14" s="17" t="s">
        <v>745</v>
      </c>
      <c r="F14" s="17" t="s">
        <v>746</v>
      </c>
      <c r="G14" s="17" t="s">
        <v>747</v>
      </c>
      <c r="H14" s="17" t="s">
        <v>748</v>
      </c>
      <c r="I14" s="17" t="s">
        <v>749</v>
      </c>
      <c r="J14" s="17" t="s">
        <v>750</v>
      </c>
      <c r="K14" s="17" t="s">
        <v>751</v>
      </c>
      <c r="L14" s="17" t="s">
        <v>752</v>
      </c>
      <c r="M14" s="17" t="s">
        <v>753</v>
      </c>
      <c r="N14" s="17" t="s">
        <v>715</v>
      </c>
    </row>
    <row r="15" customFormat="false" ht="73.5" hidden="false" customHeight="true" outlineLevel="0" collapsed="false">
      <c r="B15" s="17" t="s">
        <v>754</v>
      </c>
      <c r="C15" s="17" t="s">
        <v>755</v>
      </c>
      <c r="D15" s="17" t="s">
        <v>756</v>
      </c>
      <c r="E15" s="17" t="s">
        <v>757</v>
      </c>
      <c r="F15" s="17" t="s">
        <v>758</v>
      </c>
      <c r="G15" s="17" t="s">
        <v>759</v>
      </c>
      <c r="H15" s="17" t="s">
        <v>760</v>
      </c>
      <c r="I15" s="17" t="s">
        <v>761</v>
      </c>
      <c r="J15" s="17" t="s">
        <v>669</v>
      </c>
      <c r="K15" s="17" t="s">
        <v>168</v>
      </c>
      <c r="L15" s="17" t="s">
        <v>762</v>
      </c>
      <c r="M15" s="17" t="s">
        <v>763</v>
      </c>
      <c r="N15" s="17" t="s">
        <v>764</v>
      </c>
    </row>
    <row r="16" customFormat="false" ht="60" hidden="false" customHeight="true" outlineLevel="0" collapsed="false">
      <c r="B16" s="17" t="s">
        <v>765</v>
      </c>
      <c r="C16" s="17" t="s">
        <v>766</v>
      </c>
      <c r="D16" s="17" t="s">
        <v>756</v>
      </c>
      <c r="E16" s="17" t="s">
        <v>767</v>
      </c>
      <c r="F16" s="17" t="s">
        <v>768</v>
      </c>
      <c r="G16" s="17" t="s">
        <v>769</v>
      </c>
      <c r="H16" s="17" t="s">
        <v>770</v>
      </c>
      <c r="I16" s="17" t="s">
        <v>749</v>
      </c>
      <c r="J16" s="17" t="s">
        <v>669</v>
      </c>
      <c r="K16" s="17" t="s">
        <v>771</v>
      </c>
      <c r="L16" s="17" t="s">
        <v>772</v>
      </c>
      <c r="M16" s="17" t="s">
        <v>773</v>
      </c>
      <c r="N16" s="17" t="s">
        <v>774</v>
      </c>
    </row>
    <row r="17" customFormat="false" ht="60" hidden="false" customHeight="true" outlineLevel="0" collapsed="false">
      <c r="B17" s="17" t="s">
        <v>775</v>
      </c>
      <c r="C17" s="17" t="s">
        <v>776</v>
      </c>
      <c r="D17" s="17" t="s">
        <v>756</v>
      </c>
      <c r="E17" s="17" t="s">
        <v>777</v>
      </c>
      <c r="F17" s="17" t="s">
        <v>778</v>
      </c>
      <c r="G17" s="17" t="s">
        <v>779</v>
      </c>
      <c r="H17" s="17" t="s">
        <v>780</v>
      </c>
      <c r="I17" s="17" t="s">
        <v>691</v>
      </c>
      <c r="J17" s="17" t="s">
        <v>669</v>
      </c>
      <c r="K17" s="17" t="s">
        <v>168</v>
      </c>
      <c r="L17" s="17" t="s">
        <v>781</v>
      </c>
      <c r="M17" s="17" t="s">
        <v>782</v>
      </c>
      <c r="N17" s="17" t="s">
        <v>673</v>
      </c>
    </row>
    <row r="18" customFormat="false" ht="73.5" hidden="false" customHeight="true" outlineLevel="0" collapsed="false">
      <c r="B18" s="17" t="s">
        <v>783</v>
      </c>
      <c r="C18" s="17" t="s">
        <v>784</v>
      </c>
      <c r="D18" s="17" t="s">
        <v>785</v>
      </c>
      <c r="E18" s="17" t="s">
        <v>786</v>
      </c>
      <c r="F18" s="17" t="s">
        <v>787</v>
      </c>
      <c r="G18" s="17" t="s">
        <v>788</v>
      </c>
      <c r="H18" s="17" t="s">
        <v>789</v>
      </c>
      <c r="I18" s="17" t="s">
        <v>790</v>
      </c>
      <c r="J18" s="17" t="s">
        <v>750</v>
      </c>
      <c r="K18" s="17" t="s">
        <v>791</v>
      </c>
      <c r="L18" s="17" t="s">
        <v>792</v>
      </c>
      <c r="M18" s="17" t="s">
        <v>793</v>
      </c>
      <c r="N18" s="17" t="s">
        <v>794</v>
      </c>
    </row>
    <row r="19" customFormat="false" ht="60" hidden="false" customHeight="true" outlineLevel="0" collapsed="false">
      <c r="B19" s="17" t="s">
        <v>795</v>
      </c>
      <c r="C19" s="17" t="s">
        <v>796</v>
      </c>
      <c r="D19" s="17" t="s">
        <v>797</v>
      </c>
      <c r="E19" s="17" t="s">
        <v>798</v>
      </c>
      <c r="F19" s="17" t="s">
        <v>799</v>
      </c>
      <c r="G19" s="17" t="s">
        <v>800</v>
      </c>
      <c r="H19" s="17" t="s">
        <v>801</v>
      </c>
      <c r="I19" s="17" t="s">
        <v>749</v>
      </c>
      <c r="J19" s="17" t="s">
        <v>750</v>
      </c>
      <c r="K19" s="17" t="s">
        <v>751</v>
      </c>
      <c r="L19" s="17" t="s">
        <v>802</v>
      </c>
      <c r="M19" s="17" t="s">
        <v>803</v>
      </c>
      <c r="N19" s="17" t="s">
        <v>804</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26"/>
    <col collapsed="false" customWidth="true" hidden="false" outlineLevel="0" max="4" min="4" style="0" width="18"/>
    <col collapsed="false" customWidth="true" hidden="false" outlineLevel="0" max="6" min="5" style="0" width="38"/>
  </cols>
  <sheetData>
    <row r="1" customFormat="false" ht="15" hidden="false" customHeight="false" outlineLevel="0" collapsed="false">
      <c r="B1" s="12" t="s">
        <v>24</v>
      </c>
    </row>
    <row r="2" customFormat="false" ht="22.05" hidden="false" customHeight="false" outlineLevel="0" collapsed="false">
      <c r="B2" s="13" t="s">
        <v>805</v>
      </c>
    </row>
    <row r="5" customFormat="false" ht="16.15" hidden="false" customHeight="false" outlineLevel="0" collapsed="false">
      <c r="B5" s="5" t="s">
        <v>806</v>
      </c>
    </row>
    <row r="6" customFormat="false" ht="30" hidden="false" customHeight="true" outlineLevel="0" collapsed="false">
      <c r="B6" s="15" t="s">
        <v>807</v>
      </c>
      <c r="C6" s="15" t="s">
        <v>808</v>
      </c>
      <c r="D6" s="15" t="s">
        <v>809</v>
      </c>
      <c r="E6" s="15" t="s">
        <v>810</v>
      </c>
      <c r="F6" s="15" t="s">
        <v>811</v>
      </c>
    </row>
    <row r="7" customFormat="false" ht="31.5" hidden="false" customHeight="true" outlineLevel="0" collapsed="false">
      <c r="B7" s="17" t="s">
        <v>20</v>
      </c>
      <c r="C7" s="17" t="s">
        <v>812</v>
      </c>
      <c r="D7" s="17" t="s">
        <v>813</v>
      </c>
      <c r="E7" s="17" t="s">
        <v>814</v>
      </c>
      <c r="F7" s="17" t="s">
        <v>815</v>
      </c>
    </row>
    <row r="8" customFormat="false" ht="18" hidden="false" customHeight="true" outlineLevel="0" collapsed="false">
      <c r="B8" s="17" t="s">
        <v>103</v>
      </c>
      <c r="C8" s="17" t="s">
        <v>816</v>
      </c>
      <c r="D8" s="17" t="s">
        <v>817</v>
      </c>
      <c r="E8" s="17" t="s">
        <v>818</v>
      </c>
      <c r="F8" s="17" t="s">
        <v>819</v>
      </c>
    </row>
    <row r="9" customFormat="false" ht="18" hidden="false" customHeight="true" outlineLevel="0" collapsed="false">
      <c r="B9" s="17" t="s">
        <v>106</v>
      </c>
      <c r="C9" s="17" t="s">
        <v>820</v>
      </c>
      <c r="D9" s="17" t="s">
        <v>821</v>
      </c>
      <c r="E9" s="17" t="s">
        <v>822</v>
      </c>
      <c r="F9" s="17" t="s">
        <v>823</v>
      </c>
    </row>
    <row r="10" customFormat="false" ht="18" hidden="false" customHeight="true" outlineLevel="0" collapsed="false">
      <c r="B10" s="17" t="s">
        <v>109</v>
      </c>
      <c r="C10" s="17" t="s">
        <v>824</v>
      </c>
      <c r="D10" s="17" t="s">
        <v>704</v>
      </c>
      <c r="E10" s="17" t="s">
        <v>825</v>
      </c>
      <c r="F10" s="17" t="s">
        <v>826</v>
      </c>
    </row>
    <row r="11" customFormat="false" ht="18" hidden="false" customHeight="true" outlineLevel="0" collapsed="false">
      <c r="B11" s="17" t="s">
        <v>112</v>
      </c>
      <c r="C11" s="17" t="s">
        <v>827</v>
      </c>
      <c r="D11" s="17" t="s">
        <v>795</v>
      </c>
      <c r="E11" s="17" t="s">
        <v>828</v>
      </c>
      <c r="F11" s="17" t="s">
        <v>829</v>
      </c>
    </row>
    <row r="12" customFormat="false" ht="15.75" hidden="false" customHeight="true" outlineLevel="0" collapsed="false">
      <c r="B12" s="24" t="s">
        <v>830</v>
      </c>
      <c r="C12" s="24"/>
      <c r="D12" s="24"/>
      <c r="E12" s="24"/>
      <c r="F12" s="24"/>
    </row>
    <row r="14" customFormat="false" ht="16.15" hidden="false" customHeight="false" outlineLevel="0" collapsed="false">
      <c r="B14" s="5" t="s">
        <v>831</v>
      </c>
    </row>
    <row r="15" customFormat="false" ht="30" hidden="false" customHeight="true" outlineLevel="0" collapsed="false">
      <c r="B15" s="15" t="s">
        <v>27</v>
      </c>
      <c r="C15" s="15" t="s">
        <v>832</v>
      </c>
      <c r="D15" s="15"/>
      <c r="E15" s="15"/>
      <c r="F15" s="15"/>
    </row>
    <row r="16" customFormat="false" ht="18" hidden="false" customHeight="true" outlineLevel="0" collapsed="false">
      <c r="B16" s="17" t="n">
        <v>1</v>
      </c>
      <c r="C16" s="17" t="s">
        <v>833</v>
      </c>
      <c r="D16" s="17"/>
      <c r="E16" s="17"/>
      <c r="F16" s="17"/>
    </row>
    <row r="17" customFormat="false" ht="18" hidden="false" customHeight="true" outlineLevel="0" collapsed="false">
      <c r="B17" s="17" t="n">
        <v>2</v>
      </c>
      <c r="C17" s="17" t="s">
        <v>834</v>
      </c>
      <c r="D17" s="17"/>
      <c r="E17" s="17"/>
      <c r="F17" s="17"/>
    </row>
    <row r="18" customFormat="false" ht="18" hidden="false" customHeight="true" outlineLevel="0" collapsed="false">
      <c r="B18" s="17" t="n">
        <v>3</v>
      </c>
      <c r="C18" s="17" t="s">
        <v>835</v>
      </c>
      <c r="D18" s="17"/>
      <c r="E18" s="17"/>
      <c r="F18" s="17"/>
    </row>
    <row r="19" customFormat="false" ht="18" hidden="false" customHeight="true" outlineLevel="0" collapsed="false">
      <c r="B19" s="17" t="n">
        <v>4</v>
      </c>
      <c r="C19" s="17" t="s">
        <v>836</v>
      </c>
      <c r="D19" s="17"/>
      <c r="E19" s="17"/>
      <c r="F19" s="17"/>
    </row>
    <row r="20" customFormat="false" ht="18" hidden="false" customHeight="true" outlineLevel="0" collapsed="false">
      <c r="B20" s="17" t="n">
        <v>5</v>
      </c>
      <c r="C20" s="17" t="s">
        <v>837</v>
      </c>
      <c r="D20" s="17"/>
      <c r="E20" s="17"/>
      <c r="F20" s="17"/>
    </row>
    <row r="21" customFormat="false" ht="18" hidden="false" customHeight="true" outlineLevel="0" collapsed="false">
      <c r="B21" s="17" t="n">
        <v>6</v>
      </c>
      <c r="C21" s="17" t="s">
        <v>838</v>
      </c>
      <c r="D21" s="17"/>
      <c r="E21" s="17"/>
      <c r="F21" s="17"/>
    </row>
    <row r="22" customFormat="false" ht="18" hidden="false" customHeight="true" outlineLevel="0" collapsed="false">
      <c r="B22" s="17" t="n">
        <v>7</v>
      </c>
      <c r="C22" s="17" t="s">
        <v>839</v>
      </c>
      <c r="D22" s="17"/>
      <c r="E22" s="17"/>
      <c r="F22" s="17"/>
    </row>
    <row r="24" customFormat="false" ht="16.15" hidden="false" customHeight="false" outlineLevel="0" collapsed="false">
      <c r="B24" s="5" t="s">
        <v>840</v>
      </c>
    </row>
    <row r="25" customFormat="false" ht="30" hidden="false" customHeight="true" outlineLevel="0" collapsed="false">
      <c r="B25" s="15" t="s">
        <v>98</v>
      </c>
      <c r="C25" s="15" t="s">
        <v>841</v>
      </c>
      <c r="D25" s="15"/>
      <c r="E25" s="15"/>
      <c r="F25" s="15"/>
    </row>
    <row r="26" customFormat="false" ht="18" hidden="false" customHeight="true" outlineLevel="0" collapsed="false">
      <c r="B26" s="17" t="s">
        <v>20</v>
      </c>
      <c r="C26" s="17" t="s">
        <v>842</v>
      </c>
      <c r="D26" s="17"/>
      <c r="E26" s="17"/>
      <c r="F26" s="17"/>
    </row>
    <row r="27" customFormat="false" ht="18" hidden="false" customHeight="true" outlineLevel="0" collapsed="false">
      <c r="B27" s="17" t="s">
        <v>103</v>
      </c>
      <c r="C27" s="17" t="s">
        <v>843</v>
      </c>
      <c r="D27" s="17"/>
      <c r="E27" s="17"/>
      <c r="F27" s="17"/>
    </row>
    <row r="28" customFormat="false" ht="18" hidden="false" customHeight="true" outlineLevel="0" collapsed="false">
      <c r="B28" s="17" t="s">
        <v>106</v>
      </c>
      <c r="C28" s="17" t="s">
        <v>844</v>
      </c>
      <c r="D28" s="17"/>
      <c r="E28" s="17"/>
      <c r="F28" s="17"/>
    </row>
    <row r="29" customFormat="false" ht="18" hidden="false" customHeight="true" outlineLevel="0" collapsed="false">
      <c r="B29" s="17" t="s">
        <v>109</v>
      </c>
      <c r="C29" s="17" t="s">
        <v>845</v>
      </c>
      <c r="D29" s="17"/>
      <c r="E29" s="17"/>
      <c r="F29" s="17"/>
    </row>
    <row r="30" customFormat="false" ht="18" hidden="false" customHeight="true" outlineLevel="0" collapsed="false">
      <c r="B30" s="17" t="s">
        <v>112</v>
      </c>
      <c r="C30" s="17" t="s">
        <v>846</v>
      </c>
      <c r="D30" s="17"/>
      <c r="E30" s="17"/>
      <c r="F30" s="17"/>
    </row>
    <row r="32" customFormat="false" ht="16.15" hidden="false" customHeight="false" outlineLevel="0" collapsed="false">
      <c r="B32" s="5" t="s">
        <v>847</v>
      </c>
    </row>
    <row r="33" customFormat="false" ht="30" hidden="false" customHeight="true" outlineLevel="0" collapsed="false">
      <c r="C33" s="15" t="s">
        <v>317</v>
      </c>
      <c r="D33" s="15" t="s">
        <v>848</v>
      </c>
      <c r="E33" s="15" t="s">
        <v>657</v>
      </c>
      <c r="F33" s="15" t="s">
        <v>849</v>
      </c>
    </row>
    <row r="34" customFormat="false" ht="18" hidden="false" customHeight="true" outlineLevel="0" collapsed="false">
      <c r="C34" s="17" t="s">
        <v>850</v>
      </c>
      <c r="D34" s="17" t="s">
        <v>668</v>
      </c>
      <c r="E34" s="17" t="s">
        <v>669</v>
      </c>
      <c r="F34" s="17" t="s">
        <v>851</v>
      </c>
    </row>
    <row r="35" customFormat="false" ht="18" hidden="false" customHeight="true" outlineLevel="0" collapsed="false">
      <c r="C35" s="17" t="s">
        <v>852</v>
      </c>
      <c r="D35" s="17" t="s">
        <v>668</v>
      </c>
      <c r="E35" s="17" t="s">
        <v>711</v>
      </c>
      <c r="F35" s="17" t="s">
        <v>851</v>
      </c>
    </row>
    <row r="36" customFormat="false" ht="18" hidden="false" customHeight="true" outlineLevel="0" collapsed="false">
      <c r="C36" s="17" t="s">
        <v>853</v>
      </c>
      <c r="D36" s="17" t="s">
        <v>668</v>
      </c>
      <c r="E36" s="17" t="s">
        <v>711</v>
      </c>
      <c r="F36" s="17" t="s">
        <v>851</v>
      </c>
    </row>
    <row r="37" customFormat="false" ht="31.5" hidden="false" customHeight="true" outlineLevel="0" collapsed="false">
      <c r="C37" s="17" t="s">
        <v>854</v>
      </c>
      <c r="D37" s="17" t="s">
        <v>855</v>
      </c>
      <c r="E37" s="17" t="s">
        <v>856</v>
      </c>
      <c r="F37" s="17" t="s">
        <v>857</v>
      </c>
    </row>
    <row r="38" customFormat="false" ht="18" hidden="false" customHeight="true" outlineLevel="0" collapsed="false">
      <c r="C38" s="17" t="s">
        <v>858</v>
      </c>
      <c r="D38" s="17" t="s">
        <v>761</v>
      </c>
      <c r="E38" s="17" t="s">
        <v>669</v>
      </c>
      <c r="F38" s="17" t="s">
        <v>859</v>
      </c>
    </row>
    <row r="39" customFormat="false" ht="18" hidden="false" customHeight="true" outlineLevel="0" collapsed="false">
      <c r="C39" s="17" t="s">
        <v>860</v>
      </c>
      <c r="D39" s="17" t="s">
        <v>861</v>
      </c>
      <c r="E39" s="17" t="s">
        <v>862</v>
      </c>
      <c r="F39" s="17" t="s">
        <v>863</v>
      </c>
    </row>
    <row r="40" customFormat="false" ht="15.75" hidden="false" customHeight="true" outlineLevel="0" collapsed="false">
      <c r="B40" s="25" t="s">
        <v>864</v>
      </c>
      <c r="C40" s="25"/>
      <c r="D40" s="25"/>
      <c r="E40" s="25"/>
      <c r="F40" s="25"/>
    </row>
    <row r="42" customFormat="false" ht="16.15" hidden="false" customHeight="false" outlineLevel="0" collapsed="false">
      <c r="B42" s="5" t="s">
        <v>865</v>
      </c>
    </row>
    <row r="43" customFormat="false" ht="30" hidden="false" customHeight="true" outlineLevel="0" collapsed="false">
      <c r="C43" s="15" t="s">
        <v>866</v>
      </c>
      <c r="D43" s="15" t="s">
        <v>867</v>
      </c>
      <c r="E43" s="15"/>
      <c r="F43" s="15" t="s">
        <v>323</v>
      </c>
    </row>
    <row r="44" customFormat="false" ht="31.5" hidden="false" customHeight="true" outlineLevel="0" collapsed="false">
      <c r="C44" s="17" t="s">
        <v>868</v>
      </c>
      <c r="D44" s="17" t="s">
        <v>869</v>
      </c>
      <c r="E44" s="17"/>
      <c r="F44" s="17" t="s">
        <v>870</v>
      </c>
    </row>
    <row r="45" customFormat="false" ht="31.5" hidden="false" customHeight="true" outlineLevel="0" collapsed="false">
      <c r="C45" s="17" t="s">
        <v>871</v>
      </c>
      <c r="D45" s="17" t="s">
        <v>872</v>
      </c>
      <c r="E45" s="17"/>
      <c r="F45" s="17" t="s">
        <v>873</v>
      </c>
    </row>
    <row r="46" customFormat="false" ht="31.5" hidden="false" customHeight="true" outlineLevel="0" collapsed="false">
      <c r="C46" s="17" t="s">
        <v>874</v>
      </c>
      <c r="D46" s="17" t="s">
        <v>875</v>
      </c>
      <c r="E46" s="17"/>
      <c r="F46" s="17" t="s">
        <v>876</v>
      </c>
    </row>
    <row r="47" customFormat="false" ht="18" hidden="false" customHeight="true" outlineLevel="0" collapsed="false">
      <c r="C47" s="17" t="s">
        <v>877</v>
      </c>
      <c r="D47" s="17" t="s">
        <v>878</v>
      </c>
      <c r="E47" s="17"/>
      <c r="F47" s="17" t="s">
        <v>879</v>
      </c>
    </row>
    <row r="48" customFormat="false" ht="31.5" hidden="false" customHeight="true" outlineLevel="0" collapsed="false">
      <c r="C48" s="17" t="s">
        <v>880</v>
      </c>
      <c r="D48" s="17" t="s">
        <v>881</v>
      </c>
      <c r="E48" s="17"/>
      <c r="F48" s="17" t="s">
        <v>882</v>
      </c>
    </row>
    <row r="49" customFormat="false" ht="31.5" hidden="false" customHeight="true" outlineLevel="0" collapsed="false">
      <c r="C49" s="17" t="s">
        <v>883</v>
      </c>
      <c r="D49" s="17" t="s">
        <v>884</v>
      </c>
      <c r="E49" s="17"/>
      <c r="F49" s="17" t="s">
        <v>885</v>
      </c>
    </row>
    <row r="50" customFormat="false" ht="31.5" hidden="false" customHeight="true" outlineLevel="0" collapsed="false">
      <c r="C50" s="17" t="s">
        <v>886</v>
      </c>
      <c r="D50" s="17" t="s">
        <v>887</v>
      </c>
      <c r="E50" s="17"/>
      <c r="F50" s="17" t="s">
        <v>888</v>
      </c>
    </row>
    <row r="52" customFormat="false" ht="16.15" hidden="false" customHeight="false" outlineLevel="0" collapsed="false">
      <c r="B52" s="5" t="s">
        <v>889</v>
      </c>
    </row>
    <row r="53" customFormat="false" ht="30" hidden="false" customHeight="true" outlineLevel="0" collapsed="false">
      <c r="B53" s="15" t="s">
        <v>98</v>
      </c>
      <c r="C53" s="15" t="s">
        <v>841</v>
      </c>
      <c r="D53" s="15"/>
      <c r="E53" s="15"/>
      <c r="F53" s="15"/>
    </row>
    <row r="54" customFormat="false" ht="18" hidden="false" customHeight="true" outlineLevel="0" collapsed="false">
      <c r="B54" s="17" t="s">
        <v>20</v>
      </c>
      <c r="C54" s="17" t="s">
        <v>890</v>
      </c>
      <c r="D54" s="17"/>
      <c r="E54" s="17"/>
      <c r="F54" s="17"/>
    </row>
    <row r="55" customFormat="false" ht="18" hidden="false" customHeight="true" outlineLevel="0" collapsed="false">
      <c r="B55" s="17" t="s">
        <v>103</v>
      </c>
      <c r="C55" s="17" t="s">
        <v>891</v>
      </c>
      <c r="D55" s="17"/>
      <c r="E55" s="17"/>
      <c r="F55" s="17"/>
    </row>
    <row r="56" customFormat="false" ht="18" hidden="false" customHeight="true" outlineLevel="0" collapsed="false">
      <c r="B56" s="17" t="s">
        <v>106</v>
      </c>
      <c r="C56" s="17" t="s">
        <v>892</v>
      </c>
      <c r="D56" s="17"/>
      <c r="E56" s="17"/>
      <c r="F56" s="17"/>
    </row>
    <row r="57" customFormat="false" ht="18" hidden="false" customHeight="true" outlineLevel="0" collapsed="false">
      <c r="B57" s="17" t="s">
        <v>109</v>
      </c>
      <c r="C57" s="17" t="s">
        <v>893</v>
      </c>
      <c r="D57" s="17"/>
      <c r="E57" s="17"/>
      <c r="F57" s="17"/>
    </row>
    <row r="58" customFormat="false" ht="18" hidden="false" customHeight="true" outlineLevel="0" collapsed="false">
      <c r="B58" s="17" t="s">
        <v>112</v>
      </c>
      <c r="C58" s="17" t="s">
        <v>894</v>
      </c>
      <c r="D58" s="17"/>
      <c r="E58" s="17"/>
      <c r="F58" s="17"/>
    </row>
    <row r="59" customFormat="false" ht="18" hidden="false" customHeight="true" outlineLevel="0" collapsed="false">
      <c r="B59" s="17" t="s">
        <v>16</v>
      </c>
      <c r="C59" s="17" t="s">
        <v>895</v>
      </c>
      <c r="D59" s="17"/>
      <c r="E59" s="17"/>
      <c r="F59" s="17"/>
    </row>
  </sheetData>
  <mergeCells count="31">
    <mergeCell ref="B12:F12"/>
    <mergeCell ref="C15:F15"/>
    <mergeCell ref="C16:F16"/>
    <mergeCell ref="C17:F17"/>
    <mergeCell ref="C18:F18"/>
    <mergeCell ref="C19:F19"/>
    <mergeCell ref="C20:F20"/>
    <mergeCell ref="C21:F21"/>
    <mergeCell ref="C22:F22"/>
    <mergeCell ref="C25:F25"/>
    <mergeCell ref="C26:F26"/>
    <mergeCell ref="C27:F27"/>
    <mergeCell ref="C28:F28"/>
    <mergeCell ref="C29:F29"/>
    <mergeCell ref="C30:F30"/>
    <mergeCell ref="B40:F40"/>
    <mergeCell ref="D43:E43"/>
    <mergeCell ref="D44:E44"/>
    <mergeCell ref="D45:E45"/>
    <mergeCell ref="D46:E46"/>
    <mergeCell ref="D47:E47"/>
    <mergeCell ref="D48:E48"/>
    <mergeCell ref="D49:E49"/>
    <mergeCell ref="D50:E50"/>
    <mergeCell ref="C53:F53"/>
    <mergeCell ref="C54:F54"/>
    <mergeCell ref="C55:F55"/>
    <mergeCell ref="C56:F56"/>
    <mergeCell ref="C57:F57"/>
    <mergeCell ref="C58:F58"/>
    <mergeCell ref="C59:F59"/>
  </mergeCell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2"/>
    <col collapsed="false" customWidth="true" hidden="false" outlineLevel="0" max="4" min="4" style="0" width="20"/>
    <col collapsed="false" customWidth="true" hidden="false" outlineLevel="0" max="5" min="5" style="0" width="34"/>
    <col collapsed="false" customWidth="true" hidden="false" outlineLevel="0" max="6" min="6" style="0" width="52"/>
    <col collapsed="false" customWidth="true" hidden="false" outlineLevel="0" max="7" min="7" style="0" width="26"/>
    <col collapsed="false" customWidth="true" hidden="false" outlineLevel="0" max="8" min="8" style="0" width="22"/>
    <col collapsed="false" customWidth="true" hidden="false" outlineLevel="0" max="9" min="9" style="0" width="28"/>
  </cols>
  <sheetData>
    <row r="1" customFormat="false" ht="15" hidden="false" customHeight="false" outlineLevel="0" collapsed="false">
      <c r="B1" s="12" t="s">
        <v>24</v>
      </c>
    </row>
    <row r="2" customFormat="false" ht="22.05" hidden="false" customHeight="false" outlineLevel="0" collapsed="false">
      <c r="B2" s="13" t="s">
        <v>896</v>
      </c>
    </row>
    <row r="3" customFormat="false" ht="15" hidden="false" customHeight="false" outlineLevel="0" collapsed="false">
      <c r="B3" s="14" t="s">
        <v>897</v>
      </c>
    </row>
    <row r="5" customFormat="false" ht="30" hidden="false" customHeight="true" outlineLevel="0" collapsed="false">
      <c r="B5" s="15" t="s">
        <v>163</v>
      </c>
      <c r="C5" s="15" t="s">
        <v>898</v>
      </c>
      <c r="D5" s="15" t="s">
        <v>899</v>
      </c>
      <c r="E5" s="15" t="s">
        <v>319</v>
      </c>
      <c r="F5" s="15" t="s">
        <v>900</v>
      </c>
      <c r="G5" s="15" t="s">
        <v>655</v>
      </c>
      <c r="H5" s="15" t="s">
        <v>901</v>
      </c>
      <c r="I5" s="15" t="s">
        <v>902</v>
      </c>
    </row>
    <row r="6" customFormat="false" ht="45.75" hidden="false" customHeight="true" outlineLevel="0" collapsed="false">
      <c r="B6" s="17" t="s">
        <v>903</v>
      </c>
      <c r="C6" s="17" t="s">
        <v>904</v>
      </c>
      <c r="D6" s="17" t="s">
        <v>905</v>
      </c>
      <c r="E6" s="17" t="s">
        <v>906</v>
      </c>
      <c r="F6" s="17" t="s">
        <v>907</v>
      </c>
      <c r="G6" s="17" t="s">
        <v>908</v>
      </c>
      <c r="H6" s="17" t="s">
        <v>909</v>
      </c>
      <c r="I6" s="17" t="s">
        <v>910</v>
      </c>
    </row>
    <row r="7" customFormat="false" ht="45.75" hidden="false" customHeight="true" outlineLevel="0" collapsed="false">
      <c r="B7" s="17" t="s">
        <v>911</v>
      </c>
      <c r="C7" s="17" t="s">
        <v>912</v>
      </c>
      <c r="D7" s="17" t="s">
        <v>905</v>
      </c>
      <c r="E7" s="17" t="s">
        <v>913</v>
      </c>
      <c r="F7" s="17" t="s">
        <v>914</v>
      </c>
      <c r="G7" s="17" t="s">
        <v>915</v>
      </c>
      <c r="H7" s="17" t="s">
        <v>916</v>
      </c>
      <c r="I7" s="17" t="s">
        <v>917</v>
      </c>
    </row>
    <row r="8" customFormat="false" ht="45.75" hidden="false" customHeight="true" outlineLevel="0" collapsed="false">
      <c r="B8" s="17" t="s">
        <v>918</v>
      </c>
      <c r="C8" s="17" t="s">
        <v>919</v>
      </c>
      <c r="D8" s="17" t="s">
        <v>905</v>
      </c>
      <c r="E8" s="17" t="s">
        <v>920</v>
      </c>
      <c r="F8" s="17" t="s">
        <v>921</v>
      </c>
      <c r="G8" s="17" t="s">
        <v>922</v>
      </c>
      <c r="H8" s="17" t="s">
        <v>923</v>
      </c>
      <c r="I8" s="17" t="s">
        <v>924</v>
      </c>
    </row>
    <row r="9" customFormat="false" ht="45.75" hidden="false" customHeight="true" outlineLevel="0" collapsed="false">
      <c r="B9" s="17" t="s">
        <v>925</v>
      </c>
      <c r="C9" s="17" t="s">
        <v>926</v>
      </c>
      <c r="D9" s="17" t="s">
        <v>927</v>
      </c>
      <c r="E9" s="17" t="s">
        <v>928</v>
      </c>
      <c r="F9" s="17" t="s">
        <v>929</v>
      </c>
      <c r="G9" s="17" t="s">
        <v>930</v>
      </c>
      <c r="H9" s="17" t="s">
        <v>931</v>
      </c>
      <c r="I9" s="17" t="s">
        <v>932</v>
      </c>
    </row>
    <row r="10" customFormat="false" ht="45.75" hidden="false" customHeight="true" outlineLevel="0" collapsed="false">
      <c r="B10" s="17" t="s">
        <v>933</v>
      </c>
      <c r="C10" s="17" t="s">
        <v>934</v>
      </c>
      <c r="D10" s="17" t="s">
        <v>935</v>
      </c>
      <c r="E10" s="17" t="s">
        <v>936</v>
      </c>
      <c r="F10" s="17" t="s">
        <v>937</v>
      </c>
      <c r="G10" s="17" t="s">
        <v>938</v>
      </c>
      <c r="H10" s="17" t="s">
        <v>939</v>
      </c>
      <c r="I10" s="17" t="s">
        <v>940</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8"/>
    <col collapsed="false" customWidth="true" hidden="false" outlineLevel="0" max="4" min="4" style="0" width="32"/>
    <col collapsed="false" customWidth="true" hidden="false" outlineLevel="0" max="5" min="5" style="0" width="30"/>
    <col collapsed="false" customWidth="true" hidden="false" outlineLevel="0" max="6" min="6" style="0" width="52"/>
    <col collapsed="false" customWidth="true" hidden="false" outlineLevel="0" max="7" min="7" style="0" width="26"/>
    <col collapsed="false" customWidth="true" hidden="false" outlineLevel="0" max="8" min="8" style="0" width="14"/>
  </cols>
  <sheetData>
    <row r="1" customFormat="false" ht="15" hidden="false" customHeight="false" outlineLevel="0" collapsed="false">
      <c r="B1" s="12" t="s">
        <v>24</v>
      </c>
    </row>
    <row r="2" customFormat="false" ht="22.05" hidden="false" customHeight="false" outlineLevel="0" collapsed="false">
      <c r="B2" s="13" t="s">
        <v>941</v>
      </c>
    </row>
    <row r="3" customFormat="false" ht="15" hidden="false" customHeight="false" outlineLevel="0" collapsed="false">
      <c r="B3" s="14" t="s">
        <v>942</v>
      </c>
    </row>
    <row r="5" customFormat="false" ht="30" hidden="false" customHeight="true" outlineLevel="0" collapsed="false">
      <c r="B5" s="15" t="s">
        <v>163</v>
      </c>
      <c r="C5" s="15" t="s">
        <v>943</v>
      </c>
      <c r="D5" s="15" t="s">
        <v>318</v>
      </c>
      <c r="E5" s="15" t="s">
        <v>319</v>
      </c>
      <c r="F5" s="15" t="s">
        <v>100</v>
      </c>
      <c r="G5" s="15" t="s">
        <v>655</v>
      </c>
      <c r="H5" s="15" t="s">
        <v>944</v>
      </c>
    </row>
    <row r="6" customFormat="false" ht="31.5" hidden="false" customHeight="true" outlineLevel="0" collapsed="false">
      <c r="B6" s="17" t="s">
        <v>945</v>
      </c>
      <c r="C6" s="17" t="s">
        <v>946</v>
      </c>
      <c r="D6" s="17" t="s">
        <v>947</v>
      </c>
      <c r="E6" s="17" t="s">
        <v>948</v>
      </c>
      <c r="F6" s="17" t="s">
        <v>949</v>
      </c>
      <c r="G6" s="17" t="s">
        <v>224</v>
      </c>
      <c r="H6" s="17" t="s">
        <v>222</v>
      </c>
    </row>
    <row r="7" customFormat="false" ht="31.5" hidden="false" customHeight="true" outlineLevel="0" collapsed="false">
      <c r="B7" s="17" t="s">
        <v>950</v>
      </c>
      <c r="C7" s="17" t="s">
        <v>951</v>
      </c>
      <c r="D7" s="17" t="s">
        <v>952</v>
      </c>
      <c r="E7" s="17" t="s">
        <v>948</v>
      </c>
      <c r="F7" s="17" t="s">
        <v>953</v>
      </c>
      <c r="G7" s="17" t="s">
        <v>228</v>
      </c>
      <c r="H7" s="17" t="s">
        <v>226</v>
      </c>
    </row>
    <row r="8" customFormat="false" ht="31.5" hidden="false" customHeight="true" outlineLevel="0" collapsed="false">
      <c r="B8" s="17" t="s">
        <v>954</v>
      </c>
      <c r="C8" s="17" t="s">
        <v>955</v>
      </c>
      <c r="D8" s="17" t="s">
        <v>956</v>
      </c>
      <c r="E8" s="17" t="s">
        <v>957</v>
      </c>
      <c r="F8" s="17" t="s">
        <v>958</v>
      </c>
      <c r="G8" s="17" t="s">
        <v>959</v>
      </c>
      <c r="H8" s="17" t="s">
        <v>215</v>
      </c>
    </row>
    <row r="9" customFormat="false" ht="45.75" hidden="false" customHeight="true" outlineLevel="0" collapsed="false">
      <c r="B9" s="17" t="s">
        <v>960</v>
      </c>
      <c r="C9" s="17" t="s">
        <v>961</v>
      </c>
      <c r="D9" s="17" t="s">
        <v>962</v>
      </c>
      <c r="E9" s="17" t="s">
        <v>963</v>
      </c>
      <c r="F9" s="17" t="s">
        <v>964</v>
      </c>
      <c r="G9" s="17" t="s">
        <v>965</v>
      </c>
      <c r="H9" s="17" t="s">
        <v>966</v>
      </c>
    </row>
    <row r="10" customFormat="false" ht="45.75" hidden="false" customHeight="true" outlineLevel="0" collapsed="false">
      <c r="B10" s="17" t="s">
        <v>967</v>
      </c>
      <c r="C10" s="17" t="s">
        <v>968</v>
      </c>
      <c r="D10" s="17" t="s">
        <v>969</v>
      </c>
      <c r="E10" s="17" t="s">
        <v>970</v>
      </c>
      <c r="F10" s="17" t="s">
        <v>971</v>
      </c>
      <c r="G10" s="17" t="s">
        <v>972</v>
      </c>
      <c r="H10" s="17" t="s">
        <v>771</v>
      </c>
    </row>
    <row r="11" customFormat="false" ht="31.5" hidden="false" customHeight="true" outlineLevel="0" collapsed="false">
      <c r="B11" s="17" t="s">
        <v>973</v>
      </c>
      <c r="C11" s="17" t="s">
        <v>974</v>
      </c>
      <c r="D11" s="17" t="s">
        <v>975</v>
      </c>
      <c r="E11" s="17" t="s">
        <v>976</v>
      </c>
      <c r="F11" s="17" t="s">
        <v>977</v>
      </c>
      <c r="G11" s="17" t="s">
        <v>978</v>
      </c>
      <c r="H11" s="17" t="s">
        <v>979</v>
      </c>
    </row>
    <row r="12" customFormat="false" ht="45.75" hidden="false" customHeight="true" outlineLevel="0" collapsed="false">
      <c r="B12" s="17" t="s">
        <v>980</v>
      </c>
      <c r="C12" s="17" t="s">
        <v>981</v>
      </c>
      <c r="D12" s="17" t="s">
        <v>982</v>
      </c>
      <c r="E12" s="17" t="s">
        <v>983</v>
      </c>
      <c r="F12" s="17" t="s">
        <v>984</v>
      </c>
      <c r="G12" s="17" t="s">
        <v>985</v>
      </c>
      <c r="H12" s="17" t="s">
        <v>979</v>
      </c>
    </row>
    <row r="14" customFormat="false" ht="15.75" hidden="false" customHeight="true" outlineLevel="0" collapsed="false">
      <c r="B14" s="24" t="s">
        <v>986</v>
      </c>
      <c r="C14" s="24"/>
      <c r="D14" s="24"/>
      <c r="E14" s="24"/>
      <c r="F14" s="24"/>
      <c r="G14" s="24"/>
      <c r="H14" s="24"/>
    </row>
  </sheetData>
  <mergeCells count="1">
    <mergeCell ref="B14:H14"/>
  </mergeCell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8"/>
    <col collapsed="false" customWidth="true" hidden="false" outlineLevel="0" max="4" min="4" style="0" width="11"/>
    <col collapsed="false" customWidth="true" hidden="false" outlineLevel="0" max="5" min="5" style="0" width="26"/>
    <col collapsed="false" customWidth="true" hidden="false" outlineLevel="0" max="6" min="6" style="0" width="60"/>
    <col collapsed="false" customWidth="true" hidden="false" outlineLevel="0" max="7" min="7" style="0" width="36"/>
  </cols>
  <sheetData>
    <row r="1" customFormat="false" ht="15" hidden="false" customHeight="false" outlineLevel="0" collapsed="false">
      <c r="B1" s="12" t="s">
        <v>24</v>
      </c>
    </row>
    <row r="2" customFormat="false" ht="22.05" hidden="false" customHeight="false" outlineLevel="0" collapsed="false">
      <c r="B2" s="13" t="s">
        <v>987</v>
      </c>
    </row>
    <row r="3" customFormat="false" ht="15" hidden="false" customHeight="false" outlineLevel="0" collapsed="false">
      <c r="B3" s="14" t="s">
        <v>988</v>
      </c>
    </row>
    <row r="5" customFormat="false" ht="30" hidden="false" customHeight="true" outlineLevel="0" collapsed="false">
      <c r="B5" s="15" t="s">
        <v>163</v>
      </c>
      <c r="C5" s="15" t="s">
        <v>989</v>
      </c>
      <c r="D5" s="15" t="s">
        <v>990</v>
      </c>
      <c r="E5" s="15" t="s">
        <v>991</v>
      </c>
      <c r="F5" s="15" t="s">
        <v>992</v>
      </c>
      <c r="G5" s="15" t="s">
        <v>993</v>
      </c>
    </row>
    <row r="6" customFormat="false" ht="31.5" hidden="false" customHeight="true" outlineLevel="0" collapsed="false">
      <c r="B6" s="17" t="s">
        <v>994</v>
      </c>
      <c r="C6" s="17" t="s">
        <v>995</v>
      </c>
      <c r="D6" s="17" t="s">
        <v>996</v>
      </c>
      <c r="E6" s="17" t="s">
        <v>997</v>
      </c>
      <c r="F6" s="17" t="s">
        <v>998</v>
      </c>
      <c r="G6" s="17" t="s">
        <v>999</v>
      </c>
    </row>
    <row r="7" customFormat="false" ht="31.5" hidden="false" customHeight="true" outlineLevel="0" collapsed="false">
      <c r="B7" s="17" t="s">
        <v>1000</v>
      </c>
      <c r="C7" s="17" t="s">
        <v>1001</v>
      </c>
      <c r="D7" s="17" t="s">
        <v>1002</v>
      </c>
      <c r="E7" s="17" t="s">
        <v>1003</v>
      </c>
      <c r="F7" s="17" t="s">
        <v>1004</v>
      </c>
      <c r="G7" s="17" t="s">
        <v>1005</v>
      </c>
    </row>
    <row r="8" customFormat="false" ht="31.5" hidden="false" customHeight="true" outlineLevel="0" collapsed="false">
      <c r="B8" s="17" t="s">
        <v>1006</v>
      </c>
      <c r="C8" s="17" t="s">
        <v>1007</v>
      </c>
      <c r="D8" s="17" t="s">
        <v>1008</v>
      </c>
      <c r="E8" s="17" t="s">
        <v>1009</v>
      </c>
      <c r="F8" s="17" t="s">
        <v>1010</v>
      </c>
      <c r="G8" s="17" t="s">
        <v>1011</v>
      </c>
    </row>
    <row r="9" customFormat="false" ht="31.5" hidden="false" customHeight="true" outlineLevel="0" collapsed="false">
      <c r="B9" s="17" t="s">
        <v>1012</v>
      </c>
      <c r="C9" s="17" t="s">
        <v>1013</v>
      </c>
      <c r="D9" s="17" t="s">
        <v>996</v>
      </c>
      <c r="E9" s="17" t="s">
        <v>1014</v>
      </c>
      <c r="F9" s="17" t="s">
        <v>1015</v>
      </c>
      <c r="G9" s="17" t="s">
        <v>1016</v>
      </c>
    </row>
    <row r="10" customFormat="false" ht="31.5" hidden="false" customHeight="true" outlineLevel="0" collapsed="false">
      <c r="B10" s="17" t="s">
        <v>1017</v>
      </c>
      <c r="C10" s="17" t="s">
        <v>1018</v>
      </c>
      <c r="D10" s="17" t="s">
        <v>1019</v>
      </c>
      <c r="E10" s="17" t="s">
        <v>1020</v>
      </c>
      <c r="F10" s="17" t="s">
        <v>1021</v>
      </c>
      <c r="G10" s="17" t="s">
        <v>1022</v>
      </c>
    </row>
    <row r="11" customFormat="false" ht="31.5" hidden="false" customHeight="true" outlineLevel="0" collapsed="false">
      <c r="B11" s="17" t="s">
        <v>1023</v>
      </c>
      <c r="C11" s="17" t="s">
        <v>1024</v>
      </c>
      <c r="D11" s="17" t="s">
        <v>1025</v>
      </c>
      <c r="E11" s="17" t="s">
        <v>1026</v>
      </c>
      <c r="F11" s="17" t="s">
        <v>1027</v>
      </c>
      <c r="G11" s="17" t="s">
        <v>1028</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28"/>
    <col collapsed="false" customWidth="true" hidden="false" outlineLevel="0" max="4" min="4" style="0" width="26"/>
    <col collapsed="false" customWidth="true" hidden="false" outlineLevel="0" max="5" min="5" style="0" width="46"/>
    <col collapsed="false" customWidth="true" hidden="false" outlineLevel="0" max="6" min="6" style="0" width="14"/>
    <col collapsed="false" customWidth="true" hidden="false" outlineLevel="0" max="7" min="7" style="0" width="24"/>
    <col collapsed="false" customWidth="true" hidden="false" outlineLevel="0" max="8" min="8" style="0" width="18"/>
  </cols>
  <sheetData>
    <row r="1" customFormat="false" ht="15" hidden="false" customHeight="false" outlineLevel="0" collapsed="false">
      <c r="B1" s="12" t="s">
        <v>24</v>
      </c>
    </row>
    <row r="2" customFormat="false" ht="22.05" hidden="false" customHeight="false" outlineLevel="0" collapsed="false">
      <c r="B2" s="13" t="s">
        <v>1029</v>
      </c>
    </row>
    <row r="5" customFormat="false" ht="30" hidden="false" customHeight="true" outlineLevel="0" collapsed="false">
      <c r="B5" s="15" t="s">
        <v>163</v>
      </c>
      <c r="C5" s="15" t="s">
        <v>943</v>
      </c>
      <c r="D5" s="15" t="s">
        <v>318</v>
      </c>
      <c r="E5" s="15" t="s">
        <v>100</v>
      </c>
      <c r="F5" s="15" t="s">
        <v>848</v>
      </c>
      <c r="G5" s="15" t="s">
        <v>655</v>
      </c>
      <c r="H5" s="15" t="s">
        <v>1030</v>
      </c>
    </row>
    <row r="6" customFormat="false" ht="18" hidden="false" customHeight="true" outlineLevel="0" collapsed="false">
      <c r="B6" s="17" t="s">
        <v>1031</v>
      </c>
      <c r="C6" s="17" t="s">
        <v>1032</v>
      </c>
      <c r="D6" s="17" t="s">
        <v>1033</v>
      </c>
      <c r="E6" s="17" t="s">
        <v>1034</v>
      </c>
      <c r="F6" s="17" t="s">
        <v>1035</v>
      </c>
      <c r="G6" s="17" t="s">
        <v>1036</v>
      </c>
      <c r="H6" s="17" t="s">
        <v>1037</v>
      </c>
    </row>
    <row r="7" customFormat="false" ht="31.5" hidden="false" customHeight="true" outlineLevel="0" collapsed="false">
      <c r="B7" s="17" t="s">
        <v>1038</v>
      </c>
      <c r="C7" s="17" t="s">
        <v>1039</v>
      </c>
      <c r="D7" s="17" t="s">
        <v>1040</v>
      </c>
      <c r="E7" s="17" t="s">
        <v>1041</v>
      </c>
      <c r="F7" s="17" t="s">
        <v>1042</v>
      </c>
      <c r="G7" s="17" t="s">
        <v>1043</v>
      </c>
      <c r="H7" s="17" t="s">
        <v>1044</v>
      </c>
    </row>
    <row r="8" customFormat="false" ht="18" hidden="false" customHeight="true" outlineLevel="0" collapsed="false">
      <c r="B8" s="17" t="s">
        <v>1045</v>
      </c>
      <c r="C8" s="17" t="s">
        <v>1046</v>
      </c>
      <c r="D8" s="17" t="s">
        <v>1047</v>
      </c>
      <c r="E8" s="17" t="s">
        <v>1048</v>
      </c>
      <c r="F8" s="17" t="s">
        <v>1049</v>
      </c>
      <c r="G8" s="17" t="s">
        <v>1050</v>
      </c>
      <c r="H8" s="17" t="s">
        <v>1051</v>
      </c>
    </row>
    <row r="9" customFormat="false" ht="18" hidden="false" customHeight="true" outlineLevel="0" collapsed="false">
      <c r="B9" s="17" t="s">
        <v>1052</v>
      </c>
      <c r="C9" s="17" t="s">
        <v>1053</v>
      </c>
      <c r="D9" s="17" t="s">
        <v>1054</v>
      </c>
      <c r="E9" s="17" t="s">
        <v>1055</v>
      </c>
      <c r="F9" s="17" t="s">
        <v>1056</v>
      </c>
      <c r="G9" s="17" t="s">
        <v>1057</v>
      </c>
      <c r="H9" s="17" t="s">
        <v>1058</v>
      </c>
    </row>
    <row r="10" customFormat="false" ht="18" hidden="false" customHeight="true" outlineLevel="0" collapsed="false">
      <c r="B10" s="17" t="s">
        <v>1059</v>
      </c>
      <c r="C10" s="17" t="s">
        <v>1060</v>
      </c>
      <c r="D10" s="17" t="s">
        <v>1061</v>
      </c>
      <c r="E10" s="17" t="s">
        <v>1062</v>
      </c>
      <c r="F10" s="17" t="s">
        <v>1063</v>
      </c>
      <c r="G10" s="17" t="s">
        <v>1064</v>
      </c>
      <c r="H10" s="17" t="s">
        <v>1065</v>
      </c>
    </row>
    <row r="11" customFormat="false" ht="18" hidden="false" customHeight="true" outlineLevel="0" collapsed="false">
      <c r="B11" s="17" t="s">
        <v>1066</v>
      </c>
      <c r="C11" s="17" t="s">
        <v>1067</v>
      </c>
      <c r="D11" s="17" t="s">
        <v>1068</v>
      </c>
      <c r="E11" s="17" t="s">
        <v>1069</v>
      </c>
      <c r="F11" s="17" t="s">
        <v>1070</v>
      </c>
      <c r="G11" s="17" t="s">
        <v>1071</v>
      </c>
      <c r="H11" s="17" t="s">
        <v>1072</v>
      </c>
    </row>
    <row r="12" customFormat="false" ht="18" hidden="false" customHeight="true" outlineLevel="0" collapsed="false">
      <c r="B12" s="17" t="s">
        <v>1073</v>
      </c>
      <c r="C12" s="17" t="s">
        <v>1074</v>
      </c>
      <c r="D12" s="17" t="s">
        <v>1075</v>
      </c>
      <c r="E12" s="17" t="s">
        <v>1076</v>
      </c>
      <c r="F12" s="17" t="s">
        <v>1056</v>
      </c>
      <c r="G12" s="17" t="s">
        <v>1077</v>
      </c>
      <c r="H12" s="17" t="s">
        <v>1078</v>
      </c>
    </row>
    <row r="13" customFormat="false" ht="31.5" hidden="false" customHeight="true" outlineLevel="0" collapsed="false">
      <c r="B13" s="17" t="s">
        <v>1079</v>
      </c>
      <c r="C13" s="17" t="s">
        <v>1080</v>
      </c>
      <c r="D13" s="17" t="s">
        <v>1081</v>
      </c>
      <c r="E13" s="17" t="s">
        <v>1082</v>
      </c>
      <c r="F13" s="17" t="s">
        <v>1070</v>
      </c>
      <c r="G13" s="17" t="s">
        <v>1083</v>
      </c>
      <c r="H13" s="17" t="s">
        <v>1072</v>
      </c>
    </row>
    <row r="14" customFormat="false" ht="31.5" hidden="false" customHeight="true" outlineLevel="0" collapsed="false">
      <c r="B14" s="17" t="s">
        <v>1084</v>
      </c>
      <c r="C14" s="17" t="s">
        <v>1085</v>
      </c>
      <c r="D14" s="17" t="s">
        <v>1086</v>
      </c>
      <c r="E14" s="17" t="s">
        <v>1087</v>
      </c>
      <c r="F14" s="17" t="s">
        <v>1088</v>
      </c>
      <c r="G14" s="17" t="s">
        <v>1089</v>
      </c>
      <c r="H14" s="17" t="s">
        <v>1090</v>
      </c>
    </row>
    <row r="15" customFormat="false" ht="31.5" hidden="false" customHeight="true" outlineLevel="0" collapsed="false">
      <c r="B15" s="17" t="s">
        <v>1091</v>
      </c>
      <c r="C15" s="17" t="s">
        <v>1092</v>
      </c>
      <c r="D15" s="17" t="s">
        <v>1093</v>
      </c>
      <c r="E15" s="17" t="s">
        <v>1094</v>
      </c>
      <c r="F15" s="17" t="s">
        <v>1095</v>
      </c>
      <c r="G15" s="17" t="s">
        <v>1096</v>
      </c>
      <c r="H15" s="17" t="s">
        <v>1097</v>
      </c>
    </row>
    <row r="16" customFormat="false" ht="31.5" hidden="false" customHeight="true" outlineLevel="0" collapsed="false">
      <c r="B16" s="17" t="s">
        <v>1098</v>
      </c>
      <c r="C16" s="17" t="s">
        <v>1099</v>
      </c>
      <c r="D16" s="17" t="s">
        <v>1100</v>
      </c>
      <c r="E16" s="17" t="s">
        <v>1101</v>
      </c>
      <c r="F16" s="17" t="s">
        <v>173</v>
      </c>
      <c r="G16" s="17" t="s">
        <v>1102</v>
      </c>
      <c r="H16" s="17" t="s">
        <v>1103</v>
      </c>
    </row>
    <row r="17" customFormat="false" ht="18" hidden="false" customHeight="true" outlineLevel="0" collapsed="false">
      <c r="B17" s="17" t="s">
        <v>1104</v>
      </c>
      <c r="C17" s="17" t="s">
        <v>1105</v>
      </c>
      <c r="D17" s="17" t="s">
        <v>1106</v>
      </c>
      <c r="E17" s="17" t="s">
        <v>1107</v>
      </c>
      <c r="F17" s="17" t="s">
        <v>173</v>
      </c>
      <c r="G17" s="17" t="s">
        <v>1108</v>
      </c>
      <c r="H17" s="17" t="s">
        <v>1109</v>
      </c>
    </row>
    <row r="18" customFormat="false" ht="31.5" hidden="false" customHeight="true" outlineLevel="0" collapsed="false">
      <c r="B18" s="17" t="s">
        <v>1110</v>
      </c>
      <c r="C18" s="17" t="s">
        <v>1111</v>
      </c>
      <c r="D18" s="17" t="s">
        <v>1112</v>
      </c>
      <c r="E18" s="17" t="s">
        <v>1113</v>
      </c>
      <c r="F18" s="17" t="s">
        <v>248</v>
      </c>
      <c r="G18" s="17" t="s">
        <v>251</v>
      </c>
      <c r="H18" s="17" t="s">
        <v>1114</v>
      </c>
    </row>
    <row r="19" customFormat="false" ht="31.5" hidden="false" customHeight="true" outlineLevel="0" collapsed="false">
      <c r="B19" s="17" t="s">
        <v>1115</v>
      </c>
      <c r="C19" s="17" t="s">
        <v>1116</v>
      </c>
      <c r="D19" s="17" t="s">
        <v>1117</v>
      </c>
      <c r="E19" s="17" t="s">
        <v>1118</v>
      </c>
      <c r="F19" s="17" t="s">
        <v>1119</v>
      </c>
      <c r="G19" s="17" t="s">
        <v>1120</v>
      </c>
      <c r="H19" s="17" t="s">
        <v>1097</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4"/>
    <col collapsed="false" customWidth="true" hidden="false" outlineLevel="0" max="4" min="4" style="0" width="34"/>
    <col collapsed="false" customWidth="true" hidden="false" outlineLevel="0" max="5" min="5" style="0" width="36"/>
    <col collapsed="false" customWidth="true" hidden="false" outlineLevel="0" max="6" min="6" style="0" width="30"/>
    <col collapsed="false" customWidth="true" hidden="false" outlineLevel="0" max="7" min="7" style="0" width="18"/>
    <col collapsed="false" customWidth="true" hidden="false" outlineLevel="0" max="8" min="8" style="0" width="22"/>
    <col collapsed="false" customWidth="true" hidden="false" outlineLevel="0" max="9" min="9" style="0" width="30"/>
    <col collapsed="false" customWidth="true" hidden="false" outlineLevel="0" max="11" min="10" style="0" width="26"/>
  </cols>
  <sheetData>
    <row r="1" customFormat="false" ht="15" hidden="false" customHeight="false" outlineLevel="0" collapsed="false">
      <c r="B1" s="12" t="s">
        <v>24</v>
      </c>
    </row>
    <row r="2" customFormat="false" ht="22.05" hidden="false" customHeight="false" outlineLevel="0" collapsed="false">
      <c r="B2" s="13" t="s">
        <v>1121</v>
      </c>
    </row>
    <row r="3" customFormat="false" ht="15" hidden="false" customHeight="false" outlineLevel="0" collapsed="false">
      <c r="B3" s="14" t="s">
        <v>1122</v>
      </c>
    </row>
    <row r="5" customFormat="false" ht="30" hidden="false" customHeight="true" outlineLevel="0" collapsed="false">
      <c r="B5" s="15" t="s">
        <v>163</v>
      </c>
      <c r="C5" s="15" t="s">
        <v>1123</v>
      </c>
      <c r="D5" s="15" t="s">
        <v>867</v>
      </c>
      <c r="E5" s="15" t="s">
        <v>1124</v>
      </c>
      <c r="F5" s="15" t="s">
        <v>1125</v>
      </c>
      <c r="G5" s="15" t="s">
        <v>1126</v>
      </c>
      <c r="H5" s="15" t="s">
        <v>655</v>
      </c>
      <c r="I5" s="15" t="s">
        <v>1127</v>
      </c>
      <c r="J5" s="15" t="s">
        <v>1128</v>
      </c>
      <c r="K5" s="15" t="s">
        <v>1129</v>
      </c>
    </row>
    <row r="6" customFormat="false" ht="60" hidden="false" customHeight="true" outlineLevel="0" collapsed="false">
      <c r="B6" s="17" t="s">
        <v>1130</v>
      </c>
      <c r="C6" s="17" t="s">
        <v>1131</v>
      </c>
      <c r="D6" s="17" t="s">
        <v>1132</v>
      </c>
      <c r="E6" s="17" t="s">
        <v>1133</v>
      </c>
      <c r="F6" s="17" t="s">
        <v>1134</v>
      </c>
      <c r="G6" s="17" t="s">
        <v>1135</v>
      </c>
      <c r="H6" s="17" t="s">
        <v>224</v>
      </c>
      <c r="I6" s="17" t="s">
        <v>1136</v>
      </c>
      <c r="J6" s="17" t="s">
        <v>1137</v>
      </c>
      <c r="K6" s="17" t="s">
        <v>1138</v>
      </c>
    </row>
    <row r="7" customFormat="false" ht="45.75" hidden="false" customHeight="true" outlineLevel="0" collapsed="false">
      <c r="B7" s="17" t="s">
        <v>1139</v>
      </c>
      <c r="C7" s="17" t="s">
        <v>1140</v>
      </c>
      <c r="D7" s="17" t="s">
        <v>1141</v>
      </c>
      <c r="E7" s="17" t="s">
        <v>1142</v>
      </c>
      <c r="F7" s="17" t="s">
        <v>1143</v>
      </c>
      <c r="G7" s="17" t="s">
        <v>1144</v>
      </c>
      <c r="H7" s="17" t="s">
        <v>1145</v>
      </c>
      <c r="I7" s="17" t="s">
        <v>1146</v>
      </c>
      <c r="J7" s="17" t="s">
        <v>1147</v>
      </c>
      <c r="K7" s="17" t="s">
        <v>1148</v>
      </c>
    </row>
    <row r="8" customFormat="false" ht="45.75" hidden="false" customHeight="true" outlineLevel="0" collapsed="false">
      <c r="B8" s="17" t="s">
        <v>1149</v>
      </c>
      <c r="C8" s="17" t="s">
        <v>1150</v>
      </c>
      <c r="D8" s="17" t="s">
        <v>1151</v>
      </c>
      <c r="E8" s="17" t="s">
        <v>1152</v>
      </c>
      <c r="F8" s="17" t="s">
        <v>1153</v>
      </c>
      <c r="G8" s="17" t="s">
        <v>1154</v>
      </c>
      <c r="H8" s="17" t="s">
        <v>1155</v>
      </c>
      <c r="I8" s="17" t="s">
        <v>1156</v>
      </c>
      <c r="J8" s="17" t="s">
        <v>1157</v>
      </c>
      <c r="K8" s="17" t="s">
        <v>1158</v>
      </c>
    </row>
    <row r="9" customFormat="false" ht="45.75" hidden="false" customHeight="true" outlineLevel="0" collapsed="false">
      <c r="B9" s="17" t="s">
        <v>1159</v>
      </c>
      <c r="C9" s="17" t="s">
        <v>1160</v>
      </c>
      <c r="D9" s="17" t="s">
        <v>1161</v>
      </c>
      <c r="E9" s="17" t="s">
        <v>1162</v>
      </c>
      <c r="F9" s="17" t="s">
        <v>1163</v>
      </c>
      <c r="G9" s="17" t="s">
        <v>1164</v>
      </c>
      <c r="H9" s="17" t="s">
        <v>217</v>
      </c>
      <c r="I9" s="17" t="s">
        <v>1165</v>
      </c>
      <c r="J9" s="17" t="s">
        <v>1166</v>
      </c>
      <c r="K9" s="17" t="s">
        <v>1167</v>
      </c>
    </row>
    <row r="10" customFormat="false" ht="45.75" hidden="false" customHeight="true" outlineLevel="0" collapsed="false">
      <c r="B10" s="17" t="s">
        <v>1168</v>
      </c>
      <c r="C10" s="17" t="s">
        <v>1169</v>
      </c>
      <c r="D10" s="17" t="s">
        <v>1170</v>
      </c>
      <c r="E10" s="17" t="s">
        <v>1171</v>
      </c>
      <c r="F10" s="17" t="s">
        <v>1172</v>
      </c>
      <c r="G10" s="17" t="s">
        <v>1173</v>
      </c>
      <c r="H10" s="17" t="s">
        <v>182</v>
      </c>
      <c r="I10" s="17" t="s">
        <v>1174</v>
      </c>
      <c r="J10" s="17" t="s">
        <v>1175</v>
      </c>
      <c r="K10" s="17" t="s">
        <v>1176</v>
      </c>
    </row>
    <row r="11" customFormat="false" ht="45.75" hidden="false" customHeight="true" outlineLevel="0" collapsed="false">
      <c r="B11" s="17" t="s">
        <v>1177</v>
      </c>
      <c r="C11" s="17" t="s">
        <v>1178</v>
      </c>
      <c r="D11" s="17" t="s">
        <v>1179</v>
      </c>
      <c r="E11" s="17" t="s">
        <v>1180</v>
      </c>
      <c r="F11" s="17" t="s">
        <v>1181</v>
      </c>
      <c r="G11" s="17" t="s">
        <v>1182</v>
      </c>
      <c r="H11" s="17" t="s">
        <v>1183</v>
      </c>
      <c r="I11" s="17" t="s">
        <v>1184</v>
      </c>
      <c r="J11" s="17" t="s">
        <v>1185</v>
      </c>
      <c r="K11" s="17" t="s">
        <v>1186</v>
      </c>
    </row>
    <row r="12" customFormat="false" ht="31.5" hidden="false" customHeight="true" outlineLevel="0" collapsed="false">
      <c r="B12" s="17" t="s">
        <v>1187</v>
      </c>
      <c r="C12" s="17" t="s">
        <v>1188</v>
      </c>
      <c r="D12" s="17" t="s">
        <v>1189</v>
      </c>
      <c r="E12" s="17" t="s">
        <v>1190</v>
      </c>
      <c r="F12" s="17" t="s">
        <v>1191</v>
      </c>
      <c r="G12" s="17" t="s">
        <v>1192</v>
      </c>
      <c r="H12" s="17" t="s">
        <v>232</v>
      </c>
      <c r="I12" s="17" t="s">
        <v>1193</v>
      </c>
      <c r="J12" s="17" t="s">
        <v>1194</v>
      </c>
      <c r="K12" s="17" t="s">
        <v>1195</v>
      </c>
    </row>
    <row r="13" customFormat="false" ht="45.75" hidden="false" customHeight="true" outlineLevel="0" collapsed="false">
      <c r="B13" s="17" t="s">
        <v>1196</v>
      </c>
      <c r="C13" s="17" t="s">
        <v>1197</v>
      </c>
      <c r="D13" s="17" t="s">
        <v>1198</v>
      </c>
      <c r="E13" s="17" t="s">
        <v>1199</v>
      </c>
      <c r="F13" s="17" t="s">
        <v>1200</v>
      </c>
      <c r="G13" s="17" t="s">
        <v>1201</v>
      </c>
      <c r="H13" s="17" t="s">
        <v>236</v>
      </c>
      <c r="I13" s="17" t="s">
        <v>1202</v>
      </c>
      <c r="J13" s="17" t="s">
        <v>1203</v>
      </c>
      <c r="K13" s="17" t="s">
        <v>1204</v>
      </c>
    </row>
    <row r="14" customFormat="false" ht="31.5" hidden="false" customHeight="true" outlineLevel="0" collapsed="false">
      <c r="B14" s="17" t="s">
        <v>1205</v>
      </c>
      <c r="C14" s="17" t="s">
        <v>1206</v>
      </c>
      <c r="D14" s="17" t="s">
        <v>1207</v>
      </c>
      <c r="E14" s="17" t="s">
        <v>1208</v>
      </c>
      <c r="F14" s="17" t="s">
        <v>1209</v>
      </c>
      <c r="G14" s="17" t="s">
        <v>1210</v>
      </c>
      <c r="H14" s="17" t="s">
        <v>1211</v>
      </c>
      <c r="I14" s="17" t="s">
        <v>1212</v>
      </c>
      <c r="J14" s="17" t="s">
        <v>1213</v>
      </c>
      <c r="K14" s="17" t="s">
        <v>1214</v>
      </c>
    </row>
    <row r="15" customFormat="false" ht="31.5" hidden="false" customHeight="true" outlineLevel="0" collapsed="false">
      <c r="B15" s="17" t="s">
        <v>1215</v>
      </c>
      <c r="C15" s="17" t="s">
        <v>1216</v>
      </c>
      <c r="D15" s="17" t="s">
        <v>1217</v>
      </c>
      <c r="E15" s="17" t="s">
        <v>1218</v>
      </c>
      <c r="F15" s="17" t="s">
        <v>1219</v>
      </c>
      <c r="G15" s="17" t="s">
        <v>1220</v>
      </c>
      <c r="H15" s="17" t="s">
        <v>1221</v>
      </c>
      <c r="I15" s="17" t="s">
        <v>1222</v>
      </c>
      <c r="J15" s="17" t="s">
        <v>1223</v>
      </c>
      <c r="K15" s="17" t="s">
        <v>1224</v>
      </c>
    </row>
    <row r="16" customFormat="false" ht="31.5" hidden="false" customHeight="true" outlineLevel="0" collapsed="false">
      <c r="B16" s="17" t="s">
        <v>1225</v>
      </c>
      <c r="C16" s="17" t="s">
        <v>1226</v>
      </c>
      <c r="D16" s="17" t="s">
        <v>1227</v>
      </c>
      <c r="E16" s="17" t="s">
        <v>1228</v>
      </c>
      <c r="F16" s="17" t="s">
        <v>1229</v>
      </c>
      <c r="G16" s="17" t="s">
        <v>1230</v>
      </c>
      <c r="H16" s="17" t="s">
        <v>179</v>
      </c>
      <c r="I16" s="17" t="s">
        <v>1231</v>
      </c>
      <c r="J16" s="17" t="s">
        <v>1232</v>
      </c>
      <c r="K16" s="17" t="s">
        <v>1233</v>
      </c>
    </row>
    <row r="17" customFormat="false" ht="45.75" hidden="false" customHeight="true" outlineLevel="0" collapsed="false">
      <c r="B17" s="17" t="s">
        <v>1234</v>
      </c>
      <c r="C17" s="17" t="s">
        <v>1235</v>
      </c>
      <c r="D17" s="17" t="s">
        <v>1236</v>
      </c>
      <c r="E17" s="17" t="s">
        <v>1237</v>
      </c>
      <c r="F17" s="17" t="s">
        <v>1238</v>
      </c>
      <c r="G17" s="17" t="s">
        <v>1239</v>
      </c>
      <c r="H17" s="17" t="s">
        <v>1240</v>
      </c>
      <c r="I17" s="17" t="s">
        <v>1241</v>
      </c>
      <c r="J17" s="17" t="s">
        <v>1242</v>
      </c>
      <c r="K17" s="17" t="s">
        <v>1243</v>
      </c>
    </row>
    <row r="18" customFormat="false" ht="31.5" hidden="false" customHeight="true" outlineLevel="0" collapsed="false">
      <c r="B18" s="17" t="s">
        <v>1244</v>
      </c>
      <c r="C18" s="17" t="s">
        <v>1245</v>
      </c>
      <c r="D18" s="17" t="s">
        <v>1246</v>
      </c>
      <c r="E18" s="17" t="s">
        <v>1247</v>
      </c>
      <c r="F18" s="17" t="s">
        <v>1248</v>
      </c>
      <c r="G18" s="17" t="s">
        <v>1249</v>
      </c>
      <c r="H18" s="17" t="s">
        <v>1250</v>
      </c>
      <c r="I18" s="17" t="s">
        <v>1251</v>
      </c>
      <c r="J18" s="17" t="s">
        <v>1252</v>
      </c>
      <c r="K18" s="17" t="s">
        <v>1253</v>
      </c>
    </row>
    <row r="19" customFormat="false" ht="31.5" hidden="false" customHeight="true" outlineLevel="0" collapsed="false">
      <c r="B19" s="17" t="s">
        <v>1254</v>
      </c>
      <c r="C19" s="17" t="s">
        <v>1255</v>
      </c>
      <c r="D19" s="17" t="s">
        <v>1256</v>
      </c>
      <c r="E19" s="17" t="s">
        <v>1257</v>
      </c>
      <c r="F19" s="17" t="s">
        <v>1258</v>
      </c>
      <c r="G19" s="17" t="s">
        <v>1259</v>
      </c>
      <c r="H19" s="17" t="s">
        <v>206</v>
      </c>
      <c r="I19" s="17" t="s">
        <v>1260</v>
      </c>
      <c r="J19" s="17" t="s">
        <v>1261</v>
      </c>
      <c r="K19" s="17" t="s">
        <v>1262</v>
      </c>
    </row>
    <row r="20" customFormat="false" ht="31.5" hidden="false" customHeight="true" outlineLevel="0" collapsed="false">
      <c r="B20" s="17" t="s">
        <v>1263</v>
      </c>
      <c r="C20" s="17" t="s">
        <v>1264</v>
      </c>
      <c r="D20" s="17" t="s">
        <v>1265</v>
      </c>
      <c r="E20" s="17" t="s">
        <v>1266</v>
      </c>
      <c r="F20" s="17" t="s">
        <v>1267</v>
      </c>
      <c r="G20" s="17" t="s">
        <v>1268</v>
      </c>
      <c r="H20" s="17" t="s">
        <v>286</v>
      </c>
      <c r="I20" s="17" t="s">
        <v>1269</v>
      </c>
      <c r="J20" s="17" t="s">
        <v>1270</v>
      </c>
      <c r="K20" s="17" t="s">
        <v>1271</v>
      </c>
    </row>
    <row r="21" customFormat="false" ht="31.5" hidden="false" customHeight="true" outlineLevel="0" collapsed="false">
      <c r="B21" s="17" t="s">
        <v>1272</v>
      </c>
      <c r="C21" s="17" t="s">
        <v>1273</v>
      </c>
      <c r="D21" s="17" t="s">
        <v>1274</v>
      </c>
      <c r="E21" s="17" t="s">
        <v>1275</v>
      </c>
      <c r="F21" s="17" t="s">
        <v>1276</v>
      </c>
      <c r="G21" s="17" t="s">
        <v>1277</v>
      </c>
      <c r="H21" s="17" t="s">
        <v>1278</v>
      </c>
      <c r="I21" s="17" t="s">
        <v>1279</v>
      </c>
      <c r="J21" s="17" t="s">
        <v>1280</v>
      </c>
      <c r="K21" s="17" t="s">
        <v>1281</v>
      </c>
    </row>
    <row r="22" customFormat="false" ht="31.5" hidden="false" customHeight="true" outlineLevel="0" collapsed="false">
      <c r="B22" s="17" t="s">
        <v>1282</v>
      </c>
      <c r="C22" s="17" t="s">
        <v>1283</v>
      </c>
      <c r="D22" s="17" t="s">
        <v>1284</v>
      </c>
      <c r="E22" s="17" t="s">
        <v>1285</v>
      </c>
      <c r="F22" s="17" t="s">
        <v>1286</v>
      </c>
      <c r="G22" s="17" t="s">
        <v>1287</v>
      </c>
      <c r="H22" s="17" t="s">
        <v>251</v>
      </c>
      <c r="I22" s="17" t="s">
        <v>1288</v>
      </c>
      <c r="J22" s="17" t="s">
        <v>1289</v>
      </c>
      <c r="K22" s="17" t="s">
        <v>1290</v>
      </c>
    </row>
    <row r="23" customFormat="false" ht="45.75" hidden="false" customHeight="true" outlineLevel="0" collapsed="false">
      <c r="B23" s="17" t="s">
        <v>1291</v>
      </c>
      <c r="C23" s="17" t="s">
        <v>1292</v>
      </c>
      <c r="D23" s="17" t="s">
        <v>1293</v>
      </c>
      <c r="E23" s="17" t="s">
        <v>1294</v>
      </c>
      <c r="F23" s="17" t="s">
        <v>1295</v>
      </c>
      <c r="G23" s="17" t="s">
        <v>1296</v>
      </c>
      <c r="H23" s="17" t="s">
        <v>985</v>
      </c>
      <c r="I23" s="17" t="s">
        <v>1297</v>
      </c>
      <c r="J23" s="17" t="s">
        <v>1298</v>
      </c>
      <c r="K23" s="17" t="s">
        <v>1299</v>
      </c>
    </row>
    <row r="26" customFormat="false" ht="16.15" hidden="false" customHeight="false" outlineLevel="0" collapsed="false">
      <c r="B26" s="5" t="s">
        <v>1300</v>
      </c>
    </row>
    <row r="27" customFormat="false" ht="30" hidden="false" customHeight="true" outlineLevel="0" collapsed="false">
      <c r="C27" s="15" t="s">
        <v>98</v>
      </c>
      <c r="D27" s="15" t="s">
        <v>841</v>
      </c>
      <c r="E27" s="15"/>
      <c r="F27" s="15"/>
    </row>
    <row r="28" customFormat="false" ht="18" hidden="false" customHeight="true" outlineLevel="0" collapsed="false">
      <c r="C28" s="17" t="s">
        <v>1301</v>
      </c>
      <c r="D28" s="17" t="s">
        <v>1302</v>
      </c>
      <c r="E28" s="17"/>
      <c r="F28" s="17"/>
    </row>
    <row r="29" customFormat="false" ht="18" hidden="false" customHeight="true" outlineLevel="0" collapsed="false">
      <c r="C29" s="17" t="s">
        <v>1303</v>
      </c>
      <c r="D29" s="17" t="s">
        <v>1304</v>
      </c>
      <c r="E29" s="17"/>
      <c r="F29" s="17"/>
    </row>
    <row r="30" customFormat="false" ht="18" hidden="false" customHeight="true" outlineLevel="0" collapsed="false">
      <c r="C30" s="17" t="s">
        <v>1305</v>
      </c>
      <c r="D30" s="17" t="s">
        <v>1306</v>
      </c>
      <c r="E30" s="17"/>
      <c r="F30" s="17"/>
    </row>
    <row r="31" customFormat="false" ht="18" hidden="false" customHeight="true" outlineLevel="0" collapsed="false">
      <c r="C31" s="17" t="s">
        <v>1307</v>
      </c>
      <c r="D31" s="17" t="s">
        <v>1308</v>
      </c>
      <c r="E31" s="17"/>
      <c r="F31" s="17"/>
    </row>
    <row r="32" customFormat="false" ht="18" hidden="false" customHeight="true" outlineLevel="0" collapsed="false">
      <c r="C32" s="17" t="s">
        <v>1309</v>
      </c>
      <c r="D32" s="17" t="s">
        <v>1310</v>
      </c>
      <c r="E32" s="17"/>
      <c r="F32" s="17"/>
    </row>
  </sheetData>
  <mergeCells count="6">
    <mergeCell ref="D27:F27"/>
    <mergeCell ref="D28:F28"/>
    <mergeCell ref="D29:F29"/>
    <mergeCell ref="D30:F30"/>
    <mergeCell ref="D31:F31"/>
    <mergeCell ref="D32:F32"/>
  </mergeCell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50"/>
    <col collapsed="false" customWidth="true" hidden="false" outlineLevel="0" max="4" min="4" style="0" width="40"/>
    <col collapsed="false" customWidth="true" hidden="false" outlineLevel="0" max="5" min="5" style="0" width="14"/>
  </cols>
  <sheetData>
    <row r="1" customFormat="false" ht="15" hidden="false" customHeight="false" outlineLevel="0" collapsed="false">
      <c r="B1" s="12" t="s">
        <v>24</v>
      </c>
    </row>
    <row r="2" customFormat="false" ht="22.05" hidden="false" customHeight="false" outlineLevel="0" collapsed="false">
      <c r="B2" s="13" t="s">
        <v>1311</v>
      </c>
    </row>
    <row r="3" customFormat="false" ht="15" hidden="false" customHeight="false" outlineLevel="0" collapsed="false">
      <c r="B3" s="14" t="s">
        <v>1312</v>
      </c>
    </row>
    <row r="5" customFormat="false" ht="16.15" hidden="false" customHeight="false" outlineLevel="0" collapsed="false">
      <c r="B5" s="5" t="s">
        <v>1313</v>
      </c>
    </row>
    <row r="6" customFormat="false" ht="30" hidden="false" customHeight="true" outlineLevel="0" collapsed="false">
      <c r="B6" s="15" t="s">
        <v>1314</v>
      </c>
      <c r="C6" s="15" t="s">
        <v>1315</v>
      </c>
      <c r="D6" s="15" t="s">
        <v>655</v>
      </c>
    </row>
    <row r="7" customFormat="false" ht="31.5" hidden="false" customHeight="true" outlineLevel="0" collapsed="false">
      <c r="B7" s="17" t="s">
        <v>1316</v>
      </c>
      <c r="C7" s="17" t="s">
        <v>1317</v>
      </c>
      <c r="D7" s="17" t="s">
        <v>1318</v>
      </c>
    </row>
    <row r="8" customFormat="false" ht="31.5" hidden="false" customHeight="true" outlineLevel="0" collapsed="false">
      <c r="B8" s="17" t="s">
        <v>1319</v>
      </c>
      <c r="C8" s="17" t="s">
        <v>1320</v>
      </c>
      <c r="D8" s="17" t="s">
        <v>1321</v>
      </c>
    </row>
    <row r="9" customFormat="false" ht="18" hidden="false" customHeight="true" outlineLevel="0" collapsed="false">
      <c r="B9" s="17" t="s">
        <v>1322</v>
      </c>
      <c r="C9" s="17" t="s">
        <v>1323</v>
      </c>
      <c r="D9" s="17" t="s">
        <v>1278</v>
      </c>
    </row>
    <row r="10" customFormat="false" ht="31.5" hidden="false" customHeight="true" outlineLevel="0" collapsed="false">
      <c r="B10" s="17" t="s">
        <v>1324</v>
      </c>
      <c r="C10" s="17" t="s">
        <v>1325</v>
      </c>
      <c r="D10" s="17" t="s">
        <v>282</v>
      </c>
    </row>
    <row r="11" customFormat="false" ht="18" hidden="false" customHeight="true" outlineLevel="0" collapsed="false">
      <c r="B11" s="17" t="s">
        <v>1326</v>
      </c>
      <c r="C11" s="17" t="s">
        <v>1327</v>
      </c>
      <c r="D11" s="17" t="s">
        <v>1328</v>
      </c>
    </row>
    <row r="12" customFormat="false" ht="18" hidden="false" customHeight="true" outlineLevel="0" collapsed="false">
      <c r="B12" s="17" t="s">
        <v>1329</v>
      </c>
      <c r="C12" s="17" t="s">
        <v>1330</v>
      </c>
      <c r="D12" s="17" t="s">
        <v>1331</v>
      </c>
    </row>
    <row r="13" customFormat="false" ht="18" hidden="false" customHeight="true" outlineLevel="0" collapsed="false">
      <c r="B13" s="17" t="s">
        <v>1332</v>
      </c>
      <c r="C13" s="17" t="s">
        <v>1333</v>
      </c>
      <c r="D13" s="17" t="s">
        <v>1334</v>
      </c>
    </row>
    <row r="15" customFormat="false" ht="16.15" hidden="false" customHeight="false" outlineLevel="0" collapsed="false">
      <c r="B15" s="5" t="s">
        <v>1335</v>
      </c>
    </row>
    <row r="16" customFormat="false" ht="30" hidden="false" customHeight="true" outlineLevel="0" collapsed="false">
      <c r="B16" s="15" t="s">
        <v>1336</v>
      </c>
      <c r="C16" s="15" t="s">
        <v>1337</v>
      </c>
      <c r="D16" s="15" t="s">
        <v>655</v>
      </c>
    </row>
    <row r="17" customFormat="false" ht="18" hidden="false" customHeight="true" outlineLevel="0" collapsed="false">
      <c r="B17" s="17" t="s">
        <v>1338</v>
      </c>
      <c r="C17" s="17" t="s">
        <v>1339</v>
      </c>
      <c r="D17" s="17" t="s">
        <v>1340</v>
      </c>
    </row>
    <row r="18" customFormat="false" ht="18" hidden="false" customHeight="true" outlineLevel="0" collapsed="false">
      <c r="B18" s="17" t="s">
        <v>1341</v>
      </c>
      <c r="C18" s="17" t="s">
        <v>1342</v>
      </c>
      <c r="D18" s="17" t="s">
        <v>1343</v>
      </c>
    </row>
    <row r="19" customFormat="false" ht="18" hidden="false" customHeight="true" outlineLevel="0" collapsed="false">
      <c r="B19" s="17" t="s">
        <v>1344</v>
      </c>
      <c r="C19" s="17" t="s">
        <v>1345</v>
      </c>
      <c r="D19" s="17" t="s">
        <v>1346</v>
      </c>
    </row>
    <row r="20" customFormat="false" ht="18" hidden="false" customHeight="true" outlineLevel="0" collapsed="false">
      <c r="B20" s="17" t="s">
        <v>1347</v>
      </c>
      <c r="C20" s="17" t="s">
        <v>1348</v>
      </c>
      <c r="D20" s="17" t="s">
        <v>1349</v>
      </c>
    </row>
    <row r="21" customFormat="false" ht="18" hidden="false" customHeight="true" outlineLevel="0" collapsed="false">
      <c r="B21" s="17" t="s">
        <v>1350</v>
      </c>
      <c r="C21" s="17" t="s">
        <v>1351</v>
      </c>
      <c r="D21" s="17" t="s">
        <v>1352</v>
      </c>
    </row>
    <row r="23" customFormat="false" ht="16.15" hidden="false" customHeight="false" outlineLevel="0" collapsed="false">
      <c r="B23" s="5" t="s">
        <v>1353</v>
      </c>
    </row>
    <row r="24" customFormat="false" ht="30" hidden="false" customHeight="true" outlineLevel="0" collapsed="false">
      <c r="B24" s="15" t="s">
        <v>1354</v>
      </c>
      <c r="C24" s="15" t="s">
        <v>1355</v>
      </c>
      <c r="D24" s="15" t="s">
        <v>1356</v>
      </c>
      <c r="E24" s="15" t="s">
        <v>1357</v>
      </c>
    </row>
    <row r="25" customFormat="false" ht="31.5" hidden="false" customHeight="true" outlineLevel="0" collapsed="false">
      <c r="B25" s="17" t="s">
        <v>1358</v>
      </c>
      <c r="C25" s="17" t="s">
        <v>1359</v>
      </c>
      <c r="D25" s="17" t="s">
        <v>1360</v>
      </c>
      <c r="E25" s="17" t="s">
        <v>291</v>
      </c>
    </row>
    <row r="26" customFormat="false" ht="18" hidden="false" customHeight="true" outlineLevel="0" collapsed="false">
      <c r="B26" s="17" t="s">
        <v>1361</v>
      </c>
      <c r="C26" s="17" t="s">
        <v>1362</v>
      </c>
      <c r="D26" s="17" t="s">
        <v>616</v>
      </c>
      <c r="E26" s="17" t="s">
        <v>295</v>
      </c>
    </row>
    <row r="27" customFormat="false" ht="18" hidden="false" customHeight="true" outlineLevel="0" collapsed="false">
      <c r="B27" s="17" t="s">
        <v>1363</v>
      </c>
      <c r="C27" s="17" t="s">
        <v>1364</v>
      </c>
      <c r="D27" s="17" t="s">
        <v>1365</v>
      </c>
      <c r="E27" s="17" t="s">
        <v>280</v>
      </c>
    </row>
    <row r="28" customFormat="false" ht="31.5" hidden="false" customHeight="true" outlineLevel="0" collapsed="false">
      <c r="B28" s="17" t="s">
        <v>1366</v>
      </c>
      <c r="C28" s="17" t="s">
        <v>1367</v>
      </c>
      <c r="D28" s="17" t="s">
        <v>1368</v>
      </c>
      <c r="E28" s="17" t="s">
        <v>299</v>
      </c>
    </row>
    <row r="29" customFormat="false" ht="18" hidden="false" customHeight="true" outlineLevel="0" collapsed="false">
      <c r="B29" s="17" t="s">
        <v>1369</v>
      </c>
      <c r="C29" s="17" t="s">
        <v>1370</v>
      </c>
      <c r="D29" s="17" t="s">
        <v>1371</v>
      </c>
      <c r="E29" s="17" t="s">
        <v>309</v>
      </c>
    </row>
    <row r="30" customFormat="false" ht="31.5" hidden="false" customHeight="true" outlineLevel="0" collapsed="false">
      <c r="B30" s="17" t="s">
        <v>1372</v>
      </c>
      <c r="C30" s="17" t="s">
        <v>1373</v>
      </c>
      <c r="D30" s="17" t="s">
        <v>1374</v>
      </c>
      <c r="E30" s="17" t="s">
        <v>1375</v>
      </c>
    </row>
    <row r="32" customFormat="false" ht="16.15" hidden="false" customHeight="false" outlineLevel="0" collapsed="false">
      <c r="B32" s="5" t="s">
        <v>1376</v>
      </c>
    </row>
    <row r="33" customFormat="false" ht="30" hidden="false" customHeight="true" outlineLevel="0" collapsed="false">
      <c r="B33" s="15" t="s">
        <v>1377</v>
      </c>
      <c r="C33" s="15" t="s">
        <v>1378</v>
      </c>
      <c r="D33" s="15" t="s">
        <v>1127</v>
      </c>
    </row>
    <row r="34" customFormat="false" ht="18" hidden="false" customHeight="true" outlineLevel="0" collapsed="false">
      <c r="B34" s="17" t="s">
        <v>1379</v>
      </c>
      <c r="C34" s="17" t="s">
        <v>1380</v>
      </c>
      <c r="D34" s="17" t="s">
        <v>1381</v>
      </c>
    </row>
    <row r="35" customFormat="false" ht="18" hidden="false" customHeight="true" outlineLevel="0" collapsed="false">
      <c r="B35" s="17" t="s">
        <v>1382</v>
      </c>
      <c r="C35" s="17" t="s">
        <v>1383</v>
      </c>
      <c r="D35" s="17" t="s">
        <v>1384</v>
      </c>
    </row>
    <row r="36" customFormat="false" ht="18" hidden="false" customHeight="true" outlineLevel="0" collapsed="false">
      <c r="B36" s="17" t="s">
        <v>1385</v>
      </c>
      <c r="C36" s="17" t="s">
        <v>1386</v>
      </c>
      <c r="D36" s="17" t="s">
        <v>1387</v>
      </c>
    </row>
    <row r="37" customFormat="false" ht="18" hidden="false" customHeight="true" outlineLevel="0" collapsed="false">
      <c r="B37" s="17" t="s">
        <v>1388</v>
      </c>
      <c r="C37" s="17" t="s">
        <v>1389</v>
      </c>
      <c r="D37" s="17" t="s">
        <v>1390</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10"/>
    <col collapsed="false" customWidth="true" hidden="false" outlineLevel="0" max="4" min="4" style="0" width="50"/>
    <col collapsed="false" customWidth="true" hidden="false" outlineLevel="0" max="5" min="5" style="0" width="18"/>
    <col collapsed="false" customWidth="true" hidden="false" outlineLevel="0" max="6" min="6" style="0" width="34"/>
  </cols>
  <sheetData>
    <row r="1" customFormat="false" ht="15" hidden="false" customHeight="false" outlineLevel="0" collapsed="false">
      <c r="B1" s="12" t="s">
        <v>24</v>
      </c>
    </row>
    <row r="2" customFormat="false" ht="22.05" hidden="false" customHeight="false" outlineLevel="0" collapsed="false">
      <c r="B2" s="13" t="s">
        <v>66</v>
      </c>
    </row>
    <row r="3" customFormat="false" ht="15" hidden="false" customHeight="false" outlineLevel="0" collapsed="false">
      <c r="B3" s="14" t="s">
        <v>1391</v>
      </c>
    </row>
    <row r="5" customFormat="false" ht="16.15" hidden="false" customHeight="false" outlineLevel="0" collapsed="false">
      <c r="B5" s="5" t="s">
        <v>1392</v>
      </c>
    </row>
    <row r="6" customFormat="false" ht="30" hidden="false" customHeight="true" outlineLevel="0" collapsed="false">
      <c r="B6" s="15" t="s">
        <v>1393</v>
      </c>
      <c r="C6" s="15" t="s">
        <v>1394</v>
      </c>
      <c r="D6" s="15" t="s">
        <v>943</v>
      </c>
      <c r="E6" s="15" t="s">
        <v>1395</v>
      </c>
      <c r="F6" s="15" t="s">
        <v>1396</v>
      </c>
    </row>
    <row r="7" customFormat="false" ht="18" hidden="false" customHeight="true" outlineLevel="0" collapsed="false">
      <c r="B7" s="17" t="s">
        <v>1397</v>
      </c>
      <c r="C7" s="16" t="n">
        <v>7</v>
      </c>
      <c r="D7" s="17" t="s">
        <v>1398</v>
      </c>
      <c r="E7" s="17" t="s">
        <v>1000</v>
      </c>
      <c r="F7" s="17" t="s">
        <v>1399</v>
      </c>
    </row>
    <row r="8" customFormat="false" ht="18" hidden="false" customHeight="true" outlineLevel="0" collapsed="false">
      <c r="B8" s="17" t="s">
        <v>1400</v>
      </c>
      <c r="C8" s="16" t="n">
        <v>5</v>
      </c>
      <c r="D8" s="17" t="s">
        <v>1401</v>
      </c>
      <c r="E8" s="17" t="s">
        <v>168</v>
      </c>
      <c r="F8" s="17" t="s">
        <v>1402</v>
      </c>
    </row>
    <row r="9" customFormat="false" ht="18" hidden="false" customHeight="true" outlineLevel="0" collapsed="false">
      <c r="B9" s="17" t="s">
        <v>898</v>
      </c>
      <c r="C9" s="16" t="n">
        <v>6</v>
      </c>
      <c r="D9" s="17" t="s">
        <v>934</v>
      </c>
      <c r="E9" s="17" t="s">
        <v>933</v>
      </c>
      <c r="F9" s="17" t="s">
        <v>1403</v>
      </c>
    </row>
    <row r="10" customFormat="false" ht="18" hidden="false" customHeight="true" outlineLevel="0" collapsed="false">
      <c r="B10" s="17" t="s">
        <v>1404</v>
      </c>
      <c r="C10" s="16" t="n">
        <v>5</v>
      </c>
      <c r="D10" s="17" t="s">
        <v>1405</v>
      </c>
      <c r="E10" s="17" t="s">
        <v>244</v>
      </c>
      <c r="F10" s="17" t="s">
        <v>1406</v>
      </c>
    </row>
    <row r="11" customFormat="false" ht="18" hidden="false" customHeight="true" outlineLevel="0" collapsed="false">
      <c r="B11" s="17" t="s">
        <v>1407</v>
      </c>
      <c r="C11" s="16" t="n">
        <v>2</v>
      </c>
      <c r="D11" s="17" t="s">
        <v>1408</v>
      </c>
      <c r="E11" s="17" t="s">
        <v>1409</v>
      </c>
      <c r="F11" s="17" t="s">
        <v>1410</v>
      </c>
    </row>
    <row r="12" customFormat="false" ht="15" hidden="false" customHeight="false" outlineLevel="0" collapsed="false">
      <c r="B12" s="6" t="s">
        <v>1411</v>
      </c>
      <c r="C12" s="6" t="n">
        <f aca="false">SUM(C7:C11)</f>
        <v>25</v>
      </c>
    </row>
    <row r="14" customFormat="false" ht="16.15" hidden="false" customHeight="false" outlineLevel="0" collapsed="false">
      <c r="B14" s="5" t="s">
        <v>1412</v>
      </c>
    </row>
    <row r="15" customFormat="false" ht="30" hidden="false" customHeight="true" outlineLevel="0" collapsed="false">
      <c r="B15" s="15" t="s">
        <v>1393</v>
      </c>
      <c r="C15" s="15" t="s">
        <v>1394</v>
      </c>
      <c r="D15" s="15" t="s">
        <v>943</v>
      </c>
      <c r="E15" s="15" t="s">
        <v>1395</v>
      </c>
      <c r="F15" s="15" t="s">
        <v>1396</v>
      </c>
    </row>
    <row r="16" customFormat="false" ht="18" hidden="false" customHeight="true" outlineLevel="0" collapsed="false">
      <c r="B16" s="17" t="s">
        <v>1397</v>
      </c>
      <c r="C16" s="16" t="n">
        <v>10</v>
      </c>
      <c r="D16" s="17" t="s">
        <v>1413</v>
      </c>
      <c r="E16" s="17" t="s">
        <v>994</v>
      </c>
      <c r="F16" s="17" t="s">
        <v>1414</v>
      </c>
    </row>
    <row r="17" customFormat="false" ht="18" hidden="false" customHeight="true" outlineLevel="0" collapsed="false">
      <c r="B17" s="17" t="s">
        <v>1415</v>
      </c>
      <c r="C17" s="16" t="n">
        <v>3</v>
      </c>
      <c r="D17" s="17" t="s">
        <v>1416</v>
      </c>
      <c r="E17" s="17" t="s">
        <v>168</v>
      </c>
      <c r="F17" s="17" t="s">
        <v>1417</v>
      </c>
    </row>
    <row r="18" customFormat="false" ht="18" hidden="false" customHeight="true" outlineLevel="0" collapsed="false">
      <c r="B18" s="17" t="s">
        <v>1418</v>
      </c>
      <c r="C18" s="16" t="n">
        <v>3</v>
      </c>
      <c r="D18" s="17" t="s">
        <v>1419</v>
      </c>
      <c r="E18" s="17" t="s">
        <v>945</v>
      </c>
      <c r="F18" s="17" t="s">
        <v>1420</v>
      </c>
    </row>
    <row r="19" customFormat="false" ht="18" hidden="false" customHeight="true" outlineLevel="0" collapsed="false">
      <c r="B19" s="17" t="s">
        <v>1421</v>
      </c>
      <c r="C19" s="16" t="n">
        <v>6</v>
      </c>
      <c r="D19" s="17" t="s">
        <v>1422</v>
      </c>
      <c r="E19" s="17" t="s">
        <v>1423</v>
      </c>
      <c r="F19" s="17" t="s">
        <v>1424</v>
      </c>
    </row>
    <row r="20" customFormat="false" ht="18" hidden="false" customHeight="true" outlineLevel="0" collapsed="false">
      <c r="B20" s="17" t="s">
        <v>1425</v>
      </c>
      <c r="C20" s="16" t="n">
        <v>6</v>
      </c>
      <c r="D20" s="17" t="s">
        <v>1426</v>
      </c>
      <c r="E20" s="17" t="s">
        <v>1427</v>
      </c>
      <c r="F20" s="17" t="s">
        <v>1428</v>
      </c>
    </row>
    <row r="21" customFormat="false" ht="18" hidden="false" customHeight="true" outlineLevel="0" collapsed="false">
      <c r="B21" s="17" t="s">
        <v>1129</v>
      </c>
      <c r="C21" s="16" t="n">
        <v>2</v>
      </c>
      <c r="D21" s="17" t="s">
        <v>1429</v>
      </c>
      <c r="E21" s="17" t="s">
        <v>1409</v>
      </c>
      <c r="F21" s="17" t="s">
        <v>1430</v>
      </c>
    </row>
    <row r="22" customFormat="false" ht="15" hidden="false" customHeight="false" outlineLevel="0" collapsed="false">
      <c r="B22" s="6" t="s">
        <v>1411</v>
      </c>
      <c r="C22" s="6" t="n">
        <f aca="false">SUM(C16:C21)</f>
        <v>30</v>
      </c>
    </row>
    <row r="24" customFormat="false" ht="16.15" hidden="false" customHeight="false" outlineLevel="0" collapsed="false">
      <c r="B24" s="5" t="s">
        <v>1431</v>
      </c>
    </row>
    <row r="25" customFormat="false" ht="30" hidden="false" customHeight="true" outlineLevel="0" collapsed="false">
      <c r="B25" s="15" t="s">
        <v>1393</v>
      </c>
      <c r="C25" s="15" t="s">
        <v>1394</v>
      </c>
      <c r="D25" s="15" t="s">
        <v>943</v>
      </c>
      <c r="E25" s="15" t="s">
        <v>1395</v>
      </c>
      <c r="F25" s="15" t="s">
        <v>1396</v>
      </c>
    </row>
    <row r="26" customFormat="false" ht="18" hidden="false" customHeight="true" outlineLevel="0" collapsed="false">
      <c r="B26" s="17" t="s">
        <v>1397</v>
      </c>
      <c r="C26" s="16" t="n">
        <v>10</v>
      </c>
      <c r="D26" s="17" t="s">
        <v>994</v>
      </c>
      <c r="E26" s="17" t="s">
        <v>994</v>
      </c>
      <c r="F26" s="17" t="s">
        <v>1414</v>
      </c>
    </row>
    <row r="27" customFormat="false" ht="18" hidden="false" customHeight="true" outlineLevel="0" collapsed="false">
      <c r="B27" s="17" t="s">
        <v>1418</v>
      </c>
      <c r="C27" s="16" t="n">
        <v>3</v>
      </c>
      <c r="D27" s="17" t="s">
        <v>1432</v>
      </c>
      <c r="E27" s="17" t="s">
        <v>954</v>
      </c>
      <c r="F27" s="17" t="s">
        <v>1433</v>
      </c>
    </row>
    <row r="28" customFormat="false" ht="31.5" hidden="false" customHeight="true" outlineLevel="0" collapsed="false">
      <c r="B28" s="17" t="s">
        <v>1421</v>
      </c>
      <c r="C28" s="16" t="n">
        <v>8</v>
      </c>
      <c r="D28" s="17" t="s">
        <v>1434</v>
      </c>
      <c r="E28" s="17" t="s">
        <v>1164</v>
      </c>
      <c r="F28" s="17" t="s">
        <v>1435</v>
      </c>
    </row>
    <row r="29" customFormat="false" ht="18" hidden="false" customHeight="true" outlineLevel="0" collapsed="false">
      <c r="B29" s="17" t="s">
        <v>1436</v>
      </c>
      <c r="C29" s="16" t="n">
        <v>4</v>
      </c>
      <c r="D29" s="17" t="s">
        <v>1437</v>
      </c>
      <c r="E29" s="17" t="s">
        <v>180</v>
      </c>
      <c r="F29" s="17" t="s">
        <v>1438</v>
      </c>
    </row>
    <row r="30" customFormat="false" ht="18" hidden="false" customHeight="true" outlineLevel="0" collapsed="false">
      <c r="B30" s="17" t="s">
        <v>1425</v>
      </c>
      <c r="C30" s="16" t="n">
        <v>5</v>
      </c>
      <c r="D30" s="17" t="s">
        <v>1439</v>
      </c>
      <c r="E30" s="17" t="s">
        <v>249</v>
      </c>
      <c r="F30" s="17" t="s">
        <v>1440</v>
      </c>
    </row>
    <row r="31" customFormat="false" ht="15" hidden="false" customHeight="false" outlineLevel="0" collapsed="false">
      <c r="B31" s="6" t="s">
        <v>1411</v>
      </c>
      <c r="C31" s="6" t="n">
        <f aca="false">SUM(C26:C30)</f>
        <v>30</v>
      </c>
    </row>
    <row r="33" customFormat="false" ht="16.15" hidden="false" customHeight="false" outlineLevel="0" collapsed="false">
      <c r="B33" s="5" t="s">
        <v>1441</v>
      </c>
    </row>
    <row r="34" customFormat="false" ht="30" hidden="false" customHeight="true" outlineLevel="0" collapsed="false">
      <c r="B34" s="15" t="s">
        <v>1393</v>
      </c>
      <c r="C34" s="15" t="s">
        <v>1394</v>
      </c>
      <c r="D34" s="15" t="s">
        <v>943</v>
      </c>
      <c r="E34" s="15" t="s">
        <v>1395</v>
      </c>
      <c r="F34" s="15" t="s">
        <v>1396</v>
      </c>
    </row>
    <row r="35" customFormat="false" ht="18" hidden="false" customHeight="true" outlineLevel="0" collapsed="false">
      <c r="B35" s="17" t="s">
        <v>1397</v>
      </c>
      <c r="C35" s="16" t="n">
        <v>12</v>
      </c>
      <c r="D35" s="17" t="s">
        <v>1442</v>
      </c>
      <c r="E35" s="17" t="s">
        <v>1006</v>
      </c>
      <c r="F35" s="17" t="s">
        <v>1443</v>
      </c>
    </row>
    <row r="36" customFormat="false" ht="18" hidden="false" customHeight="true" outlineLevel="0" collapsed="false">
      <c r="B36" s="17" t="s">
        <v>1444</v>
      </c>
      <c r="C36" s="16" t="n">
        <v>6</v>
      </c>
      <c r="D36" s="17" t="s">
        <v>1445</v>
      </c>
      <c r="E36" s="17" t="s">
        <v>1446</v>
      </c>
      <c r="F36" s="17" t="s">
        <v>1447</v>
      </c>
    </row>
    <row r="37" customFormat="false" ht="18" hidden="false" customHeight="true" outlineLevel="0" collapsed="false">
      <c r="B37" s="17" t="s">
        <v>1448</v>
      </c>
      <c r="C37" s="16" t="n">
        <v>2</v>
      </c>
      <c r="D37" s="17" t="s">
        <v>1449</v>
      </c>
      <c r="E37" s="17" t="s">
        <v>1098</v>
      </c>
      <c r="F37" s="17" t="s">
        <v>1450</v>
      </c>
    </row>
    <row r="38" customFormat="false" ht="18" hidden="false" customHeight="true" outlineLevel="0" collapsed="false">
      <c r="B38" s="17" t="s">
        <v>1421</v>
      </c>
      <c r="C38" s="16" t="n">
        <v>5</v>
      </c>
      <c r="D38" s="17" t="s">
        <v>1451</v>
      </c>
      <c r="E38" s="17" t="s">
        <v>168</v>
      </c>
      <c r="F38" s="17" t="s">
        <v>1452</v>
      </c>
    </row>
    <row r="39" customFormat="false" ht="18" hidden="false" customHeight="true" outlineLevel="0" collapsed="false">
      <c r="B39" s="17" t="s">
        <v>1453</v>
      </c>
      <c r="C39" s="16" t="n">
        <v>8</v>
      </c>
      <c r="D39" s="17" t="s">
        <v>1454</v>
      </c>
      <c r="E39" s="17" t="s">
        <v>1455</v>
      </c>
      <c r="F39" s="17" t="s">
        <v>1456</v>
      </c>
    </row>
    <row r="40" customFormat="false" ht="15" hidden="false" customHeight="false" outlineLevel="0" collapsed="false">
      <c r="B40" s="6" t="s">
        <v>1411</v>
      </c>
      <c r="C40" s="6" t="n">
        <f aca="false">SUM(C35:C39)</f>
        <v>33</v>
      </c>
    </row>
    <row r="42" customFormat="false" ht="16.15" hidden="false" customHeight="false" outlineLevel="0" collapsed="false">
      <c r="B42" s="5" t="s">
        <v>1457</v>
      </c>
    </row>
    <row r="43" customFormat="false" ht="30" hidden="false" customHeight="true" outlineLevel="0" collapsed="false">
      <c r="B43" s="15" t="s">
        <v>1393</v>
      </c>
      <c r="C43" s="15" t="s">
        <v>1394</v>
      </c>
      <c r="D43" s="15" t="s">
        <v>943</v>
      </c>
      <c r="E43" s="15" t="s">
        <v>1395</v>
      </c>
      <c r="F43" s="15" t="s">
        <v>1396</v>
      </c>
    </row>
    <row r="44" customFormat="false" ht="18" hidden="false" customHeight="true" outlineLevel="0" collapsed="false">
      <c r="B44" s="17" t="s">
        <v>1458</v>
      </c>
      <c r="C44" s="16" t="n">
        <v>7</v>
      </c>
      <c r="D44" s="17" t="s">
        <v>1459</v>
      </c>
      <c r="E44" s="17" t="s">
        <v>994</v>
      </c>
      <c r="F44" s="17" t="s">
        <v>1460</v>
      </c>
    </row>
    <row r="45" customFormat="false" ht="18" hidden="false" customHeight="true" outlineLevel="0" collapsed="false">
      <c r="B45" s="17" t="s">
        <v>1461</v>
      </c>
      <c r="C45" s="16" t="n">
        <v>3</v>
      </c>
      <c r="D45" s="17" t="s">
        <v>1462</v>
      </c>
      <c r="E45" s="17" t="s">
        <v>168</v>
      </c>
      <c r="F45" s="17" t="s">
        <v>1463</v>
      </c>
    </row>
    <row r="46" customFormat="false" ht="18" hidden="false" customHeight="true" outlineLevel="0" collapsed="false">
      <c r="B46" s="17" t="s">
        <v>1464</v>
      </c>
      <c r="C46" s="16" t="n">
        <v>5</v>
      </c>
      <c r="D46" s="17" t="s">
        <v>1465</v>
      </c>
      <c r="E46" s="17" t="s">
        <v>967</v>
      </c>
      <c r="F46" s="17" t="s">
        <v>1466</v>
      </c>
    </row>
    <row r="47" customFormat="false" ht="18" hidden="false" customHeight="true" outlineLevel="0" collapsed="false">
      <c r="B47" s="17" t="s">
        <v>1425</v>
      </c>
      <c r="C47" s="16" t="n">
        <v>6</v>
      </c>
      <c r="D47" s="17" t="s">
        <v>1467</v>
      </c>
      <c r="E47" s="17" t="s">
        <v>249</v>
      </c>
      <c r="F47" s="17" t="s">
        <v>1468</v>
      </c>
    </row>
    <row r="48" customFormat="false" ht="18" hidden="false" customHeight="true" outlineLevel="0" collapsed="false">
      <c r="B48" s="17" t="s">
        <v>1469</v>
      </c>
      <c r="C48" s="16" t="n">
        <v>5</v>
      </c>
      <c r="D48" s="17" t="s">
        <v>1470</v>
      </c>
      <c r="E48" s="17" t="s">
        <v>284</v>
      </c>
      <c r="F48" s="17" t="s">
        <v>1471</v>
      </c>
    </row>
    <row r="49" customFormat="false" ht="18" hidden="false" customHeight="true" outlineLevel="0" collapsed="false">
      <c r="B49" s="17" t="s">
        <v>1472</v>
      </c>
      <c r="C49" s="16" t="n">
        <v>2</v>
      </c>
      <c r="D49" s="17" t="s">
        <v>1473</v>
      </c>
      <c r="E49" s="17" t="s">
        <v>1409</v>
      </c>
      <c r="F49" s="17" t="s">
        <v>1474</v>
      </c>
    </row>
    <row r="50" customFormat="false" ht="15" hidden="false" customHeight="false" outlineLevel="0" collapsed="false">
      <c r="B50" s="6" t="s">
        <v>1411</v>
      </c>
      <c r="C50" s="6" t="n">
        <f aca="false">SUM(C44:C49)</f>
        <v>28</v>
      </c>
    </row>
    <row r="52" customFormat="false" ht="16.15" hidden="false" customHeight="false" outlineLevel="0" collapsed="false">
      <c r="B52" s="5" t="s">
        <v>1475</v>
      </c>
    </row>
    <row r="53" customFormat="false" ht="30" hidden="false" customHeight="true" outlineLevel="0" collapsed="false">
      <c r="B53" s="15" t="s">
        <v>1393</v>
      </c>
      <c r="C53" s="15" t="s">
        <v>1394</v>
      </c>
      <c r="D53" s="15" t="s">
        <v>943</v>
      </c>
      <c r="E53" s="15" t="s">
        <v>1395</v>
      </c>
      <c r="F53" s="15" t="s">
        <v>1396</v>
      </c>
    </row>
    <row r="54" customFormat="false" ht="18" hidden="false" customHeight="true" outlineLevel="0" collapsed="false">
      <c r="B54" s="17" t="s">
        <v>1397</v>
      </c>
      <c r="C54" s="16" t="n">
        <v>10</v>
      </c>
      <c r="D54" s="17" t="s">
        <v>994</v>
      </c>
      <c r="E54" s="17" t="s">
        <v>994</v>
      </c>
      <c r="F54" s="17" t="s">
        <v>1414</v>
      </c>
    </row>
    <row r="55" customFormat="false" ht="18" hidden="false" customHeight="true" outlineLevel="0" collapsed="false">
      <c r="B55" s="17" t="s">
        <v>1476</v>
      </c>
      <c r="C55" s="16" t="n">
        <v>5</v>
      </c>
      <c r="D55" s="17" t="s">
        <v>277</v>
      </c>
      <c r="E55" s="17" t="s">
        <v>275</v>
      </c>
      <c r="F55" s="17" t="s">
        <v>1477</v>
      </c>
    </row>
    <row r="56" customFormat="false" ht="18" hidden="false" customHeight="true" outlineLevel="0" collapsed="false">
      <c r="B56" s="17" t="s">
        <v>1478</v>
      </c>
      <c r="C56" s="16" t="n">
        <v>6</v>
      </c>
      <c r="D56" s="17" t="s">
        <v>1479</v>
      </c>
      <c r="E56" s="17" t="s">
        <v>1480</v>
      </c>
      <c r="F56" s="17" t="s">
        <v>286</v>
      </c>
    </row>
    <row r="57" customFormat="false" ht="18" hidden="false" customHeight="true" outlineLevel="0" collapsed="false">
      <c r="B57" s="17" t="s">
        <v>1481</v>
      </c>
      <c r="C57" s="16" t="n">
        <v>8</v>
      </c>
      <c r="D57" s="17" t="s">
        <v>1482</v>
      </c>
      <c r="E57" s="17" t="s">
        <v>1483</v>
      </c>
      <c r="F57" s="17" t="s">
        <v>1484</v>
      </c>
    </row>
    <row r="58" customFormat="false" ht="18" hidden="false" customHeight="true" outlineLevel="0" collapsed="false">
      <c r="B58" s="17" t="s">
        <v>1485</v>
      </c>
      <c r="C58" s="16" t="n">
        <v>6</v>
      </c>
      <c r="D58" s="17" t="s">
        <v>1486</v>
      </c>
      <c r="E58" s="17" t="s">
        <v>309</v>
      </c>
      <c r="F58" s="17" t="s">
        <v>1487</v>
      </c>
    </row>
    <row r="59" customFormat="false" ht="15" hidden="false" customHeight="false" outlineLevel="0" collapsed="false">
      <c r="B59" s="6" t="s">
        <v>1411</v>
      </c>
      <c r="C59" s="6" t="n">
        <f aca="false">SUM(C54:C58)</f>
        <v>35</v>
      </c>
    </row>
    <row r="61" customFormat="false" ht="16.15" hidden="false" customHeight="false" outlineLevel="0" collapsed="false">
      <c r="B61" s="5" t="s">
        <v>1488</v>
      </c>
    </row>
    <row r="62" customFormat="false" ht="30" hidden="false" customHeight="true" outlineLevel="0" collapsed="false">
      <c r="B62" s="15" t="s">
        <v>1393</v>
      </c>
      <c r="C62" s="15" t="s">
        <v>1394</v>
      </c>
      <c r="D62" s="15" t="s">
        <v>943</v>
      </c>
      <c r="E62" s="15" t="s">
        <v>1395</v>
      </c>
      <c r="F62" s="15" t="s">
        <v>1396</v>
      </c>
    </row>
    <row r="63" customFormat="false" ht="18" hidden="false" customHeight="true" outlineLevel="0" collapsed="false">
      <c r="B63" s="17" t="s">
        <v>1397</v>
      </c>
      <c r="C63" s="16" t="n">
        <v>10</v>
      </c>
      <c r="D63" s="17" t="s">
        <v>1489</v>
      </c>
      <c r="E63" s="17" t="s">
        <v>1012</v>
      </c>
      <c r="F63" s="17" t="s">
        <v>1490</v>
      </c>
    </row>
    <row r="64" customFormat="false" ht="18" hidden="false" customHeight="true" outlineLevel="0" collapsed="false">
      <c r="B64" s="17" t="s">
        <v>1400</v>
      </c>
      <c r="C64" s="16" t="n">
        <v>3</v>
      </c>
      <c r="D64" s="17" t="s">
        <v>1491</v>
      </c>
      <c r="E64" s="17" t="s">
        <v>168</v>
      </c>
      <c r="F64" s="17" t="s">
        <v>1402</v>
      </c>
    </row>
    <row r="65" customFormat="false" ht="18" hidden="false" customHeight="true" outlineLevel="0" collapsed="false">
      <c r="B65" s="17" t="s">
        <v>1492</v>
      </c>
      <c r="C65" s="16" t="n">
        <v>2</v>
      </c>
      <c r="D65" s="17" t="s">
        <v>1493</v>
      </c>
      <c r="E65" s="17" t="s">
        <v>249</v>
      </c>
      <c r="F65" s="17" t="s">
        <v>1494</v>
      </c>
    </row>
    <row r="66" customFormat="false" ht="15" hidden="false" customHeight="false" outlineLevel="0" collapsed="false">
      <c r="B66" s="6" t="s">
        <v>1411</v>
      </c>
      <c r="C66" s="6" t="n">
        <f aca="false">SUM(C63:C65)</f>
        <v>15</v>
      </c>
    </row>
    <row r="68" customFormat="false" ht="16.15" hidden="false" customHeight="false" outlineLevel="0" collapsed="false">
      <c r="B68" s="5" t="s">
        <v>1495</v>
      </c>
    </row>
    <row r="69" customFormat="false" ht="30" hidden="false" customHeight="true" outlineLevel="0" collapsed="false">
      <c r="B69" s="15" t="s">
        <v>1393</v>
      </c>
      <c r="C69" s="15" t="s">
        <v>1394</v>
      </c>
      <c r="D69" s="15" t="s">
        <v>943</v>
      </c>
      <c r="E69" s="15" t="s">
        <v>1395</v>
      </c>
      <c r="F69" s="15" t="s">
        <v>1396</v>
      </c>
    </row>
    <row r="70" customFormat="false" ht="18" hidden="false" customHeight="true" outlineLevel="0" collapsed="false">
      <c r="B70" s="17" t="s">
        <v>1496</v>
      </c>
      <c r="C70" s="16" t="n">
        <v>35</v>
      </c>
      <c r="D70" s="17" t="s">
        <v>1497</v>
      </c>
      <c r="E70" s="17" t="s">
        <v>1498</v>
      </c>
      <c r="F70" s="17" t="s">
        <v>1499</v>
      </c>
    </row>
    <row r="71" customFormat="false" ht="18" hidden="false" customHeight="true" outlineLevel="0" collapsed="false">
      <c r="B71" s="17" t="s">
        <v>1500</v>
      </c>
      <c r="C71" s="16" t="n">
        <v>30</v>
      </c>
      <c r="D71" s="17" t="s">
        <v>1501</v>
      </c>
      <c r="E71" s="17" t="s">
        <v>1502</v>
      </c>
      <c r="F71" s="17" t="s">
        <v>1503</v>
      </c>
    </row>
    <row r="72" customFormat="false" ht="18" hidden="false" customHeight="true" outlineLevel="0" collapsed="false">
      <c r="B72" s="17" t="s">
        <v>1504</v>
      </c>
      <c r="C72" s="16" t="n">
        <v>0</v>
      </c>
      <c r="D72" s="17" t="s">
        <v>1505</v>
      </c>
      <c r="E72" s="17" t="s">
        <v>1409</v>
      </c>
      <c r="F72" s="17" t="s">
        <v>1506</v>
      </c>
    </row>
    <row r="73" customFormat="false" ht="18" hidden="false" customHeight="true" outlineLevel="0" collapsed="false">
      <c r="B73" s="17" t="s">
        <v>1507</v>
      </c>
      <c r="C73" s="16" t="n">
        <v>35</v>
      </c>
      <c r="D73" s="17" t="s">
        <v>1508</v>
      </c>
      <c r="E73" s="17" t="s">
        <v>1509</v>
      </c>
      <c r="F73" s="17" t="s">
        <v>1510</v>
      </c>
    </row>
    <row r="74" customFormat="false" ht="18" hidden="false" customHeight="true" outlineLevel="0" collapsed="false">
      <c r="B74" s="17" t="s">
        <v>1511</v>
      </c>
      <c r="C74" s="16" t="n">
        <v>35</v>
      </c>
      <c r="D74" s="17" t="s">
        <v>1512</v>
      </c>
      <c r="E74" s="17" t="s">
        <v>1513</v>
      </c>
      <c r="F74" s="17" t="s">
        <v>1469</v>
      </c>
    </row>
    <row r="75" customFormat="false" ht="18" hidden="false" customHeight="true" outlineLevel="0" collapsed="false">
      <c r="B75" s="17" t="s">
        <v>1514</v>
      </c>
      <c r="C75" s="16" t="n">
        <v>0</v>
      </c>
      <c r="D75" s="17" t="s">
        <v>1515</v>
      </c>
      <c r="E75" s="17" t="s">
        <v>1409</v>
      </c>
      <c r="F75" s="17" t="s">
        <v>1516</v>
      </c>
    </row>
    <row r="76" customFormat="false" ht="15" hidden="false" customHeight="false" outlineLevel="0" collapsed="false">
      <c r="B76" s="6" t="s">
        <v>1411</v>
      </c>
      <c r="C76" s="6" t="n">
        <f aca="false">SUM(C70:C75)</f>
        <v>135</v>
      </c>
    </row>
    <row r="78" customFormat="false" ht="16.15" hidden="false" customHeight="false" outlineLevel="0" collapsed="false">
      <c r="B78" s="5" t="s">
        <v>1517</v>
      </c>
    </row>
    <row r="79" customFormat="false" ht="30" hidden="false" customHeight="true" outlineLevel="0" collapsed="false">
      <c r="B79" s="15" t="s">
        <v>1393</v>
      </c>
      <c r="C79" s="15" t="s">
        <v>1394</v>
      </c>
      <c r="D79" s="15" t="s">
        <v>943</v>
      </c>
      <c r="E79" s="15" t="s">
        <v>1395</v>
      </c>
      <c r="F79" s="15" t="s">
        <v>1396</v>
      </c>
    </row>
    <row r="80" customFormat="false" ht="15" hidden="false" customHeight="false" outlineLevel="0" collapsed="false">
      <c r="B80" s="19"/>
      <c r="C80" s="19"/>
      <c r="D80" s="19"/>
      <c r="E80" s="19"/>
      <c r="F80" s="19"/>
    </row>
    <row r="81" customFormat="false" ht="15" hidden="false" customHeight="false" outlineLevel="0" collapsed="false">
      <c r="B81" s="19"/>
      <c r="C81" s="19"/>
      <c r="D81" s="19"/>
      <c r="E81" s="19"/>
      <c r="F81" s="19"/>
    </row>
    <row r="82" customFormat="false" ht="15" hidden="false" customHeight="false" outlineLevel="0" collapsed="false">
      <c r="B82" s="19"/>
      <c r="C82" s="19"/>
      <c r="D82" s="19"/>
      <c r="E82" s="19"/>
      <c r="F82" s="19"/>
    </row>
    <row r="83" customFormat="false" ht="15" hidden="false" customHeight="false" outlineLevel="0" collapsed="false">
      <c r="B83" s="19"/>
      <c r="C83" s="19"/>
      <c r="D83" s="19"/>
      <c r="E83" s="19"/>
      <c r="F83" s="19"/>
    </row>
    <row r="84" customFormat="false" ht="15" hidden="false" customHeight="false" outlineLevel="0" collapsed="false">
      <c r="B84" s="19"/>
      <c r="C84" s="19"/>
      <c r="D84" s="19"/>
      <c r="E84" s="19"/>
      <c r="F84" s="19"/>
    </row>
    <row r="85" customFormat="false" ht="15" hidden="false" customHeight="false" outlineLevel="0" collapsed="false">
      <c r="B85" s="19"/>
      <c r="C85" s="19"/>
      <c r="D85" s="19"/>
      <c r="E85" s="19"/>
      <c r="F85" s="19"/>
    </row>
    <row r="86" customFormat="false" ht="15" hidden="false" customHeight="false" outlineLevel="0" collapsed="false">
      <c r="B86" s="19"/>
      <c r="C86" s="19"/>
      <c r="D86" s="19"/>
      <c r="E86" s="19"/>
      <c r="F86" s="19"/>
    </row>
    <row r="87" customFormat="false" ht="15" hidden="false" customHeight="false" outlineLevel="0" collapsed="false">
      <c r="B87" s="19"/>
      <c r="C87" s="19"/>
      <c r="D87" s="19"/>
      <c r="E87" s="19"/>
      <c r="F87" s="19"/>
    </row>
    <row r="88" customFormat="false" ht="15" hidden="false" customHeight="false" outlineLevel="0" collapsed="false">
      <c r="B88" s="6" t="s">
        <v>1411</v>
      </c>
      <c r="C88" s="6" t="n">
        <f aca="false">SUM(C80:C87)</f>
        <v>0</v>
      </c>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2"/>
    <col collapsed="false" customWidth="true" hidden="false" outlineLevel="0" max="4" min="4" style="0" width="34"/>
    <col collapsed="false" customWidth="true" hidden="false" outlineLevel="0" max="5" min="5" style="0" width="10"/>
    <col collapsed="false" customWidth="true" hidden="false" outlineLevel="0" max="6" min="6" style="0" width="30"/>
    <col collapsed="false" customWidth="true" hidden="false" outlineLevel="0" max="7" min="7" style="0" width="12"/>
  </cols>
  <sheetData>
    <row r="1" customFormat="false" ht="15" hidden="false" customHeight="false" outlineLevel="0" collapsed="false">
      <c r="B1" s="12" t="s">
        <v>24</v>
      </c>
    </row>
    <row r="2" customFormat="false" ht="22.05" hidden="false" customHeight="false" outlineLevel="0" collapsed="false">
      <c r="B2" s="13" t="s">
        <v>1518</v>
      </c>
    </row>
    <row r="3" customFormat="false" ht="15" hidden="false" customHeight="false" outlineLevel="0" collapsed="false">
      <c r="B3" s="14" t="s">
        <v>1519</v>
      </c>
    </row>
    <row r="5" customFormat="false" ht="16.15" hidden="false" customHeight="false" outlineLevel="0" collapsed="false">
      <c r="B5" s="5" t="s">
        <v>1520</v>
      </c>
    </row>
    <row r="6" customFormat="false" ht="30" hidden="false" customHeight="true" outlineLevel="0" collapsed="false">
      <c r="B6" s="15" t="s">
        <v>98</v>
      </c>
      <c r="C6" s="15" t="s">
        <v>1337</v>
      </c>
      <c r="D6" s="15"/>
      <c r="E6" s="15"/>
      <c r="F6" s="15"/>
      <c r="G6" s="15"/>
    </row>
    <row r="7" customFormat="false" ht="18" hidden="false" customHeight="true" outlineLevel="0" collapsed="false">
      <c r="B7" s="17" t="s">
        <v>1521</v>
      </c>
      <c r="C7" s="17" t="s">
        <v>1522</v>
      </c>
      <c r="D7" s="17"/>
      <c r="E7" s="17"/>
      <c r="F7" s="17"/>
      <c r="G7" s="17"/>
    </row>
    <row r="8" customFormat="false" ht="18" hidden="false" customHeight="true" outlineLevel="0" collapsed="false">
      <c r="B8" s="17" t="s">
        <v>1523</v>
      </c>
      <c r="C8" s="17" t="s">
        <v>1524</v>
      </c>
      <c r="D8" s="17"/>
      <c r="E8" s="17"/>
      <c r="F8" s="17"/>
      <c r="G8" s="17"/>
    </row>
    <row r="9" customFormat="false" ht="18" hidden="false" customHeight="true" outlineLevel="0" collapsed="false">
      <c r="B9" s="17" t="s">
        <v>1525</v>
      </c>
      <c r="C9" s="17" t="s">
        <v>1526</v>
      </c>
      <c r="D9" s="17"/>
      <c r="E9" s="17"/>
      <c r="F9" s="17"/>
      <c r="G9" s="17"/>
    </row>
    <row r="10" customFormat="false" ht="18" hidden="false" customHeight="true" outlineLevel="0" collapsed="false">
      <c r="B10" s="17" t="s">
        <v>1527</v>
      </c>
      <c r="C10" s="17" t="s">
        <v>1528</v>
      </c>
      <c r="D10" s="17"/>
      <c r="E10" s="17"/>
      <c r="F10" s="17"/>
      <c r="G10" s="17"/>
    </row>
    <row r="11" customFormat="false" ht="18" hidden="false" customHeight="true" outlineLevel="0" collapsed="false">
      <c r="B11" s="17" t="s">
        <v>1529</v>
      </c>
      <c r="C11" s="17" t="s">
        <v>1530</v>
      </c>
      <c r="D11" s="17"/>
      <c r="E11" s="17"/>
      <c r="F11" s="17"/>
      <c r="G11" s="17"/>
    </row>
    <row r="12" customFormat="false" ht="18" hidden="false" customHeight="true" outlineLevel="0" collapsed="false">
      <c r="B12" s="17" t="s">
        <v>1531</v>
      </c>
      <c r="C12" s="17" t="s">
        <v>1532</v>
      </c>
      <c r="D12" s="17"/>
      <c r="E12" s="17"/>
      <c r="F12" s="17"/>
      <c r="G12" s="17"/>
    </row>
    <row r="13" customFormat="false" ht="18" hidden="false" customHeight="true" outlineLevel="0" collapsed="false">
      <c r="B13" s="17" t="s">
        <v>1533</v>
      </c>
      <c r="C13" s="17" t="s">
        <v>1534</v>
      </c>
      <c r="D13" s="17"/>
      <c r="E13" s="17"/>
      <c r="F13" s="17"/>
      <c r="G13" s="17"/>
    </row>
    <row r="14" customFormat="false" ht="18" hidden="false" customHeight="true" outlineLevel="0" collapsed="false">
      <c r="B14" s="17" t="s">
        <v>1535</v>
      </c>
      <c r="C14" s="17" t="s">
        <v>1536</v>
      </c>
      <c r="D14" s="17"/>
      <c r="E14" s="17"/>
      <c r="F14" s="17"/>
      <c r="G14" s="17"/>
    </row>
    <row r="16" customFormat="false" ht="16.15" hidden="false" customHeight="false" outlineLevel="0" collapsed="false">
      <c r="B16" s="5" t="s">
        <v>1537</v>
      </c>
    </row>
    <row r="17" customFormat="false" ht="30" hidden="false" customHeight="true" outlineLevel="0" collapsed="false">
      <c r="B17" s="15" t="s">
        <v>832</v>
      </c>
      <c r="C17" s="15"/>
      <c r="D17" s="15"/>
      <c r="E17" s="15" t="s">
        <v>1538</v>
      </c>
      <c r="F17" s="15"/>
      <c r="G17" s="15" t="s">
        <v>1539</v>
      </c>
    </row>
    <row r="18" customFormat="false" ht="18" hidden="false" customHeight="true" outlineLevel="0" collapsed="false">
      <c r="B18" s="17" t="s">
        <v>1540</v>
      </c>
      <c r="C18" s="17"/>
      <c r="D18" s="17"/>
      <c r="E18" s="17" t="s">
        <v>1541</v>
      </c>
      <c r="F18" s="17"/>
      <c r="G18" s="19"/>
    </row>
    <row r="19" customFormat="false" ht="18" hidden="false" customHeight="true" outlineLevel="0" collapsed="false">
      <c r="B19" s="17" t="s">
        <v>1542</v>
      </c>
      <c r="C19" s="17"/>
      <c r="D19" s="17"/>
      <c r="E19" s="17" t="s">
        <v>1543</v>
      </c>
      <c r="F19" s="17"/>
      <c r="G19" s="19"/>
    </row>
    <row r="20" customFormat="false" ht="18" hidden="false" customHeight="true" outlineLevel="0" collapsed="false">
      <c r="B20" s="17" t="s">
        <v>1544</v>
      </c>
      <c r="C20" s="17"/>
      <c r="D20" s="17"/>
      <c r="E20" s="17" t="s">
        <v>1545</v>
      </c>
      <c r="F20" s="17"/>
      <c r="G20" s="19"/>
    </row>
    <row r="21" customFormat="false" ht="18" hidden="false" customHeight="true" outlineLevel="0" collapsed="false">
      <c r="B21" s="17" t="s">
        <v>1546</v>
      </c>
      <c r="C21" s="17"/>
      <c r="D21" s="17"/>
      <c r="E21" s="17" t="s">
        <v>1547</v>
      </c>
      <c r="F21" s="17"/>
      <c r="G21" s="19"/>
    </row>
    <row r="22" customFormat="false" ht="18" hidden="false" customHeight="true" outlineLevel="0" collapsed="false">
      <c r="B22" s="17" t="s">
        <v>1548</v>
      </c>
      <c r="C22" s="17"/>
      <c r="D22" s="17"/>
      <c r="E22" s="17" t="s">
        <v>1549</v>
      </c>
      <c r="F22" s="17"/>
      <c r="G22" s="19"/>
    </row>
    <row r="23" customFormat="false" ht="18" hidden="false" customHeight="true" outlineLevel="0" collapsed="false">
      <c r="B23" s="17" t="s">
        <v>1550</v>
      </c>
      <c r="C23" s="17"/>
      <c r="D23" s="17"/>
      <c r="E23" s="17" t="s">
        <v>1551</v>
      </c>
      <c r="F23" s="17"/>
      <c r="G23" s="19"/>
    </row>
    <row r="24" customFormat="false" ht="18" hidden="false" customHeight="true" outlineLevel="0" collapsed="false">
      <c r="B24" s="17" t="s">
        <v>1552</v>
      </c>
      <c r="C24" s="17"/>
      <c r="D24" s="17"/>
      <c r="E24" s="17" t="s">
        <v>1553</v>
      </c>
      <c r="F24" s="17"/>
      <c r="G24" s="19"/>
    </row>
    <row r="25" customFormat="false" ht="18" hidden="false" customHeight="true" outlineLevel="0" collapsed="false">
      <c r="B25" s="17" t="s">
        <v>1554</v>
      </c>
      <c r="C25" s="17"/>
      <c r="D25" s="17"/>
      <c r="E25" s="17" t="s">
        <v>1555</v>
      </c>
      <c r="F25" s="17"/>
      <c r="G25" s="19"/>
    </row>
    <row r="26" customFormat="false" ht="18" hidden="false" customHeight="true" outlineLevel="0" collapsed="false">
      <c r="B26" s="17" t="s">
        <v>1556</v>
      </c>
      <c r="C26" s="17"/>
      <c r="D26" s="17"/>
      <c r="E26" s="17" t="s">
        <v>1557</v>
      </c>
      <c r="F26" s="17"/>
      <c r="G26" s="19"/>
    </row>
    <row r="28" customFormat="false" ht="16.15" hidden="false" customHeight="false" outlineLevel="0" collapsed="false">
      <c r="B28" s="5" t="s">
        <v>1558</v>
      </c>
    </row>
    <row r="29" customFormat="false" ht="30" hidden="false" customHeight="true" outlineLevel="0" collapsed="false">
      <c r="B29" s="15" t="s">
        <v>1559</v>
      </c>
      <c r="C29" s="15" t="s">
        <v>1560</v>
      </c>
      <c r="D29" s="15" t="s">
        <v>320</v>
      </c>
      <c r="E29" s="15" t="s">
        <v>1561</v>
      </c>
      <c r="F29" s="15" t="s">
        <v>655</v>
      </c>
      <c r="G29" s="15" t="s">
        <v>1562</v>
      </c>
    </row>
    <row r="30" customFormat="false" ht="18" hidden="false" customHeight="true" outlineLevel="0" collapsed="false">
      <c r="B30" s="17" t="s">
        <v>1491</v>
      </c>
      <c r="C30" s="17" t="s">
        <v>168</v>
      </c>
      <c r="D30" s="17" t="s">
        <v>1563</v>
      </c>
      <c r="E30" s="17" t="s">
        <v>1564</v>
      </c>
      <c r="F30" s="17" t="s">
        <v>1565</v>
      </c>
      <c r="G30" s="17" t="s">
        <v>1566</v>
      </c>
    </row>
    <row r="31" customFormat="false" ht="18" hidden="false" customHeight="true" outlineLevel="0" collapsed="false">
      <c r="B31" s="17" t="s">
        <v>1567</v>
      </c>
      <c r="C31" s="17" t="s">
        <v>180</v>
      </c>
      <c r="D31" s="17" t="s">
        <v>1568</v>
      </c>
      <c r="E31" s="17" t="s">
        <v>1564</v>
      </c>
      <c r="F31" s="17" t="s">
        <v>182</v>
      </c>
      <c r="G31" s="17" t="s">
        <v>1566</v>
      </c>
    </row>
    <row r="32" customFormat="false" ht="18" hidden="false" customHeight="true" outlineLevel="0" collapsed="false">
      <c r="B32" s="17" t="s">
        <v>1569</v>
      </c>
      <c r="C32" s="17" t="s">
        <v>184</v>
      </c>
      <c r="D32" s="17" t="s">
        <v>1570</v>
      </c>
      <c r="E32" s="17" t="s">
        <v>1564</v>
      </c>
      <c r="F32" s="17" t="s">
        <v>1571</v>
      </c>
      <c r="G32" s="17" t="s">
        <v>1566</v>
      </c>
    </row>
    <row r="33" customFormat="false" ht="18" hidden="false" customHeight="true" outlineLevel="0" collapsed="false">
      <c r="B33" s="17" t="s">
        <v>1572</v>
      </c>
      <c r="C33" s="17" t="s">
        <v>187</v>
      </c>
      <c r="D33" s="17" t="s">
        <v>1573</v>
      </c>
      <c r="E33" s="17" t="s">
        <v>16</v>
      </c>
      <c r="F33" s="17" t="s">
        <v>190</v>
      </c>
      <c r="G33" s="17" t="s">
        <v>1566</v>
      </c>
    </row>
    <row r="34" customFormat="false" ht="18" hidden="false" customHeight="true" outlineLevel="0" collapsed="false">
      <c r="B34" s="17" t="s">
        <v>1574</v>
      </c>
      <c r="C34" s="17" t="s">
        <v>207</v>
      </c>
      <c r="D34" s="17" t="s">
        <v>1575</v>
      </c>
      <c r="E34" s="17" t="s">
        <v>109</v>
      </c>
      <c r="F34" s="17" t="s">
        <v>210</v>
      </c>
      <c r="G34" s="17" t="s">
        <v>1566</v>
      </c>
    </row>
    <row r="35" customFormat="false" ht="18" hidden="false" customHeight="true" outlineLevel="0" collapsed="false">
      <c r="B35" s="17" t="s">
        <v>1576</v>
      </c>
      <c r="C35" s="17" t="s">
        <v>215</v>
      </c>
      <c r="D35" s="17" t="s">
        <v>1491</v>
      </c>
      <c r="E35" s="17" t="s">
        <v>109</v>
      </c>
      <c r="F35" s="17" t="s">
        <v>217</v>
      </c>
      <c r="G35" s="17" t="s">
        <v>1566</v>
      </c>
    </row>
    <row r="36" customFormat="false" ht="18" hidden="false" customHeight="true" outlineLevel="0" collapsed="false">
      <c r="B36" s="17" t="s">
        <v>1577</v>
      </c>
      <c r="C36" s="17" t="s">
        <v>222</v>
      </c>
      <c r="D36" s="17" t="s">
        <v>1578</v>
      </c>
      <c r="E36" s="17" t="s">
        <v>112</v>
      </c>
      <c r="F36" s="17" t="s">
        <v>224</v>
      </c>
      <c r="G36" s="17" t="s">
        <v>1566</v>
      </c>
    </row>
    <row r="37" customFormat="false" ht="18" hidden="false" customHeight="true" outlineLevel="0" collapsed="false">
      <c r="B37" s="17" t="s">
        <v>1405</v>
      </c>
      <c r="C37" s="17" t="s">
        <v>244</v>
      </c>
      <c r="D37" s="17" t="s">
        <v>1579</v>
      </c>
      <c r="E37" s="17" t="s">
        <v>1564</v>
      </c>
      <c r="F37" s="17" t="s">
        <v>247</v>
      </c>
      <c r="G37" s="17" t="s">
        <v>1580</v>
      </c>
    </row>
    <row r="38" customFormat="false" ht="18" hidden="false" customHeight="true" outlineLevel="0" collapsed="false">
      <c r="B38" s="17" t="s">
        <v>1581</v>
      </c>
      <c r="C38" s="17" t="s">
        <v>945</v>
      </c>
      <c r="D38" s="17" t="s">
        <v>1582</v>
      </c>
      <c r="E38" s="17" t="s">
        <v>112</v>
      </c>
      <c r="F38" s="17" t="s">
        <v>224</v>
      </c>
      <c r="G38" s="17" t="s">
        <v>1583</v>
      </c>
    </row>
    <row r="40" customFormat="false" ht="16.15" hidden="false" customHeight="false" outlineLevel="0" collapsed="false">
      <c r="B40" s="5" t="s">
        <v>1584</v>
      </c>
    </row>
    <row r="41" customFormat="false" ht="30" hidden="false" customHeight="true" outlineLevel="0" collapsed="false">
      <c r="B41" s="15" t="s">
        <v>1585</v>
      </c>
      <c r="C41" s="15" t="s">
        <v>1586</v>
      </c>
      <c r="D41" s="15"/>
      <c r="E41" s="15"/>
      <c r="F41" s="15"/>
      <c r="G41" s="15"/>
    </row>
    <row r="42" customFormat="false" ht="18" hidden="false" customHeight="true" outlineLevel="0" collapsed="false">
      <c r="B42" s="17" t="s">
        <v>1587</v>
      </c>
      <c r="C42" s="17" t="s">
        <v>1588</v>
      </c>
      <c r="D42" s="17"/>
      <c r="E42" s="17"/>
      <c r="F42" s="17"/>
      <c r="G42" s="17"/>
    </row>
    <row r="43" customFormat="false" ht="18" hidden="false" customHeight="true" outlineLevel="0" collapsed="false">
      <c r="B43" s="17" t="s">
        <v>1589</v>
      </c>
      <c r="C43" s="17" t="s">
        <v>1590</v>
      </c>
      <c r="D43" s="17"/>
      <c r="E43" s="17"/>
      <c r="F43" s="17"/>
      <c r="G43" s="17"/>
    </row>
    <row r="44" customFormat="false" ht="18" hidden="false" customHeight="true" outlineLevel="0" collapsed="false">
      <c r="B44" s="17" t="s">
        <v>1591</v>
      </c>
      <c r="C44" s="17" t="s">
        <v>1592</v>
      </c>
      <c r="D44" s="17"/>
      <c r="E44" s="17"/>
      <c r="F44" s="17"/>
      <c r="G44" s="17"/>
    </row>
    <row r="45" customFormat="false" ht="18" hidden="false" customHeight="true" outlineLevel="0" collapsed="false">
      <c r="B45" s="17" t="s">
        <v>1593</v>
      </c>
      <c r="C45" s="17" t="s">
        <v>1594</v>
      </c>
      <c r="D45" s="17"/>
      <c r="E45" s="17"/>
      <c r="F45" s="17"/>
      <c r="G45" s="17"/>
    </row>
    <row r="46" customFormat="false" ht="18" hidden="false" customHeight="true" outlineLevel="0" collapsed="false">
      <c r="B46" s="17" t="s">
        <v>1595</v>
      </c>
      <c r="C46" s="17" t="s">
        <v>1596</v>
      </c>
      <c r="D46" s="17"/>
      <c r="E46" s="17"/>
      <c r="F46" s="17"/>
      <c r="G46" s="17"/>
    </row>
    <row r="48" customFormat="false" ht="16.15" hidden="false" customHeight="false" outlineLevel="0" collapsed="false">
      <c r="B48" s="5" t="s">
        <v>1597</v>
      </c>
    </row>
    <row r="49" customFormat="false" ht="30" hidden="false" customHeight="true" outlineLevel="0" collapsed="false">
      <c r="B49" s="15" t="s">
        <v>1377</v>
      </c>
      <c r="C49" s="15" t="s">
        <v>1598</v>
      </c>
      <c r="D49" s="15"/>
      <c r="E49" s="15" t="s">
        <v>1127</v>
      </c>
      <c r="F49" s="15"/>
    </row>
    <row r="50" customFormat="false" ht="31.5" hidden="false" customHeight="true" outlineLevel="0" collapsed="false">
      <c r="B50" s="17" t="s">
        <v>1599</v>
      </c>
      <c r="C50" s="17" t="s">
        <v>1600</v>
      </c>
      <c r="D50" s="17"/>
      <c r="E50" s="17" t="s">
        <v>1601</v>
      </c>
      <c r="F50" s="17"/>
    </row>
    <row r="51" customFormat="false" ht="18" hidden="false" customHeight="true" outlineLevel="0" collapsed="false">
      <c r="B51" s="17" t="s">
        <v>1602</v>
      </c>
      <c r="C51" s="17" t="s">
        <v>1603</v>
      </c>
      <c r="D51" s="17"/>
      <c r="E51" s="17" t="s">
        <v>1604</v>
      </c>
      <c r="F51" s="17"/>
    </row>
    <row r="52" customFormat="false" ht="18" hidden="false" customHeight="true" outlineLevel="0" collapsed="false">
      <c r="B52" s="17" t="s">
        <v>1605</v>
      </c>
      <c r="C52" s="17" t="s">
        <v>1606</v>
      </c>
      <c r="D52" s="17"/>
      <c r="E52" s="17" t="s">
        <v>1384</v>
      </c>
      <c r="F52" s="17"/>
    </row>
    <row r="53" customFormat="false" ht="18" hidden="false" customHeight="true" outlineLevel="0" collapsed="false">
      <c r="B53" s="17" t="s">
        <v>1607</v>
      </c>
      <c r="C53" s="17" t="s">
        <v>1608</v>
      </c>
      <c r="D53" s="17"/>
      <c r="E53" s="17" t="s">
        <v>1609</v>
      </c>
      <c r="F53" s="17"/>
    </row>
    <row r="54" customFormat="false" ht="18" hidden="false" customHeight="true" outlineLevel="0" collapsed="false">
      <c r="B54" s="17" t="s">
        <v>1610</v>
      </c>
      <c r="C54" s="17" t="s">
        <v>1611</v>
      </c>
      <c r="D54" s="17"/>
      <c r="E54" s="17" t="s">
        <v>1612</v>
      </c>
      <c r="F54" s="17"/>
    </row>
  </sheetData>
  <mergeCells count="47">
    <mergeCell ref="C6:G6"/>
    <mergeCell ref="C7:G7"/>
    <mergeCell ref="C8:G8"/>
    <mergeCell ref="C9:G9"/>
    <mergeCell ref="C10:G10"/>
    <mergeCell ref="C11:G11"/>
    <mergeCell ref="C12:G12"/>
    <mergeCell ref="C13:G13"/>
    <mergeCell ref="C14:G14"/>
    <mergeCell ref="B17:D17"/>
    <mergeCell ref="E17:F17"/>
    <mergeCell ref="B18:D18"/>
    <mergeCell ref="E18:F18"/>
    <mergeCell ref="B19:D19"/>
    <mergeCell ref="E19:F19"/>
    <mergeCell ref="B20:D20"/>
    <mergeCell ref="E20:F20"/>
    <mergeCell ref="B21:D21"/>
    <mergeCell ref="E21:F21"/>
    <mergeCell ref="B22:D22"/>
    <mergeCell ref="E22:F22"/>
    <mergeCell ref="B23:D23"/>
    <mergeCell ref="E23:F23"/>
    <mergeCell ref="B24:D24"/>
    <mergeCell ref="E24:F24"/>
    <mergeCell ref="B25:D25"/>
    <mergeCell ref="E25:F25"/>
    <mergeCell ref="B26:D26"/>
    <mergeCell ref="E26:F26"/>
    <mergeCell ref="C41:G41"/>
    <mergeCell ref="C42:G42"/>
    <mergeCell ref="C43:G43"/>
    <mergeCell ref="C44:G44"/>
    <mergeCell ref="C45:G45"/>
    <mergeCell ref="C46:G46"/>
    <mergeCell ref="C49:D49"/>
    <mergeCell ref="E49:F49"/>
    <mergeCell ref="C50:D50"/>
    <mergeCell ref="E50:F50"/>
    <mergeCell ref="C51:D51"/>
    <mergeCell ref="E51:F51"/>
    <mergeCell ref="C52:D52"/>
    <mergeCell ref="E52:F52"/>
    <mergeCell ref="C53:D53"/>
    <mergeCell ref="E53:F53"/>
    <mergeCell ref="C54:D54"/>
    <mergeCell ref="E54:F54"/>
  </mergeCells>
  <dataValidations count="1">
    <dataValidation allowBlank="true" errorStyle="stop" operator="between" showDropDown="false" showErrorMessage="false" showInputMessage="false" sqref="G18:G26" type="list">
      <formula1>"Y,N"</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2"/>
    <col collapsed="false" customWidth="true" hidden="false" outlineLevel="0" max="4" min="4" style="0" width="30"/>
    <col collapsed="false" customWidth="true" hidden="false" outlineLevel="0" max="5" min="5" style="0" width="20"/>
    <col collapsed="false" customWidth="true" hidden="false" outlineLevel="0" max="6" min="6" style="0" width="24"/>
    <col collapsed="false" customWidth="true" hidden="false" outlineLevel="0" max="7" min="7" style="0" width="28"/>
    <col collapsed="false" customWidth="true" hidden="false" outlineLevel="0" max="8" min="8" style="0" width="16"/>
    <col collapsed="false" customWidth="true" hidden="false" outlineLevel="0" max="9" min="9" style="0" width="13"/>
    <col collapsed="false" customWidth="true" hidden="false" outlineLevel="0" max="10" min="10" style="0" width="16"/>
    <col collapsed="false" customWidth="true" hidden="false" outlineLevel="0" max="11" min="11" style="0" width="14"/>
  </cols>
  <sheetData>
    <row r="1" customFormat="false" ht="15" hidden="false" customHeight="false" outlineLevel="0" collapsed="false">
      <c r="B1" s="12" t="s">
        <v>24</v>
      </c>
    </row>
    <row r="2" customFormat="false" ht="22.05" hidden="false" customHeight="false" outlineLevel="0" collapsed="false">
      <c r="B2" s="13" t="s">
        <v>1613</v>
      </c>
    </row>
    <row r="3" customFormat="false" ht="15" hidden="false" customHeight="false" outlineLevel="0" collapsed="false">
      <c r="B3" s="14" t="s">
        <v>1614</v>
      </c>
    </row>
    <row r="4" customFormat="false" ht="30" hidden="false" customHeight="true" outlineLevel="0" collapsed="false">
      <c r="B4" s="15" t="s">
        <v>151</v>
      </c>
      <c r="C4" s="15" t="s">
        <v>152</v>
      </c>
      <c r="D4" s="15" t="s">
        <v>1615</v>
      </c>
      <c r="E4" s="15" t="s">
        <v>1616</v>
      </c>
      <c r="F4" s="15" t="s">
        <v>655</v>
      </c>
      <c r="G4" s="15" t="s">
        <v>1617</v>
      </c>
      <c r="H4" s="15" t="s">
        <v>1618</v>
      </c>
      <c r="I4" s="15" t="s">
        <v>159</v>
      </c>
      <c r="J4" s="15" t="s">
        <v>5</v>
      </c>
      <c r="K4" s="15" t="s">
        <v>1619</v>
      </c>
    </row>
    <row r="5" customFormat="false" ht="15" hidden="false" customHeight="false" outlineLevel="0" collapsed="false">
      <c r="B5" s="19"/>
      <c r="C5" s="17" t="str">
        <f aca="false">IF(B5="","",IFERROR(INDEX(Players!$C$5:$C$104,MATCH(B5,Players!$B$5:$B$104,0)),"ID not found"))</f>
        <v/>
      </c>
      <c r="D5" s="19"/>
      <c r="E5" s="19"/>
      <c r="F5" s="19"/>
      <c r="G5" s="19"/>
      <c r="H5" s="19"/>
      <c r="I5" s="20"/>
      <c r="J5" s="19"/>
      <c r="K5" s="19"/>
    </row>
    <row r="6" customFormat="false" ht="15" hidden="false" customHeight="false" outlineLevel="0" collapsed="false">
      <c r="B6" s="19"/>
      <c r="C6" s="17" t="str">
        <f aca="false">IF(B6="","",IFERROR(INDEX(Players!$C$5:$C$104,MATCH(B6,Players!$B$5:$B$104,0)),"ID not found"))</f>
        <v/>
      </c>
      <c r="D6" s="19"/>
      <c r="E6" s="19"/>
      <c r="F6" s="19"/>
      <c r="G6" s="19"/>
      <c r="H6" s="19"/>
      <c r="I6" s="20"/>
      <c r="J6" s="19"/>
      <c r="K6" s="19"/>
    </row>
    <row r="7" customFormat="false" ht="15" hidden="false" customHeight="false" outlineLevel="0" collapsed="false">
      <c r="B7" s="19"/>
      <c r="C7" s="17" t="str">
        <f aca="false">IF(B7="","",IFERROR(INDEX(Players!$C$5:$C$104,MATCH(B7,Players!$B$5:$B$104,0)),"ID not found"))</f>
        <v/>
      </c>
      <c r="D7" s="19"/>
      <c r="E7" s="19"/>
      <c r="F7" s="19"/>
      <c r="G7" s="19"/>
      <c r="H7" s="19"/>
      <c r="I7" s="20"/>
      <c r="J7" s="19"/>
      <c r="K7" s="19"/>
    </row>
    <row r="8" customFormat="false" ht="15" hidden="false" customHeight="false" outlineLevel="0" collapsed="false">
      <c r="B8" s="19"/>
      <c r="C8" s="17" t="str">
        <f aca="false">IF(B8="","",IFERROR(INDEX(Players!$C$5:$C$104,MATCH(B8,Players!$B$5:$B$104,0)),"ID not found"))</f>
        <v/>
      </c>
      <c r="D8" s="19"/>
      <c r="E8" s="19"/>
      <c r="F8" s="19"/>
      <c r="G8" s="19"/>
      <c r="H8" s="19"/>
      <c r="I8" s="20"/>
      <c r="J8" s="19"/>
      <c r="K8" s="19"/>
    </row>
    <row r="9" customFormat="false" ht="15" hidden="false" customHeight="false" outlineLevel="0" collapsed="false">
      <c r="B9" s="19"/>
      <c r="C9" s="17" t="str">
        <f aca="false">IF(B9="","",IFERROR(INDEX(Players!$C$5:$C$104,MATCH(B9,Players!$B$5:$B$104,0)),"ID not found"))</f>
        <v/>
      </c>
      <c r="D9" s="19"/>
      <c r="E9" s="19"/>
      <c r="F9" s="19"/>
      <c r="G9" s="19"/>
      <c r="H9" s="19"/>
      <c r="I9" s="20"/>
      <c r="J9" s="19"/>
      <c r="K9" s="19"/>
    </row>
    <row r="10" customFormat="false" ht="15" hidden="false" customHeight="false" outlineLevel="0" collapsed="false">
      <c r="B10" s="19"/>
      <c r="C10" s="17" t="str">
        <f aca="false">IF(B10="","",IFERROR(INDEX(Players!$C$5:$C$104,MATCH(B10,Players!$B$5:$B$104,0)),"ID not found"))</f>
        <v/>
      </c>
      <c r="D10" s="19"/>
      <c r="E10" s="19"/>
      <c r="F10" s="19"/>
      <c r="G10" s="19"/>
      <c r="H10" s="19"/>
      <c r="I10" s="20"/>
      <c r="J10" s="19"/>
      <c r="K10" s="19"/>
    </row>
    <row r="11" customFormat="false" ht="15" hidden="false" customHeight="false" outlineLevel="0" collapsed="false">
      <c r="B11" s="19"/>
      <c r="C11" s="17" t="str">
        <f aca="false">IF(B11="","",IFERROR(INDEX(Players!$C$5:$C$104,MATCH(B11,Players!$B$5:$B$104,0)),"ID not found"))</f>
        <v/>
      </c>
      <c r="D11" s="19"/>
      <c r="E11" s="19"/>
      <c r="F11" s="19"/>
      <c r="G11" s="19"/>
      <c r="H11" s="19"/>
      <c r="I11" s="20"/>
      <c r="J11" s="19"/>
      <c r="K11" s="19"/>
    </row>
    <row r="12" customFormat="false" ht="15" hidden="false" customHeight="false" outlineLevel="0" collapsed="false">
      <c r="B12" s="19"/>
      <c r="C12" s="17" t="str">
        <f aca="false">IF(B12="","",IFERROR(INDEX(Players!$C$5:$C$104,MATCH(B12,Players!$B$5:$B$104,0)),"ID not found"))</f>
        <v/>
      </c>
      <c r="D12" s="19"/>
      <c r="E12" s="19"/>
      <c r="F12" s="19"/>
      <c r="G12" s="19"/>
      <c r="H12" s="19"/>
      <c r="I12" s="20"/>
      <c r="J12" s="19"/>
      <c r="K12" s="19"/>
    </row>
    <row r="13" customFormat="false" ht="15" hidden="false" customHeight="false" outlineLevel="0" collapsed="false">
      <c r="B13" s="19"/>
      <c r="C13" s="17" t="str">
        <f aca="false">IF(B13="","",IFERROR(INDEX(Players!$C$5:$C$104,MATCH(B13,Players!$B$5:$B$104,0)),"ID not found"))</f>
        <v/>
      </c>
      <c r="D13" s="19"/>
      <c r="E13" s="19"/>
      <c r="F13" s="19"/>
      <c r="G13" s="19"/>
      <c r="H13" s="19"/>
      <c r="I13" s="20"/>
      <c r="J13" s="19"/>
      <c r="K13" s="19"/>
    </row>
    <row r="14" customFormat="false" ht="15" hidden="false" customHeight="false" outlineLevel="0" collapsed="false">
      <c r="B14" s="19"/>
      <c r="C14" s="17" t="str">
        <f aca="false">IF(B14="","",IFERROR(INDEX(Players!$C$5:$C$104,MATCH(B14,Players!$B$5:$B$104,0)),"ID not found"))</f>
        <v/>
      </c>
      <c r="D14" s="19"/>
      <c r="E14" s="19"/>
      <c r="F14" s="19"/>
      <c r="G14" s="19"/>
      <c r="H14" s="19"/>
      <c r="I14" s="20"/>
      <c r="J14" s="19"/>
      <c r="K14" s="19"/>
    </row>
    <row r="15" customFormat="false" ht="15" hidden="false" customHeight="false" outlineLevel="0" collapsed="false">
      <c r="B15" s="19"/>
      <c r="C15" s="17" t="str">
        <f aca="false">IF(B15="","",IFERROR(INDEX(Players!$C$5:$C$104,MATCH(B15,Players!$B$5:$B$104,0)),"ID not found"))</f>
        <v/>
      </c>
      <c r="D15" s="19"/>
      <c r="E15" s="19"/>
      <c r="F15" s="19"/>
      <c r="G15" s="19"/>
      <c r="H15" s="19"/>
      <c r="I15" s="20"/>
      <c r="J15" s="19"/>
      <c r="K15" s="19"/>
    </row>
    <row r="16" customFormat="false" ht="15" hidden="false" customHeight="false" outlineLevel="0" collapsed="false">
      <c r="B16" s="19"/>
      <c r="C16" s="17" t="str">
        <f aca="false">IF(B16="","",IFERROR(INDEX(Players!$C$5:$C$104,MATCH(B16,Players!$B$5:$B$104,0)),"ID not found"))</f>
        <v/>
      </c>
      <c r="D16" s="19"/>
      <c r="E16" s="19"/>
      <c r="F16" s="19"/>
      <c r="G16" s="19"/>
      <c r="H16" s="19"/>
      <c r="I16" s="20"/>
      <c r="J16" s="19"/>
      <c r="K16" s="19"/>
    </row>
    <row r="17" customFormat="false" ht="15" hidden="false" customHeight="false" outlineLevel="0" collapsed="false">
      <c r="B17" s="19"/>
      <c r="C17" s="17" t="str">
        <f aca="false">IF(B17="","",IFERROR(INDEX(Players!$C$5:$C$104,MATCH(B17,Players!$B$5:$B$104,0)),"ID not found"))</f>
        <v/>
      </c>
      <c r="D17" s="19"/>
      <c r="E17" s="19"/>
      <c r="F17" s="19"/>
      <c r="G17" s="19"/>
      <c r="H17" s="19"/>
      <c r="I17" s="20"/>
      <c r="J17" s="19"/>
      <c r="K17" s="19"/>
    </row>
    <row r="18" customFormat="false" ht="15" hidden="false" customHeight="false" outlineLevel="0" collapsed="false">
      <c r="B18" s="19"/>
      <c r="C18" s="17" t="str">
        <f aca="false">IF(B18="","",IFERROR(INDEX(Players!$C$5:$C$104,MATCH(B18,Players!$B$5:$B$104,0)),"ID not found"))</f>
        <v/>
      </c>
      <c r="D18" s="19"/>
      <c r="E18" s="19"/>
      <c r="F18" s="19"/>
      <c r="G18" s="19"/>
      <c r="H18" s="19"/>
      <c r="I18" s="20"/>
      <c r="J18" s="19"/>
      <c r="K18" s="19"/>
    </row>
    <row r="19" customFormat="false" ht="15" hidden="false" customHeight="false" outlineLevel="0" collapsed="false">
      <c r="B19" s="19"/>
      <c r="C19" s="17" t="str">
        <f aca="false">IF(B19="","",IFERROR(INDEX(Players!$C$5:$C$104,MATCH(B19,Players!$B$5:$B$104,0)),"ID not found"))</f>
        <v/>
      </c>
      <c r="D19" s="19"/>
      <c r="E19" s="19"/>
      <c r="F19" s="19"/>
      <c r="G19" s="19"/>
      <c r="H19" s="19"/>
      <c r="I19" s="20"/>
      <c r="J19" s="19"/>
      <c r="K19" s="19"/>
    </row>
    <row r="20" customFormat="false" ht="15" hidden="false" customHeight="false" outlineLevel="0" collapsed="false">
      <c r="B20" s="19"/>
      <c r="C20" s="17" t="str">
        <f aca="false">IF(B20="","",IFERROR(INDEX(Players!$C$5:$C$104,MATCH(B20,Players!$B$5:$B$104,0)),"ID not found"))</f>
        <v/>
      </c>
      <c r="D20" s="19"/>
      <c r="E20" s="19"/>
      <c r="F20" s="19"/>
      <c r="G20" s="19"/>
      <c r="H20" s="19"/>
      <c r="I20" s="20"/>
      <c r="J20" s="19"/>
      <c r="K20" s="19"/>
    </row>
    <row r="21" customFormat="false" ht="15" hidden="false" customHeight="false" outlineLevel="0" collapsed="false">
      <c r="B21" s="19"/>
      <c r="C21" s="17" t="str">
        <f aca="false">IF(B21="","",IFERROR(INDEX(Players!$C$5:$C$104,MATCH(B21,Players!$B$5:$B$104,0)),"ID not found"))</f>
        <v/>
      </c>
      <c r="D21" s="19"/>
      <c r="E21" s="19"/>
      <c r="F21" s="19"/>
      <c r="G21" s="19"/>
      <c r="H21" s="19"/>
      <c r="I21" s="20"/>
      <c r="J21" s="19"/>
      <c r="K21" s="19"/>
    </row>
    <row r="22" customFormat="false" ht="15" hidden="false" customHeight="false" outlineLevel="0" collapsed="false">
      <c r="B22" s="19"/>
      <c r="C22" s="17" t="str">
        <f aca="false">IF(B22="","",IFERROR(INDEX(Players!$C$5:$C$104,MATCH(B22,Players!$B$5:$B$104,0)),"ID not found"))</f>
        <v/>
      </c>
      <c r="D22" s="19"/>
      <c r="E22" s="19"/>
      <c r="F22" s="19"/>
      <c r="G22" s="19"/>
      <c r="H22" s="19"/>
      <c r="I22" s="20"/>
      <c r="J22" s="19"/>
      <c r="K22" s="19"/>
    </row>
    <row r="23" customFormat="false" ht="15" hidden="false" customHeight="false" outlineLevel="0" collapsed="false">
      <c r="B23" s="19"/>
      <c r="C23" s="17" t="str">
        <f aca="false">IF(B23="","",IFERROR(INDEX(Players!$C$5:$C$104,MATCH(B23,Players!$B$5:$B$104,0)),"ID not found"))</f>
        <v/>
      </c>
      <c r="D23" s="19"/>
      <c r="E23" s="19"/>
      <c r="F23" s="19"/>
      <c r="G23" s="19"/>
      <c r="H23" s="19"/>
      <c r="I23" s="20"/>
      <c r="J23" s="19"/>
      <c r="K23" s="19"/>
    </row>
    <row r="24" customFormat="false" ht="15" hidden="false" customHeight="false" outlineLevel="0" collapsed="false">
      <c r="B24" s="19"/>
      <c r="C24" s="17" t="str">
        <f aca="false">IF(B24="","",IFERROR(INDEX(Players!$C$5:$C$104,MATCH(B24,Players!$B$5:$B$104,0)),"ID not found"))</f>
        <v/>
      </c>
      <c r="D24" s="19"/>
      <c r="E24" s="19"/>
      <c r="F24" s="19"/>
      <c r="G24" s="19"/>
      <c r="H24" s="19"/>
      <c r="I24" s="20"/>
      <c r="J24" s="19"/>
      <c r="K24" s="19"/>
    </row>
    <row r="25" customFormat="false" ht="15" hidden="false" customHeight="false" outlineLevel="0" collapsed="false">
      <c r="B25" s="19"/>
      <c r="C25" s="17" t="str">
        <f aca="false">IF(B25="","",IFERROR(INDEX(Players!$C$5:$C$104,MATCH(B25,Players!$B$5:$B$104,0)),"ID not found"))</f>
        <v/>
      </c>
      <c r="D25" s="19"/>
      <c r="E25" s="19"/>
      <c r="F25" s="19"/>
      <c r="G25" s="19"/>
      <c r="H25" s="19"/>
      <c r="I25" s="20"/>
      <c r="J25" s="19"/>
      <c r="K25" s="19"/>
    </row>
    <row r="26" customFormat="false" ht="15" hidden="false" customHeight="false" outlineLevel="0" collapsed="false">
      <c r="B26" s="19"/>
      <c r="C26" s="17" t="str">
        <f aca="false">IF(B26="","",IFERROR(INDEX(Players!$C$5:$C$104,MATCH(B26,Players!$B$5:$B$104,0)),"ID not found"))</f>
        <v/>
      </c>
      <c r="D26" s="19"/>
      <c r="E26" s="19"/>
      <c r="F26" s="19"/>
      <c r="G26" s="19"/>
      <c r="H26" s="19"/>
      <c r="I26" s="20"/>
      <c r="J26" s="19"/>
      <c r="K26" s="19"/>
    </row>
    <row r="27" customFormat="false" ht="15" hidden="false" customHeight="false" outlineLevel="0" collapsed="false">
      <c r="B27" s="19"/>
      <c r="C27" s="17" t="str">
        <f aca="false">IF(B27="","",IFERROR(INDEX(Players!$C$5:$C$104,MATCH(B27,Players!$B$5:$B$104,0)),"ID not found"))</f>
        <v/>
      </c>
      <c r="D27" s="19"/>
      <c r="E27" s="19"/>
      <c r="F27" s="19"/>
      <c r="G27" s="19"/>
      <c r="H27" s="19"/>
      <c r="I27" s="20"/>
      <c r="J27" s="19"/>
      <c r="K27" s="19"/>
    </row>
    <row r="28" customFormat="false" ht="15" hidden="false" customHeight="false" outlineLevel="0" collapsed="false">
      <c r="B28" s="19"/>
      <c r="C28" s="17" t="str">
        <f aca="false">IF(B28="","",IFERROR(INDEX(Players!$C$5:$C$104,MATCH(B28,Players!$B$5:$B$104,0)),"ID not found"))</f>
        <v/>
      </c>
      <c r="D28" s="19"/>
      <c r="E28" s="19"/>
      <c r="F28" s="19"/>
      <c r="G28" s="19"/>
      <c r="H28" s="19"/>
      <c r="I28" s="20"/>
      <c r="J28" s="19"/>
      <c r="K28" s="19"/>
    </row>
    <row r="29" customFormat="false" ht="15" hidden="false" customHeight="false" outlineLevel="0" collapsed="false">
      <c r="B29" s="19"/>
      <c r="C29" s="17" t="str">
        <f aca="false">IF(B29="","",IFERROR(INDEX(Players!$C$5:$C$104,MATCH(B29,Players!$B$5:$B$104,0)),"ID not found"))</f>
        <v/>
      </c>
      <c r="D29" s="19"/>
      <c r="E29" s="19"/>
      <c r="F29" s="19"/>
      <c r="G29" s="19"/>
      <c r="H29" s="19"/>
      <c r="I29" s="20"/>
      <c r="J29" s="19"/>
      <c r="K29" s="19"/>
    </row>
    <row r="30" customFormat="false" ht="15" hidden="false" customHeight="false" outlineLevel="0" collapsed="false">
      <c r="B30" s="19"/>
      <c r="C30" s="17" t="str">
        <f aca="false">IF(B30="","",IFERROR(INDEX(Players!$C$5:$C$104,MATCH(B30,Players!$B$5:$B$104,0)),"ID not found"))</f>
        <v/>
      </c>
      <c r="D30" s="19"/>
      <c r="E30" s="19"/>
      <c r="F30" s="19"/>
      <c r="G30" s="19"/>
      <c r="H30" s="19"/>
      <c r="I30" s="20"/>
      <c r="J30" s="19"/>
      <c r="K30" s="19"/>
    </row>
    <row r="31" customFormat="false" ht="15" hidden="false" customHeight="false" outlineLevel="0" collapsed="false">
      <c r="B31" s="19"/>
      <c r="C31" s="17" t="str">
        <f aca="false">IF(B31="","",IFERROR(INDEX(Players!$C$5:$C$104,MATCH(B31,Players!$B$5:$B$104,0)),"ID not found"))</f>
        <v/>
      </c>
      <c r="D31" s="19"/>
      <c r="E31" s="19"/>
      <c r="F31" s="19"/>
      <c r="G31" s="19"/>
      <c r="H31" s="19"/>
      <c r="I31" s="20"/>
      <c r="J31" s="19"/>
      <c r="K31" s="19"/>
    </row>
    <row r="32" customFormat="false" ht="15" hidden="false" customHeight="false" outlineLevel="0" collapsed="false">
      <c r="B32" s="19"/>
      <c r="C32" s="17" t="str">
        <f aca="false">IF(B32="","",IFERROR(INDEX(Players!$C$5:$C$104,MATCH(B32,Players!$B$5:$B$104,0)),"ID not found"))</f>
        <v/>
      </c>
      <c r="D32" s="19"/>
      <c r="E32" s="19"/>
      <c r="F32" s="19"/>
      <c r="G32" s="19"/>
      <c r="H32" s="19"/>
      <c r="I32" s="20"/>
      <c r="J32" s="19"/>
      <c r="K32" s="19"/>
    </row>
    <row r="33" customFormat="false" ht="15" hidden="false" customHeight="false" outlineLevel="0" collapsed="false">
      <c r="B33" s="19"/>
      <c r="C33" s="17" t="str">
        <f aca="false">IF(B33="","",IFERROR(INDEX(Players!$C$5:$C$104,MATCH(B33,Players!$B$5:$B$104,0)),"ID not found"))</f>
        <v/>
      </c>
      <c r="D33" s="19"/>
      <c r="E33" s="19"/>
      <c r="F33" s="19"/>
      <c r="G33" s="19"/>
      <c r="H33" s="19"/>
      <c r="I33" s="20"/>
      <c r="J33" s="19"/>
      <c r="K33" s="19"/>
    </row>
    <row r="34" customFormat="false" ht="15" hidden="false" customHeight="false" outlineLevel="0" collapsed="false">
      <c r="B34" s="19"/>
      <c r="C34" s="17" t="str">
        <f aca="false">IF(B34="","",IFERROR(INDEX(Players!$C$5:$C$104,MATCH(B34,Players!$B$5:$B$104,0)),"ID not found"))</f>
        <v/>
      </c>
      <c r="D34" s="19"/>
      <c r="E34" s="19"/>
      <c r="F34" s="19"/>
      <c r="G34" s="19"/>
      <c r="H34" s="19"/>
      <c r="I34" s="20"/>
      <c r="J34" s="19"/>
      <c r="K34" s="19"/>
    </row>
    <row r="35" customFormat="false" ht="15" hidden="false" customHeight="false" outlineLevel="0" collapsed="false">
      <c r="B35" s="19"/>
      <c r="C35" s="17" t="str">
        <f aca="false">IF(B35="","",IFERROR(INDEX(Players!$C$5:$C$104,MATCH(B35,Players!$B$5:$B$104,0)),"ID not found"))</f>
        <v/>
      </c>
      <c r="D35" s="19"/>
      <c r="E35" s="19"/>
      <c r="F35" s="19"/>
      <c r="G35" s="19"/>
      <c r="H35" s="19"/>
      <c r="I35" s="20"/>
      <c r="J35" s="19"/>
      <c r="K35" s="19"/>
    </row>
    <row r="36" customFormat="false" ht="15" hidden="false" customHeight="false" outlineLevel="0" collapsed="false">
      <c r="B36" s="19"/>
      <c r="C36" s="17" t="str">
        <f aca="false">IF(B36="","",IFERROR(INDEX(Players!$C$5:$C$104,MATCH(B36,Players!$B$5:$B$104,0)),"ID not found"))</f>
        <v/>
      </c>
      <c r="D36" s="19"/>
      <c r="E36" s="19"/>
      <c r="F36" s="19"/>
      <c r="G36" s="19"/>
      <c r="H36" s="19"/>
      <c r="I36" s="20"/>
      <c r="J36" s="19"/>
      <c r="K36" s="19"/>
    </row>
    <row r="37" customFormat="false" ht="15" hidden="false" customHeight="false" outlineLevel="0" collapsed="false">
      <c r="B37" s="19"/>
      <c r="C37" s="17" t="str">
        <f aca="false">IF(B37="","",IFERROR(INDEX(Players!$C$5:$C$104,MATCH(B37,Players!$B$5:$B$104,0)),"ID not found"))</f>
        <v/>
      </c>
      <c r="D37" s="19"/>
      <c r="E37" s="19"/>
      <c r="F37" s="19"/>
      <c r="G37" s="19"/>
      <c r="H37" s="19"/>
      <c r="I37" s="20"/>
      <c r="J37" s="19"/>
      <c r="K37" s="19"/>
    </row>
    <row r="38" customFormat="false" ht="15" hidden="false" customHeight="false" outlineLevel="0" collapsed="false">
      <c r="B38" s="19"/>
      <c r="C38" s="17" t="str">
        <f aca="false">IF(B38="","",IFERROR(INDEX(Players!$C$5:$C$104,MATCH(B38,Players!$B$5:$B$104,0)),"ID not found"))</f>
        <v/>
      </c>
      <c r="D38" s="19"/>
      <c r="E38" s="19"/>
      <c r="F38" s="19"/>
      <c r="G38" s="19"/>
      <c r="H38" s="19"/>
      <c r="I38" s="20"/>
      <c r="J38" s="19"/>
      <c r="K38" s="19"/>
    </row>
    <row r="39" customFormat="false" ht="15" hidden="false" customHeight="false" outlineLevel="0" collapsed="false">
      <c r="B39" s="19"/>
      <c r="C39" s="17" t="str">
        <f aca="false">IF(B39="","",IFERROR(INDEX(Players!$C$5:$C$104,MATCH(B39,Players!$B$5:$B$104,0)),"ID not found"))</f>
        <v/>
      </c>
      <c r="D39" s="19"/>
      <c r="E39" s="19"/>
      <c r="F39" s="19"/>
      <c r="G39" s="19"/>
      <c r="H39" s="19"/>
      <c r="I39" s="20"/>
      <c r="J39" s="19"/>
      <c r="K39" s="19"/>
    </row>
    <row r="40" customFormat="false" ht="15" hidden="false" customHeight="false" outlineLevel="0" collapsed="false">
      <c r="B40" s="19"/>
      <c r="C40" s="17" t="str">
        <f aca="false">IF(B40="","",IFERROR(INDEX(Players!$C$5:$C$104,MATCH(B40,Players!$B$5:$B$104,0)),"ID not found"))</f>
        <v/>
      </c>
      <c r="D40" s="19"/>
      <c r="E40" s="19"/>
      <c r="F40" s="19"/>
      <c r="G40" s="19"/>
      <c r="H40" s="19"/>
      <c r="I40" s="20"/>
      <c r="J40" s="19"/>
      <c r="K40" s="19"/>
    </row>
    <row r="41" customFormat="false" ht="15" hidden="false" customHeight="false" outlineLevel="0" collapsed="false">
      <c r="B41" s="19"/>
      <c r="C41" s="17" t="str">
        <f aca="false">IF(B41="","",IFERROR(INDEX(Players!$C$5:$C$104,MATCH(B41,Players!$B$5:$B$104,0)),"ID not found"))</f>
        <v/>
      </c>
      <c r="D41" s="19"/>
      <c r="E41" s="19"/>
      <c r="F41" s="19"/>
      <c r="G41" s="19"/>
      <c r="H41" s="19"/>
      <c r="I41" s="20"/>
      <c r="J41" s="19"/>
      <c r="K41" s="19"/>
    </row>
    <row r="42" customFormat="false" ht="15" hidden="false" customHeight="false" outlineLevel="0" collapsed="false">
      <c r="B42" s="19"/>
      <c r="C42" s="17" t="str">
        <f aca="false">IF(B42="","",IFERROR(INDEX(Players!$C$5:$C$104,MATCH(B42,Players!$B$5:$B$104,0)),"ID not found"))</f>
        <v/>
      </c>
      <c r="D42" s="19"/>
      <c r="E42" s="19"/>
      <c r="F42" s="19"/>
      <c r="G42" s="19"/>
      <c r="H42" s="19"/>
      <c r="I42" s="20"/>
      <c r="J42" s="19"/>
      <c r="K42" s="19"/>
    </row>
    <row r="43" customFormat="false" ht="15" hidden="false" customHeight="false" outlineLevel="0" collapsed="false">
      <c r="B43" s="19"/>
      <c r="C43" s="17" t="str">
        <f aca="false">IF(B43="","",IFERROR(INDEX(Players!$C$5:$C$104,MATCH(B43,Players!$B$5:$B$104,0)),"ID not found"))</f>
        <v/>
      </c>
      <c r="D43" s="19"/>
      <c r="E43" s="19"/>
      <c r="F43" s="19"/>
      <c r="G43" s="19"/>
      <c r="H43" s="19"/>
      <c r="I43" s="20"/>
      <c r="J43" s="19"/>
      <c r="K43" s="19"/>
    </row>
    <row r="44" customFormat="false" ht="15" hidden="false" customHeight="false" outlineLevel="0" collapsed="false">
      <c r="B44" s="19"/>
      <c r="C44" s="17" t="str">
        <f aca="false">IF(B44="","",IFERROR(INDEX(Players!$C$5:$C$104,MATCH(B44,Players!$B$5:$B$104,0)),"ID not found"))</f>
        <v/>
      </c>
      <c r="D44" s="19"/>
      <c r="E44" s="19"/>
      <c r="F44" s="19"/>
      <c r="G44" s="19"/>
      <c r="H44" s="19"/>
      <c r="I44" s="20"/>
      <c r="J44" s="19"/>
      <c r="K44" s="19"/>
    </row>
    <row r="45" customFormat="false" ht="15" hidden="false" customHeight="false" outlineLevel="0" collapsed="false">
      <c r="B45" s="19"/>
      <c r="C45" s="17" t="str">
        <f aca="false">IF(B45="","",IFERROR(INDEX(Players!$C$5:$C$104,MATCH(B45,Players!$B$5:$B$104,0)),"ID not found"))</f>
        <v/>
      </c>
      <c r="D45" s="19"/>
      <c r="E45" s="19"/>
      <c r="F45" s="19"/>
      <c r="G45" s="19"/>
      <c r="H45" s="19"/>
      <c r="I45" s="20"/>
      <c r="J45" s="19"/>
      <c r="K45" s="19"/>
    </row>
    <row r="46" customFormat="false" ht="15" hidden="false" customHeight="false" outlineLevel="0" collapsed="false">
      <c r="B46" s="19"/>
      <c r="C46" s="17" t="str">
        <f aca="false">IF(B46="","",IFERROR(INDEX(Players!$C$5:$C$104,MATCH(B46,Players!$B$5:$B$104,0)),"ID not found"))</f>
        <v/>
      </c>
      <c r="D46" s="19"/>
      <c r="E46" s="19"/>
      <c r="F46" s="19"/>
      <c r="G46" s="19"/>
      <c r="H46" s="19"/>
      <c r="I46" s="20"/>
      <c r="J46" s="19"/>
      <c r="K46" s="19"/>
    </row>
    <row r="47" customFormat="false" ht="15" hidden="false" customHeight="false" outlineLevel="0" collapsed="false">
      <c r="B47" s="19"/>
      <c r="C47" s="17" t="str">
        <f aca="false">IF(B47="","",IFERROR(INDEX(Players!$C$5:$C$104,MATCH(B47,Players!$B$5:$B$104,0)),"ID not found"))</f>
        <v/>
      </c>
      <c r="D47" s="19"/>
      <c r="E47" s="19"/>
      <c r="F47" s="19"/>
      <c r="G47" s="19"/>
      <c r="H47" s="19"/>
      <c r="I47" s="20"/>
      <c r="J47" s="19"/>
      <c r="K47" s="19"/>
    </row>
    <row r="48" customFormat="false" ht="15" hidden="false" customHeight="false" outlineLevel="0" collapsed="false">
      <c r="B48" s="19"/>
      <c r="C48" s="17" t="str">
        <f aca="false">IF(B48="","",IFERROR(INDEX(Players!$C$5:$C$104,MATCH(B48,Players!$B$5:$B$104,0)),"ID not found"))</f>
        <v/>
      </c>
      <c r="D48" s="19"/>
      <c r="E48" s="19"/>
      <c r="F48" s="19"/>
      <c r="G48" s="19"/>
      <c r="H48" s="19"/>
      <c r="I48" s="20"/>
      <c r="J48" s="19"/>
      <c r="K48" s="19"/>
    </row>
    <row r="49" customFormat="false" ht="15" hidden="false" customHeight="false" outlineLevel="0" collapsed="false">
      <c r="B49" s="19"/>
      <c r="C49" s="17" t="str">
        <f aca="false">IF(B49="","",IFERROR(INDEX(Players!$C$5:$C$104,MATCH(B49,Players!$B$5:$B$104,0)),"ID not found"))</f>
        <v/>
      </c>
      <c r="D49" s="19"/>
      <c r="E49" s="19"/>
      <c r="F49" s="19"/>
      <c r="G49" s="19"/>
      <c r="H49" s="19"/>
      <c r="I49" s="20"/>
      <c r="J49" s="19"/>
      <c r="K49" s="19"/>
    </row>
    <row r="50" customFormat="false" ht="15" hidden="false" customHeight="false" outlineLevel="0" collapsed="false">
      <c r="B50" s="19"/>
      <c r="C50" s="17" t="str">
        <f aca="false">IF(B50="","",IFERROR(INDEX(Players!$C$5:$C$104,MATCH(B50,Players!$B$5:$B$104,0)),"ID not found"))</f>
        <v/>
      </c>
      <c r="D50" s="19"/>
      <c r="E50" s="19"/>
      <c r="F50" s="19"/>
      <c r="G50" s="19"/>
      <c r="H50" s="19"/>
      <c r="I50" s="20"/>
      <c r="J50" s="19"/>
      <c r="K50" s="19"/>
    </row>
    <row r="51" customFormat="false" ht="15" hidden="false" customHeight="false" outlineLevel="0" collapsed="false">
      <c r="B51" s="19"/>
      <c r="C51" s="17" t="str">
        <f aca="false">IF(B51="","",IFERROR(INDEX(Players!$C$5:$C$104,MATCH(B51,Players!$B$5:$B$104,0)),"ID not found"))</f>
        <v/>
      </c>
      <c r="D51" s="19"/>
      <c r="E51" s="19"/>
      <c r="F51" s="19"/>
      <c r="G51" s="19"/>
      <c r="H51" s="19"/>
      <c r="I51" s="20"/>
      <c r="J51" s="19"/>
      <c r="K51" s="19"/>
    </row>
    <row r="52" customFormat="false" ht="15" hidden="false" customHeight="false" outlineLevel="0" collapsed="false">
      <c r="B52" s="19"/>
      <c r="C52" s="17" t="str">
        <f aca="false">IF(B52="","",IFERROR(INDEX(Players!$C$5:$C$104,MATCH(B52,Players!$B$5:$B$104,0)),"ID not found"))</f>
        <v/>
      </c>
      <c r="D52" s="19"/>
      <c r="E52" s="19"/>
      <c r="F52" s="19"/>
      <c r="G52" s="19"/>
      <c r="H52" s="19"/>
      <c r="I52" s="20"/>
      <c r="J52" s="19"/>
      <c r="K52" s="19"/>
    </row>
    <row r="53" customFormat="false" ht="15" hidden="false" customHeight="false" outlineLevel="0" collapsed="false">
      <c r="B53" s="19"/>
      <c r="C53" s="17" t="str">
        <f aca="false">IF(B53="","",IFERROR(INDEX(Players!$C$5:$C$104,MATCH(B53,Players!$B$5:$B$104,0)),"ID not found"))</f>
        <v/>
      </c>
      <c r="D53" s="19"/>
      <c r="E53" s="19"/>
      <c r="F53" s="19"/>
      <c r="G53" s="19"/>
      <c r="H53" s="19"/>
      <c r="I53" s="20"/>
      <c r="J53" s="19"/>
      <c r="K53" s="19"/>
    </row>
    <row r="54" customFormat="false" ht="15" hidden="false" customHeight="false" outlineLevel="0" collapsed="false">
      <c r="B54" s="19"/>
      <c r="C54" s="17" t="str">
        <f aca="false">IF(B54="","",IFERROR(INDEX(Players!$C$5:$C$104,MATCH(B54,Players!$B$5:$B$104,0)),"ID not found"))</f>
        <v/>
      </c>
      <c r="D54" s="19"/>
      <c r="E54" s="19"/>
      <c r="F54" s="19"/>
      <c r="G54" s="19"/>
      <c r="H54" s="19"/>
      <c r="I54" s="20"/>
      <c r="J54" s="19"/>
      <c r="K54" s="19"/>
    </row>
    <row r="55" customFormat="false" ht="15" hidden="false" customHeight="false" outlineLevel="0" collapsed="false">
      <c r="B55" s="19"/>
      <c r="C55" s="17" t="str">
        <f aca="false">IF(B55="","",IFERROR(INDEX(Players!$C$5:$C$104,MATCH(B55,Players!$B$5:$B$104,0)),"ID not found"))</f>
        <v/>
      </c>
      <c r="D55" s="19"/>
      <c r="E55" s="19"/>
      <c r="F55" s="19"/>
      <c r="G55" s="19"/>
      <c r="H55" s="19"/>
      <c r="I55" s="20"/>
      <c r="J55" s="19"/>
      <c r="K55" s="19"/>
    </row>
    <row r="56" customFormat="false" ht="15" hidden="false" customHeight="false" outlineLevel="0" collapsed="false">
      <c r="B56" s="19"/>
      <c r="C56" s="17" t="str">
        <f aca="false">IF(B56="","",IFERROR(INDEX(Players!$C$5:$C$104,MATCH(B56,Players!$B$5:$B$104,0)),"ID not found"))</f>
        <v/>
      </c>
      <c r="D56" s="19"/>
      <c r="E56" s="19"/>
      <c r="F56" s="19"/>
      <c r="G56" s="19"/>
      <c r="H56" s="19"/>
      <c r="I56" s="20"/>
      <c r="J56" s="19"/>
      <c r="K56" s="19"/>
    </row>
    <row r="57" customFormat="false" ht="15" hidden="false" customHeight="false" outlineLevel="0" collapsed="false">
      <c r="B57" s="19"/>
      <c r="C57" s="17" t="str">
        <f aca="false">IF(B57="","",IFERROR(INDEX(Players!$C$5:$C$104,MATCH(B57,Players!$B$5:$B$104,0)),"ID not found"))</f>
        <v/>
      </c>
      <c r="D57" s="19"/>
      <c r="E57" s="19"/>
      <c r="F57" s="19"/>
      <c r="G57" s="19"/>
      <c r="H57" s="19"/>
      <c r="I57" s="20"/>
      <c r="J57" s="19"/>
      <c r="K57" s="19"/>
    </row>
    <row r="58" customFormat="false" ht="15" hidden="false" customHeight="false" outlineLevel="0" collapsed="false">
      <c r="B58" s="19"/>
      <c r="C58" s="17" t="str">
        <f aca="false">IF(B58="","",IFERROR(INDEX(Players!$C$5:$C$104,MATCH(B58,Players!$B$5:$B$104,0)),"ID not found"))</f>
        <v/>
      </c>
      <c r="D58" s="19"/>
      <c r="E58" s="19"/>
      <c r="F58" s="19"/>
      <c r="G58" s="19"/>
      <c r="H58" s="19"/>
      <c r="I58" s="20"/>
      <c r="J58" s="19"/>
      <c r="K58" s="19"/>
    </row>
    <row r="59" customFormat="false" ht="15" hidden="false" customHeight="false" outlineLevel="0" collapsed="false">
      <c r="B59" s="19"/>
      <c r="C59" s="17" t="str">
        <f aca="false">IF(B59="","",IFERROR(INDEX(Players!$C$5:$C$104,MATCH(B59,Players!$B$5:$B$104,0)),"ID not found"))</f>
        <v/>
      </c>
      <c r="D59" s="19"/>
      <c r="E59" s="19"/>
      <c r="F59" s="19"/>
      <c r="G59" s="19"/>
      <c r="H59" s="19"/>
      <c r="I59" s="20"/>
      <c r="J59" s="19"/>
      <c r="K59" s="19"/>
    </row>
    <row r="60" customFormat="false" ht="15" hidden="false" customHeight="false" outlineLevel="0" collapsed="false">
      <c r="B60" s="19"/>
      <c r="C60" s="17" t="str">
        <f aca="false">IF(B60="","",IFERROR(INDEX(Players!$C$5:$C$104,MATCH(B60,Players!$B$5:$B$104,0)),"ID not found"))</f>
        <v/>
      </c>
      <c r="D60" s="19"/>
      <c r="E60" s="19"/>
      <c r="F60" s="19"/>
      <c r="G60" s="19"/>
      <c r="H60" s="19"/>
      <c r="I60" s="20"/>
      <c r="J60" s="19"/>
      <c r="K60" s="19"/>
    </row>
    <row r="61" customFormat="false" ht="15" hidden="false" customHeight="false" outlineLevel="0" collapsed="false">
      <c r="B61" s="19"/>
      <c r="C61" s="17" t="str">
        <f aca="false">IF(B61="","",IFERROR(INDEX(Players!$C$5:$C$104,MATCH(B61,Players!$B$5:$B$104,0)),"ID not found"))</f>
        <v/>
      </c>
      <c r="D61" s="19"/>
      <c r="E61" s="19"/>
      <c r="F61" s="19"/>
      <c r="G61" s="19"/>
      <c r="H61" s="19"/>
      <c r="I61" s="20"/>
      <c r="J61" s="19"/>
      <c r="K61" s="19"/>
    </row>
    <row r="62" customFormat="false" ht="15" hidden="false" customHeight="false" outlineLevel="0" collapsed="false">
      <c r="B62" s="19"/>
      <c r="C62" s="17" t="str">
        <f aca="false">IF(B62="","",IFERROR(INDEX(Players!$C$5:$C$104,MATCH(B62,Players!$B$5:$B$104,0)),"ID not found"))</f>
        <v/>
      </c>
      <c r="D62" s="19"/>
      <c r="E62" s="19"/>
      <c r="F62" s="19"/>
      <c r="G62" s="19"/>
      <c r="H62" s="19"/>
      <c r="I62" s="20"/>
      <c r="J62" s="19"/>
      <c r="K62" s="19"/>
    </row>
    <row r="63" customFormat="false" ht="15" hidden="false" customHeight="false" outlineLevel="0" collapsed="false">
      <c r="B63" s="19"/>
      <c r="C63" s="17" t="str">
        <f aca="false">IF(B63="","",IFERROR(INDEX(Players!$C$5:$C$104,MATCH(B63,Players!$B$5:$B$104,0)),"ID not found"))</f>
        <v/>
      </c>
      <c r="D63" s="19"/>
      <c r="E63" s="19"/>
      <c r="F63" s="19"/>
      <c r="G63" s="19"/>
      <c r="H63" s="19"/>
      <c r="I63" s="20"/>
      <c r="J63" s="19"/>
      <c r="K63" s="19"/>
    </row>
    <row r="64" customFormat="false" ht="15" hidden="false" customHeight="false" outlineLevel="0" collapsed="false">
      <c r="B64" s="19"/>
      <c r="C64" s="17" t="str">
        <f aca="false">IF(B64="","",IFERROR(INDEX(Players!$C$5:$C$104,MATCH(B64,Players!$B$5:$B$104,0)),"ID not found"))</f>
        <v/>
      </c>
      <c r="D64" s="19"/>
      <c r="E64" s="19"/>
      <c r="F64" s="19"/>
      <c r="G64" s="19"/>
      <c r="H64" s="19"/>
      <c r="I64" s="20"/>
      <c r="J64" s="19"/>
      <c r="K64" s="19"/>
    </row>
  </sheetData>
  <dataValidations count="2">
    <dataValidation allowBlank="true" errorStyle="stop" operator="between" showDropDown="false" showErrorMessage="false" showInputMessage="false" sqref="B5:B64" type="list">
      <formula1>Players!$B$5:$B$104</formula1>
      <formula2>0</formula2>
    </dataValidation>
    <dataValidation allowBlank="true" errorStyle="stop" operator="between" showDropDown="false" showErrorMessage="false" showInputMessage="false" sqref="K5:K64" type="list">
      <formula1>"Y,N"</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1:U1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4" min="4" style="0" width="20"/>
    <col collapsed="false" customWidth="true" hidden="false" outlineLevel="0" max="5" min="5" style="0" width="10"/>
    <col collapsed="false" customWidth="true" hidden="false" outlineLevel="0" max="6" min="6" style="0" width="9"/>
    <col collapsed="false" customWidth="true" hidden="false" outlineLevel="0" max="7" min="7" style="0" width="26"/>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1" min="11" style="0" width="12"/>
    <col collapsed="false" customWidth="true" hidden="false" outlineLevel="0" max="15" min="12" style="0" width="11"/>
    <col collapsed="false" customWidth="true" hidden="false" outlineLevel="0" max="16" min="16" style="0" width="9"/>
    <col collapsed="false" customWidth="true" hidden="false" outlineLevel="0" max="17" min="17" style="0" width="20"/>
    <col collapsed="false" customWidth="true" hidden="false" outlineLevel="0" max="18" min="18" style="0" width="30"/>
    <col collapsed="false" customWidth="true" hidden="false" outlineLevel="0" max="19" min="19" style="0" width="8"/>
    <col collapsed="false" customWidth="true" hidden="false" outlineLevel="0" max="20" min="20" style="0" width="9"/>
    <col collapsed="false" customWidth="true" hidden="false" outlineLevel="0" max="21" min="21" style="0" width="30"/>
  </cols>
  <sheetData>
    <row r="1" customFormat="false" ht="15" hidden="false" customHeight="false" outlineLevel="0" collapsed="false">
      <c r="B1" s="12" t="s">
        <v>24</v>
      </c>
    </row>
    <row r="2" customFormat="false" ht="22.05" hidden="false" customHeight="false" outlineLevel="0" collapsed="false">
      <c r="B2" s="13" t="s">
        <v>1620</v>
      </c>
    </row>
    <row r="3" customFormat="false" ht="15" hidden="false" customHeight="false" outlineLevel="0" collapsed="false">
      <c r="B3" s="14" t="s">
        <v>1621</v>
      </c>
    </row>
    <row r="4" customFormat="false" ht="30" hidden="false" customHeight="true" outlineLevel="0" collapsed="false">
      <c r="B4" s="15" t="s">
        <v>1622</v>
      </c>
      <c r="C4" s="15" t="s">
        <v>151</v>
      </c>
      <c r="D4" s="15" t="s">
        <v>152</v>
      </c>
      <c r="E4" s="15" t="s">
        <v>1623</v>
      </c>
      <c r="F4" s="15" t="s">
        <v>1560</v>
      </c>
      <c r="G4" s="15" t="s">
        <v>1624</v>
      </c>
      <c r="H4" s="15" t="s">
        <v>1625</v>
      </c>
      <c r="I4" s="15" t="s">
        <v>1561</v>
      </c>
      <c r="J4" s="15" t="s">
        <v>1626</v>
      </c>
      <c r="K4" s="15" t="s">
        <v>1627</v>
      </c>
      <c r="L4" s="15" t="s">
        <v>1628</v>
      </c>
      <c r="M4" s="15" t="s">
        <v>1629</v>
      </c>
      <c r="N4" s="15" t="s">
        <v>1630</v>
      </c>
      <c r="O4" s="15" t="s">
        <v>1631</v>
      </c>
      <c r="P4" s="15" t="s">
        <v>1632</v>
      </c>
      <c r="Q4" s="15" t="s">
        <v>1633</v>
      </c>
      <c r="R4" s="15" t="s">
        <v>160</v>
      </c>
      <c r="S4" s="15" t="s">
        <v>1634</v>
      </c>
      <c r="T4" s="15" t="s">
        <v>1635</v>
      </c>
      <c r="U4" s="15" t="s">
        <v>1636</v>
      </c>
    </row>
    <row r="5" customFormat="false" ht="15" hidden="false" customHeight="false" outlineLevel="0" collapsed="false">
      <c r="B5" s="26"/>
      <c r="C5" s="27"/>
      <c r="D5" s="28" t="str">
        <f aca="false">IF(C5="","",IFERROR(INDEX(Players!$C$5:$C$104,MATCH(C5,Players!$B$5:$B$104,0)),"ID not found"))</f>
        <v/>
      </c>
      <c r="E5" s="27"/>
      <c r="F5" s="27"/>
      <c r="G5" s="28" t="str">
        <f aca="false">IF(F5="","",IFERROR(INDEX('Hitting Drills'!$D$6:$D$45,MATCH(F5,'Hitting Drills'!$B$6:$B$45,0)),"Not a hitting drill ID"))</f>
        <v/>
      </c>
      <c r="H5" s="27"/>
      <c r="I5" s="27"/>
      <c r="J5" s="27"/>
      <c r="K5" s="27"/>
      <c r="L5" s="27"/>
      <c r="M5" s="27"/>
      <c r="N5" s="27"/>
      <c r="O5" s="27"/>
      <c r="P5" s="27"/>
      <c r="Q5" s="27"/>
      <c r="R5" s="27"/>
      <c r="S5" s="29" t="str">
        <f aca="false">IF(OR(B5="",C5=""),"",IF(COUNTIFS($B$5:B5,B5,$C$5:C5,C5)=1,1,0))</f>
        <v/>
      </c>
      <c r="T5" s="29" t="str">
        <f aca="false">IF(OR(B5="",C5="",E5=""),"",IF(COUNTIFS($B$5:B5,B5,$C$5:C5,C5,$E$5:E5,E5)=1,1,0))</f>
        <v/>
      </c>
      <c r="U5" s="28" t="str">
        <f aca="false">IF(COUNTA(B5:C5,E5:F5,H5:P5)=0,"",IF(OR(B5="",C5="",E5=""),"Check: date, player, and context required",IF(AND(ISNUMBER(J5),ISNUMBER(I5),J5&gt;I5),"Check: solid contacts &gt; swings",IF(AND(ISNUMBER(L5),ISNUMBER(K5),L5&gt;K5),"Check: correct &gt; assessed decisions",IF(AND(ISNUMBER(N5),ISNUMBER(M5),N5&gt;M5),"Check: intended &gt; assessed landings",IF(AND(ISNUMBER(J5),I5=""),"Check: solid contacts without swings","OK"))))))</f>
        <v/>
      </c>
    </row>
    <row r="6" customFormat="false" ht="15" hidden="false" customHeight="false" outlineLevel="0" collapsed="false">
      <c r="B6" s="26"/>
      <c r="C6" s="27"/>
      <c r="D6" s="28" t="str">
        <f aca="false">IF(C6="","",IFERROR(INDEX(Players!$C$5:$C$104,MATCH(C6,Players!$B$5:$B$104,0)),"ID not found"))</f>
        <v/>
      </c>
      <c r="E6" s="27"/>
      <c r="F6" s="27"/>
      <c r="G6" s="28" t="str">
        <f aca="false">IF(F6="","",IFERROR(INDEX('Hitting Drills'!$D$6:$D$45,MATCH(F6,'Hitting Drills'!$B$6:$B$45,0)),"Not a hitting drill ID"))</f>
        <v/>
      </c>
      <c r="H6" s="27"/>
      <c r="I6" s="27"/>
      <c r="J6" s="27"/>
      <c r="K6" s="27"/>
      <c r="L6" s="27"/>
      <c r="M6" s="27"/>
      <c r="N6" s="27"/>
      <c r="O6" s="27"/>
      <c r="P6" s="27"/>
      <c r="Q6" s="27"/>
      <c r="R6" s="27"/>
      <c r="S6" s="29" t="str">
        <f aca="false">IF(OR(B6="",C6=""),"",IF(COUNTIFS($B$5:B6,B6,$C$5:C6,C6)=1,1,0))</f>
        <v/>
      </c>
      <c r="T6" s="29" t="str">
        <f aca="false">IF(OR(B6="",C6="",E6=""),"",IF(COUNTIFS($B$5:B6,B6,$C$5:C6,C6,$E$5:E6,E6)=1,1,0))</f>
        <v/>
      </c>
      <c r="U6" s="28" t="str">
        <f aca="false">IF(COUNTA(B6:C6,E6:F6,H6:P6)=0,"",IF(OR(B6="",C6="",E6=""),"Check: date, player, and context required",IF(AND(ISNUMBER(J6),ISNUMBER(I6),J6&gt;I6),"Check: solid contacts &gt; swings",IF(AND(ISNUMBER(L6),ISNUMBER(K6),L6&gt;K6),"Check: correct &gt; assessed decisions",IF(AND(ISNUMBER(N6),ISNUMBER(M6),N6&gt;M6),"Check: intended &gt; assessed landings",IF(AND(ISNUMBER(J6),I6=""),"Check: solid contacts without swings","OK"))))))</f>
        <v/>
      </c>
    </row>
    <row r="7" customFormat="false" ht="15" hidden="false" customHeight="false" outlineLevel="0" collapsed="false">
      <c r="B7" s="26"/>
      <c r="C7" s="27"/>
      <c r="D7" s="28" t="str">
        <f aca="false">IF(C7="","",IFERROR(INDEX(Players!$C$5:$C$104,MATCH(C7,Players!$B$5:$B$104,0)),"ID not found"))</f>
        <v/>
      </c>
      <c r="E7" s="27"/>
      <c r="F7" s="27"/>
      <c r="G7" s="28" t="str">
        <f aca="false">IF(F7="","",IFERROR(INDEX('Hitting Drills'!$D$6:$D$45,MATCH(F7,'Hitting Drills'!$B$6:$B$45,0)),"Not a hitting drill ID"))</f>
        <v/>
      </c>
      <c r="H7" s="27"/>
      <c r="I7" s="27"/>
      <c r="J7" s="27"/>
      <c r="K7" s="27"/>
      <c r="L7" s="27"/>
      <c r="M7" s="27"/>
      <c r="N7" s="27"/>
      <c r="O7" s="27"/>
      <c r="P7" s="27"/>
      <c r="Q7" s="27"/>
      <c r="R7" s="27"/>
      <c r="S7" s="29" t="str">
        <f aca="false">IF(OR(B7="",C7=""),"",IF(COUNTIFS($B$5:B7,B7,$C$5:C7,C7)=1,1,0))</f>
        <v/>
      </c>
      <c r="T7" s="29" t="str">
        <f aca="false">IF(OR(B7="",C7="",E7=""),"",IF(COUNTIFS($B$5:B7,B7,$C$5:C7,C7,$E$5:E7,E7)=1,1,0))</f>
        <v/>
      </c>
      <c r="U7" s="28" t="str">
        <f aca="false">IF(COUNTA(B7:C7,E7:F7,H7:P7)=0,"",IF(OR(B7="",C7="",E7=""),"Check: date, player, and context required",IF(AND(ISNUMBER(J7),ISNUMBER(I7),J7&gt;I7),"Check: solid contacts &gt; swings",IF(AND(ISNUMBER(L7),ISNUMBER(K7),L7&gt;K7),"Check: correct &gt; assessed decisions",IF(AND(ISNUMBER(N7),ISNUMBER(M7),N7&gt;M7),"Check: intended &gt; assessed landings",IF(AND(ISNUMBER(J7),I7=""),"Check: solid contacts without swings","OK"))))))</f>
        <v/>
      </c>
    </row>
    <row r="8" customFormat="false" ht="15" hidden="false" customHeight="false" outlineLevel="0" collapsed="false">
      <c r="B8" s="26"/>
      <c r="C8" s="27"/>
      <c r="D8" s="28" t="str">
        <f aca="false">IF(C8="","",IFERROR(INDEX(Players!$C$5:$C$104,MATCH(C8,Players!$B$5:$B$104,0)),"ID not found"))</f>
        <v/>
      </c>
      <c r="E8" s="27"/>
      <c r="F8" s="27"/>
      <c r="G8" s="28" t="str">
        <f aca="false">IF(F8="","",IFERROR(INDEX('Hitting Drills'!$D$6:$D$45,MATCH(F8,'Hitting Drills'!$B$6:$B$45,0)),"Not a hitting drill ID"))</f>
        <v/>
      </c>
      <c r="H8" s="27"/>
      <c r="I8" s="27"/>
      <c r="J8" s="27"/>
      <c r="K8" s="27"/>
      <c r="L8" s="27"/>
      <c r="M8" s="27"/>
      <c r="N8" s="27"/>
      <c r="O8" s="27"/>
      <c r="P8" s="27"/>
      <c r="Q8" s="27"/>
      <c r="R8" s="27"/>
      <c r="S8" s="29" t="str">
        <f aca="false">IF(OR(B8="",C8=""),"",IF(COUNTIFS($B$5:B8,B8,$C$5:C8,C8)=1,1,0))</f>
        <v/>
      </c>
      <c r="T8" s="29" t="str">
        <f aca="false">IF(OR(B8="",C8="",E8=""),"",IF(COUNTIFS($B$5:B8,B8,$C$5:C8,C8,$E$5:E8,E8)=1,1,0))</f>
        <v/>
      </c>
      <c r="U8" s="28" t="str">
        <f aca="false">IF(COUNTA(B8:C8,E8:F8,H8:P8)=0,"",IF(OR(B8="",C8="",E8=""),"Check: date, player, and context required",IF(AND(ISNUMBER(J8),ISNUMBER(I8),J8&gt;I8),"Check: solid contacts &gt; swings",IF(AND(ISNUMBER(L8),ISNUMBER(K8),L8&gt;K8),"Check: correct &gt; assessed decisions",IF(AND(ISNUMBER(N8),ISNUMBER(M8),N8&gt;M8),"Check: intended &gt; assessed landings",IF(AND(ISNUMBER(J8),I8=""),"Check: solid contacts without swings","OK"))))))</f>
        <v/>
      </c>
    </row>
    <row r="9" customFormat="false" ht="15" hidden="false" customHeight="false" outlineLevel="0" collapsed="false">
      <c r="B9" s="26"/>
      <c r="C9" s="27"/>
      <c r="D9" s="28" t="str">
        <f aca="false">IF(C9="","",IFERROR(INDEX(Players!$C$5:$C$104,MATCH(C9,Players!$B$5:$B$104,0)),"ID not found"))</f>
        <v/>
      </c>
      <c r="E9" s="27"/>
      <c r="F9" s="27"/>
      <c r="G9" s="28" t="str">
        <f aca="false">IF(F9="","",IFERROR(INDEX('Hitting Drills'!$D$6:$D$45,MATCH(F9,'Hitting Drills'!$B$6:$B$45,0)),"Not a hitting drill ID"))</f>
        <v/>
      </c>
      <c r="H9" s="27"/>
      <c r="I9" s="27"/>
      <c r="J9" s="27"/>
      <c r="K9" s="27"/>
      <c r="L9" s="27"/>
      <c r="M9" s="27"/>
      <c r="N9" s="27"/>
      <c r="O9" s="27"/>
      <c r="P9" s="27"/>
      <c r="Q9" s="27"/>
      <c r="R9" s="27"/>
      <c r="S9" s="29" t="str">
        <f aca="false">IF(OR(B9="",C9=""),"",IF(COUNTIFS($B$5:B9,B9,$C$5:C9,C9)=1,1,0))</f>
        <v/>
      </c>
      <c r="T9" s="29" t="str">
        <f aca="false">IF(OR(B9="",C9="",E9=""),"",IF(COUNTIFS($B$5:B9,B9,$C$5:C9,C9,$E$5:E9,E9)=1,1,0))</f>
        <v/>
      </c>
      <c r="U9" s="28" t="str">
        <f aca="false">IF(COUNTA(B9:C9,E9:F9,H9:P9)=0,"",IF(OR(B9="",C9="",E9=""),"Check: date, player, and context required",IF(AND(ISNUMBER(J9),ISNUMBER(I9),J9&gt;I9),"Check: solid contacts &gt; swings",IF(AND(ISNUMBER(L9),ISNUMBER(K9),L9&gt;K9),"Check: correct &gt; assessed decisions",IF(AND(ISNUMBER(N9),ISNUMBER(M9),N9&gt;M9),"Check: intended &gt; assessed landings",IF(AND(ISNUMBER(J9),I9=""),"Check: solid contacts without swings","OK"))))))</f>
        <v/>
      </c>
    </row>
    <row r="10" customFormat="false" ht="15" hidden="false" customHeight="false" outlineLevel="0" collapsed="false">
      <c r="B10" s="26"/>
      <c r="C10" s="27"/>
      <c r="D10" s="28" t="str">
        <f aca="false">IF(C10="","",IFERROR(INDEX(Players!$C$5:$C$104,MATCH(C10,Players!$B$5:$B$104,0)),"ID not found"))</f>
        <v/>
      </c>
      <c r="E10" s="27"/>
      <c r="F10" s="27"/>
      <c r="G10" s="28" t="str">
        <f aca="false">IF(F10="","",IFERROR(INDEX('Hitting Drills'!$D$6:$D$45,MATCH(F10,'Hitting Drills'!$B$6:$B$45,0)),"Not a hitting drill ID"))</f>
        <v/>
      </c>
      <c r="H10" s="27"/>
      <c r="I10" s="27"/>
      <c r="J10" s="27"/>
      <c r="K10" s="27"/>
      <c r="L10" s="27"/>
      <c r="M10" s="27"/>
      <c r="N10" s="27"/>
      <c r="O10" s="27"/>
      <c r="P10" s="27"/>
      <c r="Q10" s="27"/>
      <c r="R10" s="27"/>
      <c r="S10" s="29" t="str">
        <f aca="false">IF(OR(B10="",C10=""),"",IF(COUNTIFS($B$5:B10,B10,$C$5:C10,C10)=1,1,0))</f>
        <v/>
      </c>
      <c r="T10" s="29" t="str">
        <f aca="false">IF(OR(B10="",C10="",E10=""),"",IF(COUNTIFS($B$5:B10,B10,$C$5:C10,C10,$E$5:E10,E10)=1,1,0))</f>
        <v/>
      </c>
      <c r="U10" s="28" t="str">
        <f aca="false">IF(COUNTA(B10:C10,E10:F10,H10:P10)=0,"",IF(OR(B10="",C10="",E10=""),"Check: date, player, and context required",IF(AND(ISNUMBER(J10),ISNUMBER(I10),J10&gt;I10),"Check: solid contacts &gt; swings",IF(AND(ISNUMBER(L10),ISNUMBER(K10),L10&gt;K10),"Check: correct &gt; assessed decisions",IF(AND(ISNUMBER(N10),ISNUMBER(M10),N10&gt;M10),"Check: intended &gt; assessed landings",IF(AND(ISNUMBER(J10),I10=""),"Check: solid contacts without swings","OK"))))))</f>
        <v/>
      </c>
    </row>
    <row r="11" customFormat="false" ht="15" hidden="false" customHeight="false" outlineLevel="0" collapsed="false">
      <c r="B11" s="26"/>
      <c r="C11" s="27"/>
      <c r="D11" s="28" t="str">
        <f aca="false">IF(C11="","",IFERROR(INDEX(Players!$C$5:$C$104,MATCH(C11,Players!$B$5:$B$104,0)),"ID not found"))</f>
        <v/>
      </c>
      <c r="E11" s="27"/>
      <c r="F11" s="27"/>
      <c r="G11" s="28" t="str">
        <f aca="false">IF(F11="","",IFERROR(INDEX('Hitting Drills'!$D$6:$D$45,MATCH(F11,'Hitting Drills'!$B$6:$B$45,0)),"Not a hitting drill ID"))</f>
        <v/>
      </c>
      <c r="H11" s="27"/>
      <c r="I11" s="27"/>
      <c r="J11" s="27"/>
      <c r="K11" s="27"/>
      <c r="L11" s="27"/>
      <c r="M11" s="27"/>
      <c r="N11" s="27"/>
      <c r="O11" s="27"/>
      <c r="P11" s="27"/>
      <c r="Q11" s="27"/>
      <c r="R11" s="27"/>
      <c r="S11" s="29" t="str">
        <f aca="false">IF(OR(B11="",C11=""),"",IF(COUNTIFS($B$5:B11,B11,$C$5:C11,C11)=1,1,0))</f>
        <v/>
      </c>
      <c r="T11" s="29" t="str">
        <f aca="false">IF(OR(B11="",C11="",E11=""),"",IF(COUNTIFS($B$5:B11,B11,$C$5:C11,C11,$E$5:E11,E11)=1,1,0))</f>
        <v/>
      </c>
      <c r="U11" s="28" t="str">
        <f aca="false">IF(COUNTA(B11:C11,E11:F11,H11:P11)=0,"",IF(OR(B11="",C11="",E11=""),"Check: date, player, and context required",IF(AND(ISNUMBER(J11),ISNUMBER(I11),J11&gt;I11),"Check: solid contacts &gt; swings",IF(AND(ISNUMBER(L11),ISNUMBER(K11),L11&gt;K11),"Check: correct &gt; assessed decisions",IF(AND(ISNUMBER(N11),ISNUMBER(M11),N11&gt;M11),"Check: intended &gt; assessed landings",IF(AND(ISNUMBER(J11),I11=""),"Check: solid contacts without swings","OK"))))))</f>
        <v/>
      </c>
    </row>
    <row r="12" customFormat="false" ht="15" hidden="false" customHeight="false" outlineLevel="0" collapsed="false">
      <c r="B12" s="26"/>
      <c r="C12" s="27"/>
      <c r="D12" s="28" t="str">
        <f aca="false">IF(C12="","",IFERROR(INDEX(Players!$C$5:$C$104,MATCH(C12,Players!$B$5:$B$104,0)),"ID not found"))</f>
        <v/>
      </c>
      <c r="E12" s="27"/>
      <c r="F12" s="27"/>
      <c r="G12" s="28" t="str">
        <f aca="false">IF(F12="","",IFERROR(INDEX('Hitting Drills'!$D$6:$D$45,MATCH(F12,'Hitting Drills'!$B$6:$B$45,0)),"Not a hitting drill ID"))</f>
        <v/>
      </c>
      <c r="H12" s="27"/>
      <c r="I12" s="27"/>
      <c r="J12" s="27"/>
      <c r="K12" s="27"/>
      <c r="L12" s="27"/>
      <c r="M12" s="27"/>
      <c r="N12" s="27"/>
      <c r="O12" s="27"/>
      <c r="P12" s="27"/>
      <c r="Q12" s="27"/>
      <c r="R12" s="27"/>
      <c r="S12" s="29" t="str">
        <f aca="false">IF(OR(B12="",C12=""),"",IF(COUNTIFS($B$5:B12,B12,$C$5:C12,C12)=1,1,0))</f>
        <v/>
      </c>
      <c r="T12" s="29" t="str">
        <f aca="false">IF(OR(B12="",C12="",E12=""),"",IF(COUNTIFS($B$5:B12,B12,$C$5:C12,C12,$E$5:E12,E12)=1,1,0))</f>
        <v/>
      </c>
      <c r="U12" s="28" t="str">
        <f aca="false">IF(COUNTA(B12:C12,E12:F12,H12:P12)=0,"",IF(OR(B12="",C12="",E12=""),"Check: date, player, and context required",IF(AND(ISNUMBER(J12),ISNUMBER(I12),J12&gt;I12),"Check: solid contacts &gt; swings",IF(AND(ISNUMBER(L12),ISNUMBER(K12),L12&gt;K12),"Check: correct &gt; assessed decisions",IF(AND(ISNUMBER(N12),ISNUMBER(M12),N12&gt;M12),"Check: intended &gt; assessed landings",IF(AND(ISNUMBER(J12),I12=""),"Check: solid contacts without swings","OK"))))))</f>
        <v/>
      </c>
    </row>
    <row r="13" customFormat="false" ht="15" hidden="false" customHeight="false" outlineLevel="0" collapsed="false">
      <c r="B13" s="26"/>
      <c r="C13" s="27"/>
      <c r="D13" s="28" t="str">
        <f aca="false">IF(C13="","",IFERROR(INDEX(Players!$C$5:$C$104,MATCH(C13,Players!$B$5:$B$104,0)),"ID not found"))</f>
        <v/>
      </c>
      <c r="E13" s="27"/>
      <c r="F13" s="27"/>
      <c r="G13" s="28" t="str">
        <f aca="false">IF(F13="","",IFERROR(INDEX('Hitting Drills'!$D$6:$D$45,MATCH(F13,'Hitting Drills'!$B$6:$B$45,0)),"Not a hitting drill ID"))</f>
        <v/>
      </c>
      <c r="H13" s="27"/>
      <c r="I13" s="27"/>
      <c r="J13" s="27"/>
      <c r="K13" s="27"/>
      <c r="L13" s="27"/>
      <c r="M13" s="27"/>
      <c r="N13" s="27"/>
      <c r="O13" s="27"/>
      <c r="P13" s="27"/>
      <c r="Q13" s="27"/>
      <c r="R13" s="27"/>
      <c r="S13" s="29" t="str">
        <f aca="false">IF(OR(B13="",C13=""),"",IF(COUNTIFS($B$5:B13,B13,$C$5:C13,C13)=1,1,0))</f>
        <v/>
      </c>
      <c r="T13" s="29" t="str">
        <f aca="false">IF(OR(B13="",C13="",E13=""),"",IF(COUNTIFS($B$5:B13,B13,$C$5:C13,C13,$E$5:E13,E13)=1,1,0))</f>
        <v/>
      </c>
      <c r="U13" s="28" t="str">
        <f aca="false">IF(COUNTA(B13:C13,E13:F13,H13:P13)=0,"",IF(OR(B13="",C13="",E13=""),"Check: date, player, and context required",IF(AND(ISNUMBER(J13),ISNUMBER(I13),J13&gt;I13),"Check: solid contacts &gt; swings",IF(AND(ISNUMBER(L13),ISNUMBER(K13),L13&gt;K13),"Check: correct &gt; assessed decisions",IF(AND(ISNUMBER(N13),ISNUMBER(M13),N13&gt;M13),"Check: intended &gt; assessed landings",IF(AND(ISNUMBER(J13),I13=""),"Check: solid contacts without swings","OK"))))))</f>
        <v/>
      </c>
    </row>
    <row r="14" customFormat="false" ht="15" hidden="false" customHeight="false" outlineLevel="0" collapsed="false">
      <c r="B14" s="26"/>
      <c r="C14" s="27"/>
      <c r="D14" s="28" t="str">
        <f aca="false">IF(C14="","",IFERROR(INDEX(Players!$C$5:$C$104,MATCH(C14,Players!$B$5:$B$104,0)),"ID not found"))</f>
        <v/>
      </c>
      <c r="E14" s="27"/>
      <c r="F14" s="27"/>
      <c r="G14" s="28" t="str">
        <f aca="false">IF(F14="","",IFERROR(INDEX('Hitting Drills'!$D$6:$D$45,MATCH(F14,'Hitting Drills'!$B$6:$B$45,0)),"Not a hitting drill ID"))</f>
        <v/>
      </c>
      <c r="H14" s="27"/>
      <c r="I14" s="27"/>
      <c r="J14" s="27"/>
      <c r="K14" s="27"/>
      <c r="L14" s="27"/>
      <c r="M14" s="27"/>
      <c r="N14" s="27"/>
      <c r="O14" s="27"/>
      <c r="P14" s="27"/>
      <c r="Q14" s="27"/>
      <c r="R14" s="27"/>
      <c r="S14" s="29" t="str">
        <f aca="false">IF(OR(B14="",C14=""),"",IF(COUNTIFS($B$5:B14,B14,$C$5:C14,C14)=1,1,0))</f>
        <v/>
      </c>
      <c r="T14" s="29" t="str">
        <f aca="false">IF(OR(B14="",C14="",E14=""),"",IF(COUNTIFS($B$5:B14,B14,$C$5:C14,C14,$E$5:E14,E14)=1,1,0))</f>
        <v/>
      </c>
      <c r="U14" s="28" t="str">
        <f aca="false">IF(COUNTA(B14:C14,E14:F14,H14:P14)=0,"",IF(OR(B14="",C14="",E14=""),"Check: date, player, and context required",IF(AND(ISNUMBER(J14),ISNUMBER(I14),J14&gt;I14),"Check: solid contacts &gt; swings",IF(AND(ISNUMBER(L14),ISNUMBER(K14),L14&gt;K14),"Check: correct &gt; assessed decisions",IF(AND(ISNUMBER(N14),ISNUMBER(M14),N14&gt;M14),"Check: intended &gt; assessed landings",IF(AND(ISNUMBER(J14),I14=""),"Check: solid contacts without swings","OK"))))))</f>
        <v/>
      </c>
    </row>
    <row r="15" customFormat="false" ht="15" hidden="false" customHeight="false" outlineLevel="0" collapsed="false">
      <c r="B15" s="26"/>
      <c r="C15" s="27"/>
      <c r="D15" s="28" t="str">
        <f aca="false">IF(C15="","",IFERROR(INDEX(Players!$C$5:$C$104,MATCH(C15,Players!$B$5:$B$104,0)),"ID not found"))</f>
        <v/>
      </c>
      <c r="E15" s="27"/>
      <c r="F15" s="27"/>
      <c r="G15" s="28" t="str">
        <f aca="false">IF(F15="","",IFERROR(INDEX('Hitting Drills'!$D$6:$D$45,MATCH(F15,'Hitting Drills'!$B$6:$B$45,0)),"Not a hitting drill ID"))</f>
        <v/>
      </c>
      <c r="H15" s="27"/>
      <c r="I15" s="27"/>
      <c r="J15" s="27"/>
      <c r="K15" s="27"/>
      <c r="L15" s="27"/>
      <c r="M15" s="27"/>
      <c r="N15" s="27"/>
      <c r="O15" s="27"/>
      <c r="P15" s="27"/>
      <c r="Q15" s="27"/>
      <c r="R15" s="27"/>
      <c r="S15" s="29" t="str">
        <f aca="false">IF(OR(B15="",C15=""),"",IF(COUNTIFS($B$5:B15,B15,$C$5:C15,C15)=1,1,0))</f>
        <v/>
      </c>
      <c r="T15" s="29" t="str">
        <f aca="false">IF(OR(B15="",C15="",E15=""),"",IF(COUNTIFS($B$5:B15,B15,$C$5:C15,C15,$E$5:E15,E15)=1,1,0))</f>
        <v/>
      </c>
      <c r="U15" s="28" t="str">
        <f aca="false">IF(COUNTA(B15:C15,E15:F15,H15:P15)=0,"",IF(OR(B15="",C15="",E15=""),"Check: date, player, and context required",IF(AND(ISNUMBER(J15),ISNUMBER(I15),J15&gt;I15),"Check: solid contacts &gt; swings",IF(AND(ISNUMBER(L15),ISNUMBER(K15),L15&gt;K15),"Check: correct &gt; assessed decisions",IF(AND(ISNUMBER(N15),ISNUMBER(M15),N15&gt;M15),"Check: intended &gt; assessed landings",IF(AND(ISNUMBER(J15),I15=""),"Check: solid contacts without swings","OK"))))))</f>
        <v/>
      </c>
    </row>
    <row r="16" customFormat="false" ht="15" hidden="false" customHeight="false" outlineLevel="0" collapsed="false">
      <c r="B16" s="26"/>
      <c r="C16" s="27"/>
      <c r="D16" s="28" t="str">
        <f aca="false">IF(C16="","",IFERROR(INDEX(Players!$C$5:$C$104,MATCH(C16,Players!$B$5:$B$104,0)),"ID not found"))</f>
        <v/>
      </c>
      <c r="E16" s="27"/>
      <c r="F16" s="27"/>
      <c r="G16" s="28" t="str">
        <f aca="false">IF(F16="","",IFERROR(INDEX('Hitting Drills'!$D$6:$D$45,MATCH(F16,'Hitting Drills'!$B$6:$B$45,0)),"Not a hitting drill ID"))</f>
        <v/>
      </c>
      <c r="H16" s="27"/>
      <c r="I16" s="27"/>
      <c r="J16" s="27"/>
      <c r="K16" s="27"/>
      <c r="L16" s="27"/>
      <c r="M16" s="27"/>
      <c r="N16" s="27"/>
      <c r="O16" s="27"/>
      <c r="P16" s="27"/>
      <c r="Q16" s="27"/>
      <c r="R16" s="27"/>
      <c r="S16" s="29" t="str">
        <f aca="false">IF(OR(B16="",C16=""),"",IF(COUNTIFS($B$5:B16,B16,$C$5:C16,C16)=1,1,0))</f>
        <v/>
      </c>
      <c r="T16" s="29" t="str">
        <f aca="false">IF(OR(B16="",C16="",E16=""),"",IF(COUNTIFS($B$5:B16,B16,$C$5:C16,C16,$E$5:E16,E16)=1,1,0))</f>
        <v/>
      </c>
      <c r="U16" s="28" t="str">
        <f aca="false">IF(COUNTA(B16:C16,E16:F16,H16:P16)=0,"",IF(OR(B16="",C16="",E16=""),"Check: date, player, and context required",IF(AND(ISNUMBER(J16),ISNUMBER(I16),J16&gt;I16),"Check: solid contacts &gt; swings",IF(AND(ISNUMBER(L16),ISNUMBER(K16),L16&gt;K16),"Check: correct &gt; assessed decisions",IF(AND(ISNUMBER(N16),ISNUMBER(M16),N16&gt;M16),"Check: intended &gt; assessed landings",IF(AND(ISNUMBER(J16),I16=""),"Check: solid contacts without swings","OK"))))))</f>
        <v/>
      </c>
    </row>
    <row r="17" customFormat="false" ht="15" hidden="false" customHeight="false" outlineLevel="0" collapsed="false">
      <c r="B17" s="26"/>
      <c r="C17" s="27"/>
      <c r="D17" s="28" t="str">
        <f aca="false">IF(C17="","",IFERROR(INDEX(Players!$C$5:$C$104,MATCH(C17,Players!$B$5:$B$104,0)),"ID not found"))</f>
        <v/>
      </c>
      <c r="E17" s="27"/>
      <c r="F17" s="27"/>
      <c r="G17" s="28" t="str">
        <f aca="false">IF(F17="","",IFERROR(INDEX('Hitting Drills'!$D$6:$D$45,MATCH(F17,'Hitting Drills'!$B$6:$B$45,0)),"Not a hitting drill ID"))</f>
        <v/>
      </c>
      <c r="H17" s="27"/>
      <c r="I17" s="27"/>
      <c r="J17" s="27"/>
      <c r="K17" s="27"/>
      <c r="L17" s="27"/>
      <c r="M17" s="27"/>
      <c r="N17" s="27"/>
      <c r="O17" s="27"/>
      <c r="P17" s="27"/>
      <c r="Q17" s="27"/>
      <c r="R17" s="27"/>
      <c r="S17" s="29" t="str">
        <f aca="false">IF(OR(B17="",C17=""),"",IF(COUNTIFS($B$5:B17,B17,$C$5:C17,C17)=1,1,0))</f>
        <v/>
      </c>
      <c r="T17" s="29" t="str">
        <f aca="false">IF(OR(B17="",C17="",E17=""),"",IF(COUNTIFS($B$5:B17,B17,$C$5:C17,C17,$E$5:E17,E17)=1,1,0))</f>
        <v/>
      </c>
      <c r="U17" s="28" t="str">
        <f aca="false">IF(COUNTA(B17:C17,E17:F17,H17:P17)=0,"",IF(OR(B17="",C17="",E17=""),"Check: date, player, and context required",IF(AND(ISNUMBER(J17),ISNUMBER(I17),J17&gt;I17),"Check: solid contacts &gt; swings",IF(AND(ISNUMBER(L17),ISNUMBER(K17),L17&gt;K17),"Check: correct &gt; assessed decisions",IF(AND(ISNUMBER(N17),ISNUMBER(M17),N17&gt;M17),"Check: intended &gt; assessed landings",IF(AND(ISNUMBER(J17),I17=""),"Check: solid contacts without swings","OK"))))))</f>
        <v/>
      </c>
    </row>
    <row r="18" customFormat="false" ht="15" hidden="false" customHeight="false" outlineLevel="0" collapsed="false">
      <c r="B18" s="26"/>
      <c r="C18" s="27"/>
      <c r="D18" s="28" t="str">
        <f aca="false">IF(C18="","",IFERROR(INDEX(Players!$C$5:$C$104,MATCH(C18,Players!$B$5:$B$104,0)),"ID not found"))</f>
        <v/>
      </c>
      <c r="E18" s="27"/>
      <c r="F18" s="27"/>
      <c r="G18" s="28" t="str">
        <f aca="false">IF(F18="","",IFERROR(INDEX('Hitting Drills'!$D$6:$D$45,MATCH(F18,'Hitting Drills'!$B$6:$B$45,0)),"Not a hitting drill ID"))</f>
        <v/>
      </c>
      <c r="H18" s="27"/>
      <c r="I18" s="27"/>
      <c r="J18" s="27"/>
      <c r="K18" s="27"/>
      <c r="L18" s="27"/>
      <c r="M18" s="27"/>
      <c r="N18" s="27"/>
      <c r="O18" s="27"/>
      <c r="P18" s="27"/>
      <c r="Q18" s="27"/>
      <c r="R18" s="27"/>
      <c r="S18" s="29" t="str">
        <f aca="false">IF(OR(B18="",C18=""),"",IF(COUNTIFS($B$5:B18,B18,$C$5:C18,C18)=1,1,0))</f>
        <v/>
      </c>
      <c r="T18" s="29" t="str">
        <f aca="false">IF(OR(B18="",C18="",E18=""),"",IF(COUNTIFS($B$5:B18,B18,$C$5:C18,C18,$E$5:E18,E18)=1,1,0))</f>
        <v/>
      </c>
      <c r="U18" s="28" t="str">
        <f aca="false">IF(COUNTA(B18:C18,E18:F18,H18:P18)=0,"",IF(OR(B18="",C18="",E18=""),"Check: date, player, and context required",IF(AND(ISNUMBER(J18),ISNUMBER(I18),J18&gt;I18),"Check: solid contacts &gt; swings",IF(AND(ISNUMBER(L18),ISNUMBER(K18),L18&gt;K18),"Check: correct &gt; assessed decisions",IF(AND(ISNUMBER(N18),ISNUMBER(M18),N18&gt;M18),"Check: intended &gt; assessed landings",IF(AND(ISNUMBER(J18),I18=""),"Check: solid contacts without swings","OK"))))))</f>
        <v/>
      </c>
    </row>
    <row r="19" customFormat="false" ht="15" hidden="false" customHeight="false" outlineLevel="0" collapsed="false">
      <c r="B19" s="26"/>
      <c r="C19" s="27"/>
      <c r="D19" s="28" t="str">
        <f aca="false">IF(C19="","",IFERROR(INDEX(Players!$C$5:$C$104,MATCH(C19,Players!$B$5:$B$104,0)),"ID not found"))</f>
        <v/>
      </c>
      <c r="E19" s="27"/>
      <c r="F19" s="27"/>
      <c r="G19" s="28" t="str">
        <f aca="false">IF(F19="","",IFERROR(INDEX('Hitting Drills'!$D$6:$D$45,MATCH(F19,'Hitting Drills'!$B$6:$B$45,0)),"Not a hitting drill ID"))</f>
        <v/>
      </c>
      <c r="H19" s="27"/>
      <c r="I19" s="27"/>
      <c r="J19" s="27"/>
      <c r="K19" s="27"/>
      <c r="L19" s="27"/>
      <c r="M19" s="27"/>
      <c r="N19" s="27"/>
      <c r="O19" s="27"/>
      <c r="P19" s="27"/>
      <c r="Q19" s="27"/>
      <c r="R19" s="27"/>
      <c r="S19" s="29" t="str">
        <f aca="false">IF(OR(B19="",C19=""),"",IF(COUNTIFS($B$5:B19,B19,$C$5:C19,C19)=1,1,0))</f>
        <v/>
      </c>
      <c r="T19" s="29" t="str">
        <f aca="false">IF(OR(B19="",C19="",E19=""),"",IF(COUNTIFS($B$5:B19,B19,$C$5:C19,C19,$E$5:E19,E19)=1,1,0))</f>
        <v/>
      </c>
      <c r="U19" s="28" t="str">
        <f aca="false">IF(COUNTA(B19:C19,E19:F19,H19:P19)=0,"",IF(OR(B19="",C19="",E19=""),"Check: date, player, and context required",IF(AND(ISNUMBER(J19),ISNUMBER(I19),J19&gt;I19),"Check: solid contacts &gt; swings",IF(AND(ISNUMBER(L19),ISNUMBER(K19),L19&gt;K19),"Check: correct &gt; assessed decisions",IF(AND(ISNUMBER(N19),ISNUMBER(M19),N19&gt;M19),"Check: intended &gt; assessed landings",IF(AND(ISNUMBER(J19),I19=""),"Check: solid contacts without swings","OK"))))))</f>
        <v/>
      </c>
    </row>
    <row r="20" customFormat="false" ht="15" hidden="false" customHeight="false" outlineLevel="0" collapsed="false">
      <c r="B20" s="26"/>
      <c r="C20" s="27"/>
      <c r="D20" s="28" t="str">
        <f aca="false">IF(C20="","",IFERROR(INDEX(Players!$C$5:$C$104,MATCH(C20,Players!$B$5:$B$104,0)),"ID not found"))</f>
        <v/>
      </c>
      <c r="E20" s="27"/>
      <c r="F20" s="27"/>
      <c r="G20" s="28" t="str">
        <f aca="false">IF(F20="","",IFERROR(INDEX('Hitting Drills'!$D$6:$D$45,MATCH(F20,'Hitting Drills'!$B$6:$B$45,0)),"Not a hitting drill ID"))</f>
        <v/>
      </c>
      <c r="H20" s="27"/>
      <c r="I20" s="27"/>
      <c r="J20" s="27"/>
      <c r="K20" s="27"/>
      <c r="L20" s="27"/>
      <c r="M20" s="27"/>
      <c r="N20" s="27"/>
      <c r="O20" s="27"/>
      <c r="P20" s="27"/>
      <c r="Q20" s="27"/>
      <c r="R20" s="27"/>
      <c r="S20" s="29" t="str">
        <f aca="false">IF(OR(B20="",C20=""),"",IF(COUNTIFS($B$5:B20,B20,$C$5:C20,C20)=1,1,0))</f>
        <v/>
      </c>
      <c r="T20" s="29" t="str">
        <f aca="false">IF(OR(B20="",C20="",E20=""),"",IF(COUNTIFS($B$5:B20,B20,$C$5:C20,C20,$E$5:E20,E20)=1,1,0))</f>
        <v/>
      </c>
      <c r="U20" s="28" t="str">
        <f aca="false">IF(COUNTA(B20:C20,E20:F20,H20:P20)=0,"",IF(OR(B20="",C20="",E20=""),"Check: date, player, and context required",IF(AND(ISNUMBER(J20),ISNUMBER(I20),J20&gt;I20),"Check: solid contacts &gt; swings",IF(AND(ISNUMBER(L20),ISNUMBER(K20),L20&gt;K20),"Check: correct &gt; assessed decisions",IF(AND(ISNUMBER(N20),ISNUMBER(M20),N20&gt;M20),"Check: intended &gt; assessed landings",IF(AND(ISNUMBER(J20),I20=""),"Check: solid contacts without swings","OK"))))))</f>
        <v/>
      </c>
    </row>
    <row r="21" customFormat="false" ht="15" hidden="false" customHeight="false" outlineLevel="0" collapsed="false">
      <c r="B21" s="26"/>
      <c r="C21" s="27"/>
      <c r="D21" s="28" t="str">
        <f aca="false">IF(C21="","",IFERROR(INDEX(Players!$C$5:$C$104,MATCH(C21,Players!$B$5:$B$104,0)),"ID not found"))</f>
        <v/>
      </c>
      <c r="E21" s="27"/>
      <c r="F21" s="27"/>
      <c r="G21" s="28" t="str">
        <f aca="false">IF(F21="","",IFERROR(INDEX('Hitting Drills'!$D$6:$D$45,MATCH(F21,'Hitting Drills'!$B$6:$B$45,0)),"Not a hitting drill ID"))</f>
        <v/>
      </c>
      <c r="H21" s="27"/>
      <c r="I21" s="27"/>
      <c r="J21" s="27"/>
      <c r="K21" s="27"/>
      <c r="L21" s="27"/>
      <c r="M21" s="27"/>
      <c r="N21" s="27"/>
      <c r="O21" s="27"/>
      <c r="P21" s="27"/>
      <c r="Q21" s="27"/>
      <c r="R21" s="27"/>
      <c r="S21" s="29" t="str">
        <f aca="false">IF(OR(B21="",C21=""),"",IF(COUNTIFS($B$5:B21,B21,$C$5:C21,C21)=1,1,0))</f>
        <v/>
      </c>
      <c r="T21" s="29" t="str">
        <f aca="false">IF(OR(B21="",C21="",E21=""),"",IF(COUNTIFS($B$5:B21,B21,$C$5:C21,C21,$E$5:E21,E21)=1,1,0))</f>
        <v/>
      </c>
      <c r="U21" s="28" t="str">
        <f aca="false">IF(COUNTA(B21:C21,E21:F21,H21:P21)=0,"",IF(OR(B21="",C21="",E21=""),"Check: date, player, and context required",IF(AND(ISNUMBER(J21),ISNUMBER(I21),J21&gt;I21),"Check: solid contacts &gt; swings",IF(AND(ISNUMBER(L21),ISNUMBER(K21),L21&gt;K21),"Check: correct &gt; assessed decisions",IF(AND(ISNUMBER(N21),ISNUMBER(M21),N21&gt;M21),"Check: intended &gt; assessed landings",IF(AND(ISNUMBER(J21),I21=""),"Check: solid contacts without swings","OK"))))))</f>
        <v/>
      </c>
    </row>
    <row r="22" customFormat="false" ht="15" hidden="false" customHeight="false" outlineLevel="0" collapsed="false">
      <c r="B22" s="26"/>
      <c r="C22" s="27"/>
      <c r="D22" s="28" t="str">
        <f aca="false">IF(C22="","",IFERROR(INDEX(Players!$C$5:$C$104,MATCH(C22,Players!$B$5:$B$104,0)),"ID not found"))</f>
        <v/>
      </c>
      <c r="E22" s="27"/>
      <c r="F22" s="27"/>
      <c r="G22" s="28" t="str">
        <f aca="false">IF(F22="","",IFERROR(INDEX('Hitting Drills'!$D$6:$D$45,MATCH(F22,'Hitting Drills'!$B$6:$B$45,0)),"Not a hitting drill ID"))</f>
        <v/>
      </c>
      <c r="H22" s="27"/>
      <c r="I22" s="27"/>
      <c r="J22" s="27"/>
      <c r="K22" s="27"/>
      <c r="L22" s="27"/>
      <c r="M22" s="27"/>
      <c r="N22" s="27"/>
      <c r="O22" s="27"/>
      <c r="P22" s="27"/>
      <c r="Q22" s="27"/>
      <c r="R22" s="27"/>
      <c r="S22" s="29" t="str">
        <f aca="false">IF(OR(B22="",C22=""),"",IF(COUNTIFS($B$5:B22,B22,$C$5:C22,C22)=1,1,0))</f>
        <v/>
      </c>
      <c r="T22" s="29" t="str">
        <f aca="false">IF(OR(B22="",C22="",E22=""),"",IF(COUNTIFS($B$5:B22,B22,$C$5:C22,C22,$E$5:E22,E22)=1,1,0))</f>
        <v/>
      </c>
      <c r="U22" s="28" t="str">
        <f aca="false">IF(COUNTA(B22:C22,E22:F22,H22:P22)=0,"",IF(OR(B22="",C22="",E22=""),"Check: date, player, and context required",IF(AND(ISNUMBER(J22),ISNUMBER(I22),J22&gt;I22),"Check: solid contacts &gt; swings",IF(AND(ISNUMBER(L22),ISNUMBER(K22),L22&gt;K22),"Check: correct &gt; assessed decisions",IF(AND(ISNUMBER(N22),ISNUMBER(M22),N22&gt;M22),"Check: intended &gt; assessed landings",IF(AND(ISNUMBER(J22),I22=""),"Check: solid contacts without swings","OK"))))))</f>
        <v/>
      </c>
    </row>
    <row r="23" customFormat="false" ht="15" hidden="false" customHeight="false" outlineLevel="0" collapsed="false">
      <c r="B23" s="26"/>
      <c r="C23" s="27"/>
      <c r="D23" s="28" t="str">
        <f aca="false">IF(C23="","",IFERROR(INDEX(Players!$C$5:$C$104,MATCH(C23,Players!$B$5:$B$104,0)),"ID not found"))</f>
        <v/>
      </c>
      <c r="E23" s="27"/>
      <c r="F23" s="27"/>
      <c r="G23" s="28" t="str">
        <f aca="false">IF(F23="","",IFERROR(INDEX('Hitting Drills'!$D$6:$D$45,MATCH(F23,'Hitting Drills'!$B$6:$B$45,0)),"Not a hitting drill ID"))</f>
        <v/>
      </c>
      <c r="H23" s="27"/>
      <c r="I23" s="27"/>
      <c r="J23" s="27"/>
      <c r="K23" s="27"/>
      <c r="L23" s="27"/>
      <c r="M23" s="27"/>
      <c r="N23" s="27"/>
      <c r="O23" s="27"/>
      <c r="P23" s="27"/>
      <c r="Q23" s="27"/>
      <c r="R23" s="27"/>
      <c r="S23" s="29" t="str">
        <f aca="false">IF(OR(B23="",C23=""),"",IF(COUNTIFS($B$5:B23,B23,$C$5:C23,C23)=1,1,0))</f>
        <v/>
      </c>
      <c r="T23" s="29" t="str">
        <f aca="false">IF(OR(B23="",C23="",E23=""),"",IF(COUNTIFS($B$5:B23,B23,$C$5:C23,C23,$E$5:E23,E23)=1,1,0))</f>
        <v/>
      </c>
      <c r="U23" s="28" t="str">
        <f aca="false">IF(COUNTA(B23:C23,E23:F23,H23:P23)=0,"",IF(OR(B23="",C23="",E23=""),"Check: date, player, and context required",IF(AND(ISNUMBER(J23),ISNUMBER(I23),J23&gt;I23),"Check: solid contacts &gt; swings",IF(AND(ISNUMBER(L23),ISNUMBER(K23),L23&gt;K23),"Check: correct &gt; assessed decisions",IF(AND(ISNUMBER(N23),ISNUMBER(M23),N23&gt;M23),"Check: intended &gt; assessed landings",IF(AND(ISNUMBER(J23),I23=""),"Check: solid contacts without swings","OK"))))))</f>
        <v/>
      </c>
    </row>
    <row r="24" customFormat="false" ht="15" hidden="false" customHeight="false" outlineLevel="0" collapsed="false">
      <c r="B24" s="26"/>
      <c r="C24" s="27"/>
      <c r="D24" s="28" t="str">
        <f aca="false">IF(C24="","",IFERROR(INDEX(Players!$C$5:$C$104,MATCH(C24,Players!$B$5:$B$104,0)),"ID not found"))</f>
        <v/>
      </c>
      <c r="E24" s="27"/>
      <c r="F24" s="27"/>
      <c r="G24" s="28" t="str">
        <f aca="false">IF(F24="","",IFERROR(INDEX('Hitting Drills'!$D$6:$D$45,MATCH(F24,'Hitting Drills'!$B$6:$B$45,0)),"Not a hitting drill ID"))</f>
        <v/>
      </c>
      <c r="H24" s="27"/>
      <c r="I24" s="27"/>
      <c r="J24" s="27"/>
      <c r="K24" s="27"/>
      <c r="L24" s="27"/>
      <c r="M24" s="27"/>
      <c r="N24" s="27"/>
      <c r="O24" s="27"/>
      <c r="P24" s="27"/>
      <c r="Q24" s="27"/>
      <c r="R24" s="27"/>
      <c r="S24" s="29" t="str">
        <f aca="false">IF(OR(B24="",C24=""),"",IF(COUNTIFS($B$5:B24,B24,$C$5:C24,C24)=1,1,0))</f>
        <v/>
      </c>
      <c r="T24" s="29" t="str">
        <f aca="false">IF(OR(B24="",C24="",E24=""),"",IF(COUNTIFS($B$5:B24,B24,$C$5:C24,C24,$E$5:E24,E24)=1,1,0))</f>
        <v/>
      </c>
      <c r="U24" s="28" t="str">
        <f aca="false">IF(COUNTA(B24:C24,E24:F24,H24:P24)=0,"",IF(OR(B24="",C24="",E24=""),"Check: date, player, and context required",IF(AND(ISNUMBER(J24),ISNUMBER(I24),J24&gt;I24),"Check: solid contacts &gt; swings",IF(AND(ISNUMBER(L24),ISNUMBER(K24),L24&gt;K24),"Check: correct &gt; assessed decisions",IF(AND(ISNUMBER(N24),ISNUMBER(M24),N24&gt;M24),"Check: intended &gt; assessed landings",IF(AND(ISNUMBER(J24),I24=""),"Check: solid contacts without swings","OK"))))))</f>
        <v/>
      </c>
    </row>
    <row r="25" customFormat="false" ht="15" hidden="false" customHeight="false" outlineLevel="0" collapsed="false">
      <c r="B25" s="26"/>
      <c r="C25" s="27"/>
      <c r="D25" s="28" t="str">
        <f aca="false">IF(C25="","",IFERROR(INDEX(Players!$C$5:$C$104,MATCH(C25,Players!$B$5:$B$104,0)),"ID not found"))</f>
        <v/>
      </c>
      <c r="E25" s="27"/>
      <c r="F25" s="27"/>
      <c r="G25" s="28" t="str">
        <f aca="false">IF(F25="","",IFERROR(INDEX('Hitting Drills'!$D$6:$D$45,MATCH(F25,'Hitting Drills'!$B$6:$B$45,0)),"Not a hitting drill ID"))</f>
        <v/>
      </c>
      <c r="H25" s="27"/>
      <c r="I25" s="27"/>
      <c r="J25" s="27"/>
      <c r="K25" s="27"/>
      <c r="L25" s="27"/>
      <c r="M25" s="27"/>
      <c r="N25" s="27"/>
      <c r="O25" s="27"/>
      <c r="P25" s="27"/>
      <c r="Q25" s="27"/>
      <c r="R25" s="27"/>
      <c r="S25" s="29" t="str">
        <f aca="false">IF(OR(B25="",C25=""),"",IF(COUNTIFS($B$5:B25,B25,$C$5:C25,C25)=1,1,0))</f>
        <v/>
      </c>
      <c r="T25" s="29" t="str">
        <f aca="false">IF(OR(B25="",C25="",E25=""),"",IF(COUNTIFS($B$5:B25,B25,$C$5:C25,C25,$E$5:E25,E25)=1,1,0))</f>
        <v/>
      </c>
      <c r="U25" s="28" t="str">
        <f aca="false">IF(COUNTA(B25:C25,E25:F25,H25:P25)=0,"",IF(OR(B25="",C25="",E25=""),"Check: date, player, and context required",IF(AND(ISNUMBER(J25),ISNUMBER(I25),J25&gt;I25),"Check: solid contacts &gt; swings",IF(AND(ISNUMBER(L25),ISNUMBER(K25),L25&gt;K25),"Check: correct &gt; assessed decisions",IF(AND(ISNUMBER(N25),ISNUMBER(M25),N25&gt;M25),"Check: intended &gt; assessed landings",IF(AND(ISNUMBER(J25),I25=""),"Check: solid contacts without swings","OK"))))))</f>
        <v/>
      </c>
    </row>
    <row r="26" customFormat="false" ht="15" hidden="false" customHeight="false" outlineLevel="0" collapsed="false">
      <c r="B26" s="26"/>
      <c r="C26" s="27"/>
      <c r="D26" s="28" t="str">
        <f aca="false">IF(C26="","",IFERROR(INDEX(Players!$C$5:$C$104,MATCH(C26,Players!$B$5:$B$104,0)),"ID not found"))</f>
        <v/>
      </c>
      <c r="E26" s="27"/>
      <c r="F26" s="27"/>
      <c r="G26" s="28" t="str">
        <f aca="false">IF(F26="","",IFERROR(INDEX('Hitting Drills'!$D$6:$D$45,MATCH(F26,'Hitting Drills'!$B$6:$B$45,0)),"Not a hitting drill ID"))</f>
        <v/>
      </c>
      <c r="H26" s="27"/>
      <c r="I26" s="27"/>
      <c r="J26" s="27"/>
      <c r="K26" s="27"/>
      <c r="L26" s="27"/>
      <c r="M26" s="27"/>
      <c r="N26" s="27"/>
      <c r="O26" s="27"/>
      <c r="P26" s="27"/>
      <c r="Q26" s="27"/>
      <c r="R26" s="27"/>
      <c r="S26" s="29" t="str">
        <f aca="false">IF(OR(B26="",C26=""),"",IF(COUNTIFS($B$5:B26,B26,$C$5:C26,C26)=1,1,0))</f>
        <v/>
      </c>
      <c r="T26" s="29" t="str">
        <f aca="false">IF(OR(B26="",C26="",E26=""),"",IF(COUNTIFS($B$5:B26,B26,$C$5:C26,C26,$E$5:E26,E26)=1,1,0))</f>
        <v/>
      </c>
      <c r="U26" s="28" t="str">
        <f aca="false">IF(COUNTA(B26:C26,E26:F26,H26:P26)=0,"",IF(OR(B26="",C26="",E26=""),"Check: date, player, and context required",IF(AND(ISNUMBER(J26),ISNUMBER(I26),J26&gt;I26),"Check: solid contacts &gt; swings",IF(AND(ISNUMBER(L26),ISNUMBER(K26),L26&gt;K26),"Check: correct &gt; assessed decisions",IF(AND(ISNUMBER(N26),ISNUMBER(M26),N26&gt;M26),"Check: intended &gt; assessed landings",IF(AND(ISNUMBER(J26),I26=""),"Check: solid contacts without swings","OK"))))))</f>
        <v/>
      </c>
    </row>
    <row r="27" customFormat="false" ht="15" hidden="false" customHeight="false" outlineLevel="0" collapsed="false">
      <c r="B27" s="26"/>
      <c r="C27" s="27"/>
      <c r="D27" s="28" t="str">
        <f aca="false">IF(C27="","",IFERROR(INDEX(Players!$C$5:$C$104,MATCH(C27,Players!$B$5:$B$104,0)),"ID not found"))</f>
        <v/>
      </c>
      <c r="E27" s="27"/>
      <c r="F27" s="27"/>
      <c r="G27" s="28" t="str">
        <f aca="false">IF(F27="","",IFERROR(INDEX('Hitting Drills'!$D$6:$D$45,MATCH(F27,'Hitting Drills'!$B$6:$B$45,0)),"Not a hitting drill ID"))</f>
        <v/>
      </c>
      <c r="H27" s="27"/>
      <c r="I27" s="27"/>
      <c r="J27" s="27"/>
      <c r="K27" s="27"/>
      <c r="L27" s="27"/>
      <c r="M27" s="27"/>
      <c r="N27" s="27"/>
      <c r="O27" s="27"/>
      <c r="P27" s="27"/>
      <c r="Q27" s="27"/>
      <c r="R27" s="27"/>
      <c r="S27" s="29" t="str">
        <f aca="false">IF(OR(B27="",C27=""),"",IF(COUNTIFS($B$5:B27,B27,$C$5:C27,C27)=1,1,0))</f>
        <v/>
      </c>
      <c r="T27" s="29" t="str">
        <f aca="false">IF(OR(B27="",C27="",E27=""),"",IF(COUNTIFS($B$5:B27,B27,$C$5:C27,C27,$E$5:E27,E27)=1,1,0))</f>
        <v/>
      </c>
      <c r="U27" s="28" t="str">
        <f aca="false">IF(COUNTA(B27:C27,E27:F27,H27:P27)=0,"",IF(OR(B27="",C27="",E27=""),"Check: date, player, and context required",IF(AND(ISNUMBER(J27),ISNUMBER(I27),J27&gt;I27),"Check: solid contacts &gt; swings",IF(AND(ISNUMBER(L27),ISNUMBER(K27),L27&gt;K27),"Check: correct &gt; assessed decisions",IF(AND(ISNUMBER(N27),ISNUMBER(M27),N27&gt;M27),"Check: intended &gt; assessed landings",IF(AND(ISNUMBER(J27),I27=""),"Check: solid contacts without swings","OK"))))))</f>
        <v/>
      </c>
    </row>
    <row r="28" customFormat="false" ht="15" hidden="false" customHeight="false" outlineLevel="0" collapsed="false">
      <c r="B28" s="26"/>
      <c r="C28" s="27"/>
      <c r="D28" s="28" t="str">
        <f aca="false">IF(C28="","",IFERROR(INDEX(Players!$C$5:$C$104,MATCH(C28,Players!$B$5:$B$104,0)),"ID not found"))</f>
        <v/>
      </c>
      <c r="E28" s="27"/>
      <c r="F28" s="27"/>
      <c r="G28" s="28" t="str">
        <f aca="false">IF(F28="","",IFERROR(INDEX('Hitting Drills'!$D$6:$D$45,MATCH(F28,'Hitting Drills'!$B$6:$B$45,0)),"Not a hitting drill ID"))</f>
        <v/>
      </c>
      <c r="H28" s="27"/>
      <c r="I28" s="27"/>
      <c r="J28" s="27"/>
      <c r="K28" s="27"/>
      <c r="L28" s="27"/>
      <c r="M28" s="27"/>
      <c r="N28" s="27"/>
      <c r="O28" s="27"/>
      <c r="P28" s="27"/>
      <c r="Q28" s="27"/>
      <c r="R28" s="27"/>
      <c r="S28" s="29" t="str">
        <f aca="false">IF(OR(B28="",C28=""),"",IF(COUNTIFS($B$5:B28,B28,$C$5:C28,C28)=1,1,0))</f>
        <v/>
      </c>
      <c r="T28" s="29" t="str">
        <f aca="false">IF(OR(B28="",C28="",E28=""),"",IF(COUNTIFS($B$5:B28,B28,$C$5:C28,C28,$E$5:E28,E28)=1,1,0))</f>
        <v/>
      </c>
      <c r="U28" s="28" t="str">
        <f aca="false">IF(COUNTA(B28:C28,E28:F28,H28:P28)=0,"",IF(OR(B28="",C28="",E28=""),"Check: date, player, and context required",IF(AND(ISNUMBER(J28),ISNUMBER(I28),J28&gt;I28),"Check: solid contacts &gt; swings",IF(AND(ISNUMBER(L28),ISNUMBER(K28),L28&gt;K28),"Check: correct &gt; assessed decisions",IF(AND(ISNUMBER(N28),ISNUMBER(M28),N28&gt;M28),"Check: intended &gt; assessed landings",IF(AND(ISNUMBER(J28),I28=""),"Check: solid contacts without swings","OK"))))))</f>
        <v/>
      </c>
    </row>
    <row r="29" customFormat="false" ht="15" hidden="false" customHeight="false" outlineLevel="0" collapsed="false">
      <c r="B29" s="26"/>
      <c r="C29" s="27"/>
      <c r="D29" s="28" t="str">
        <f aca="false">IF(C29="","",IFERROR(INDEX(Players!$C$5:$C$104,MATCH(C29,Players!$B$5:$B$104,0)),"ID not found"))</f>
        <v/>
      </c>
      <c r="E29" s="27"/>
      <c r="F29" s="27"/>
      <c r="G29" s="28" t="str">
        <f aca="false">IF(F29="","",IFERROR(INDEX('Hitting Drills'!$D$6:$D$45,MATCH(F29,'Hitting Drills'!$B$6:$B$45,0)),"Not a hitting drill ID"))</f>
        <v/>
      </c>
      <c r="H29" s="27"/>
      <c r="I29" s="27"/>
      <c r="J29" s="27"/>
      <c r="K29" s="27"/>
      <c r="L29" s="27"/>
      <c r="M29" s="27"/>
      <c r="N29" s="27"/>
      <c r="O29" s="27"/>
      <c r="P29" s="27"/>
      <c r="Q29" s="27"/>
      <c r="R29" s="27"/>
      <c r="S29" s="29" t="str">
        <f aca="false">IF(OR(B29="",C29=""),"",IF(COUNTIFS($B$5:B29,B29,$C$5:C29,C29)=1,1,0))</f>
        <v/>
      </c>
      <c r="T29" s="29" t="str">
        <f aca="false">IF(OR(B29="",C29="",E29=""),"",IF(COUNTIFS($B$5:B29,B29,$C$5:C29,C29,$E$5:E29,E29)=1,1,0))</f>
        <v/>
      </c>
      <c r="U29" s="28" t="str">
        <f aca="false">IF(COUNTA(B29:C29,E29:F29,H29:P29)=0,"",IF(OR(B29="",C29="",E29=""),"Check: date, player, and context required",IF(AND(ISNUMBER(J29),ISNUMBER(I29),J29&gt;I29),"Check: solid contacts &gt; swings",IF(AND(ISNUMBER(L29),ISNUMBER(K29),L29&gt;K29),"Check: correct &gt; assessed decisions",IF(AND(ISNUMBER(N29),ISNUMBER(M29),N29&gt;M29),"Check: intended &gt; assessed landings",IF(AND(ISNUMBER(J29),I29=""),"Check: solid contacts without swings","OK"))))))</f>
        <v/>
      </c>
    </row>
    <row r="30" customFormat="false" ht="15" hidden="false" customHeight="false" outlineLevel="0" collapsed="false">
      <c r="B30" s="26"/>
      <c r="C30" s="27"/>
      <c r="D30" s="28" t="str">
        <f aca="false">IF(C30="","",IFERROR(INDEX(Players!$C$5:$C$104,MATCH(C30,Players!$B$5:$B$104,0)),"ID not found"))</f>
        <v/>
      </c>
      <c r="E30" s="27"/>
      <c r="F30" s="27"/>
      <c r="G30" s="28" t="str">
        <f aca="false">IF(F30="","",IFERROR(INDEX('Hitting Drills'!$D$6:$D$45,MATCH(F30,'Hitting Drills'!$B$6:$B$45,0)),"Not a hitting drill ID"))</f>
        <v/>
      </c>
      <c r="H30" s="27"/>
      <c r="I30" s="27"/>
      <c r="J30" s="27"/>
      <c r="K30" s="27"/>
      <c r="L30" s="27"/>
      <c r="M30" s="27"/>
      <c r="N30" s="27"/>
      <c r="O30" s="27"/>
      <c r="P30" s="27"/>
      <c r="Q30" s="27"/>
      <c r="R30" s="27"/>
      <c r="S30" s="29" t="str">
        <f aca="false">IF(OR(B30="",C30=""),"",IF(COUNTIFS($B$5:B30,B30,$C$5:C30,C30)=1,1,0))</f>
        <v/>
      </c>
      <c r="T30" s="29" t="str">
        <f aca="false">IF(OR(B30="",C30="",E30=""),"",IF(COUNTIFS($B$5:B30,B30,$C$5:C30,C30,$E$5:E30,E30)=1,1,0))</f>
        <v/>
      </c>
      <c r="U30" s="28" t="str">
        <f aca="false">IF(COUNTA(B30:C30,E30:F30,H30:P30)=0,"",IF(OR(B30="",C30="",E30=""),"Check: date, player, and context required",IF(AND(ISNUMBER(J30),ISNUMBER(I30),J30&gt;I30),"Check: solid contacts &gt; swings",IF(AND(ISNUMBER(L30),ISNUMBER(K30),L30&gt;K30),"Check: correct &gt; assessed decisions",IF(AND(ISNUMBER(N30),ISNUMBER(M30),N30&gt;M30),"Check: intended &gt; assessed landings",IF(AND(ISNUMBER(J30),I30=""),"Check: solid contacts without swings","OK"))))))</f>
        <v/>
      </c>
    </row>
    <row r="31" customFormat="false" ht="15" hidden="false" customHeight="false" outlineLevel="0" collapsed="false">
      <c r="B31" s="26"/>
      <c r="C31" s="27"/>
      <c r="D31" s="28" t="str">
        <f aca="false">IF(C31="","",IFERROR(INDEX(Players!$C$5:$C$104,MATCH(C31,Players!$B$5:$B$104,0)),"ID not found"))</f>
        <v/>
      </c>
      <c r="E31" s="27"/>
      <c r="F31" s="27"/>
      <c r="G31" s="28" t="str">
        <f aca="false">IF(F31="","",IFERROR(INDEX('Hitting Drills'!$D$6:$D$45,MATCH(F31,'Hitting Drills'!$B$6:$B$45,0)),"Not a hitting drill ID"))</f>
        <v/>
      </c>
      <c r="H31" s="27"/>
      <c r="I31" s="27"/>
      <c r="J31" s="27"/>
      <c r="K31" s="27"/>
      <c r="L31" s="27"/>
      <c r="M31" s="27"/>
      <c r="N31" s="27"/>
      <c r="O31" s="27"/>
      <c r="P31" s="27"/>
      <c r="Q31" s="27"/>
      <c r="R31" s="27"/>
      <c r="S31" s="29" t="str">
        <f aca="false">IF(OR(B31="",C31=""),"",IF(COUNTIFS($B$5:B31,B31,$C$5:C31,C31)=1,1,0))</f>
        <v/>
      </c>
      <c r="T31" s="29" t="str">
        <f aca="false">IF(OR(B31="",C31="",E31=""),"",IF(COUNTIFS($B$5:B31,B31,$C$5:C31,C31,$E$5:E31,E31)=1,1,0))</f>
        <v/>
      </c>
      <c r="U31" s="28" t="str">
        <f aca="false">IF(COUNTA(B31:C31,E31:F31,H31:P31)=0,"",IF(OR(B31="",C31="",E31=""),"Check: date, player, and context required",IF(AND(ISNUMBER(J31),ISNUMBER(I31),J31&gt;I31),"Check: solid contacts &gt; swings",IF(AND(ISNUMBER(L31),ISNUMBER(K31),L31&gt;K31),"Check: correct &gt; assessed decisions",IF(AND(ISNUMBER(N31),ISNUMBER(M31),N31&gt;M31),"Check: intended &gt; assessed landings",IF(AND(ISNUMBER(J31),I31=""),"Check: solid contacts without swings","OK"))))))</f>
        <v/>
      </c>
    </row>
    <row r="32" customFormat="false" ht="15" hidden="false" customHeight="false" outlineLevel="0" collapsed="false">
      <c r="B32" s="26"/>
      <c r="C32" s="27"/>
      <c r="D32" s="28" t="str">
        <f aca="false">IF(C32="","",IFERROR(INDEX(Players!$C$5:$C$104,MATCH(C32,Players!$B$5:$B$104,0)),"ID not found"))</f>
        <v/>
      </c>
      <c r="E32" s="27"/>
      <c r="F32" s="27"/>
      <c r="G32" s="28" t="str">
        <f aca="false">IF(F32="","",IFERROR(INDEX('Hitting Drills'!$D$6:$D$45,MATCH(F32,'Hitting Drills'!$B$6:$B$45,0)),"Not a hitting drill ID"))</f>
        <v/>
      </c>
      <c r="H32" s="27"/>
      <c r="I32" s="27"/>
      <c r="J32" s="27"/>
      <c r="K32" s="27"/>
      <c r="L32" s="27"/>
      <c r="M32" s="27"/>
      <c r="N32" s="27"/>
      <c r="O32" s="27"/>
      <c r="P32" s="27"/>
      <c r="Q32" s="27"/>
      <c r="R32" s="27"/>
      <c r="S32" s="29" t="str">
        <f aca="false">IF(OR(B32="",C32=""),"",IF(COUNTIFS($B$5:B32,B32,$C$5:C32,C32)=1,1,0))</f>
        <v/>
      </c>
      <c r="T32" s="29" t="str">
        <f aca="false">IF(OR(B32="",C32="",E32=""),"",IF(COUNTIFS($B$5:B32,B32,$C$5:C32,C32,$E$5:E32,E32)=1,1,0))</f>
        <v/>
      </c>
      <c r="U32" s="28" t="str">
        <f aca="false">IF(COUNTA(B32:C32,E32:F32,H32:P32)=0,"",IF(OR(B32="",C32="",E32=""),"Check: date, player, and context required",IF(AND(ISNUMBER(J32),ISNUMBER(I32),J32&gt;I32),"Check: solid contacts &gt; swings",IF(AND(ISNUMBER(L32),ISNUMBER(K32),L32&gt;K32),"Check: correct &gt; assessed decisions",IF(AND(ISNUMBER(N32),ISNUMBER(M32),N32&gt;M32),"Check: intended &gt; assessed landings",IF(AND(ISNUMBER(J32),I32=""),"Check: solid contacts without swings","OK"))))))</f>
        <v/>
      </c>
    </row>
    <row r="33" customFormat="false" ht="15" hidden="false" customHeight="false" outlineLevel="0" collapsed="false">
      <c r="B33" s="26"/>
      <c r="C33" s="27"/>
      <c r="D33" s="28" t="str">
        <f aca="false">IF(C33="","",IFERROR(INDEX(Players!$C$5:$C$104,MATCH(C33,Players!$B$5:$B$104,0)),"ID not found"))</f>
        <v/>
      </c>
      <c r="E33" s="27"/>
      <c r="F33" s="27"/>
      <c r="G33" s="28" t="str">
        <f aca="false">IF(F33="","",IFERROR(INDEX('Hitting Drills'!$D$6:$D$45,MATCH(F33,'Hitting Drills'!$B$6:$B$45,0)),"Not a hitting drill ID"))</f>
        <v/>
      </c>
      <c r="H33" s="27"/>
      <c r="I33" s="27"/>
      <c r="J33" s="27"/>
      <c r="K33" s="27"/>
      <c r="L33" s="27"/>
      <c r="M33" s="27"/>
      <c r="N33" s="27"/>
      <c r="O33" s="27"/>
      <c r="P33" s="27"/>
      <c r="Q33" s="27"/>
      <c r="R33" s="27"/>
      <c r="S33" s="29" t="str">
        <f aca="false">IF(OR(B33="",C33=""),"",IF(COUNTIFS($B$5:B33,B33,$C$5:C33,C33)=1,1,0))</f>
        <v/>
      </c>
      <c r="T33" s="29" t="str">
        <f aca="false">IF(OR(B33="",C33="",E33=""),"",IF(COUNTIFS($B$5:B33,B33,$C$5:C33,C33,$E$5:E33,E33)=1,1,0))</f>
        <v/>
      </c>
      <c r="U33" s="28" t="str">
        <f aca="false">IF(COUNTA(B33:C33,E33:F33,H33:P33)=0,"",IF(OR(B33="",C33="",E33=""),"Check: date, player, and context required",IF(AND(ISNUMBER(J33),ISNUMBER(I33),J33&gt;I33),"Check: solid contacts &gt; swings",IF(AND(ISNUMBER(L33),ISNUMBER(K33),L33&gt;K33),"Check: correct &gt; assessed decisions",IF(AND(ISNUMBER(N33),ISNUMBER(M33),N33&gt;M33),"Check: intended &gt; assessed landings",IF(AND(ISNUMBER(J33),I33=""),"Check: solid contacts without swings","OK"))))))</f>
        <v/>
      </c>
    </row>
    <row r="34" customFormat="false" ht="15" hidden="false" customHeight="false" outlineLevel="0" collapsed="false">
      <c r="B34" s="26"/>
      <c r="C34" s="27"/>
      <c r="D34" s="28" t="str">
        <f aca="false">IF(C34="","",IFERROR(INDEX(Players!$C$5:$C$104,MATCH(C34,Players!$B$5:$B$104,0)),"ID not found"))</f>
        <v/>
      </c>
      <c r="E34" s="27"/>
      <c r="F34" s="27"/>
      <c r="G34" s="28" t="str">
        <f aca="false">IF(F34="","",IFERROR(INDEX('Hitting Drills'!$D$6:$D$45,MATCH(F34,'Hitting Drills'!$B$6:$B$45,0)),"Not a hitting drill ID"))</f>
        <v/>
      </c>
      <c r="H34" s="27"/>
      <c r="I34" s="27"/>
      <c r="J34" s="27"/>
      <c r="K34" s="27"/>
      <c r="L34" s="27"/>
      <c r="M34" s="27"/>
      <c r="N34" s="27"/>
      <c r="O34" s="27"/>
      <c r="P34" s="27"/>
      <c r="Q34" s="27"/>
      <c r="R34" s="27"/>
      <c r="S34" s="29" t="str">
        <f aca="false">IF(OR(B34="",C34=""),"",IF(COUNTIFS($B$5:B34,B34,$C$5:C34,C34)=1,1,0))</f>
        <v/>
      </c>
      <c r="T34" s="29" t="str">
        <f aca="false">IF(OR(B34="",C34="",E34=""),"",IF(COUNTIFS($B$5:B34,B34,$C$5:C34,C34,$E$5:E34,E34)=1,1,0))</f>
        <v/>
      </c>
      <c r="U34" s="28" t="str">
        <f aca="false">IF(COUNTA(B34:C34,E34:F34,H34:P34)=0,"",IF(OR(B34="",C34="",E34=""),"Check: date, player, and context required",IF(AND(ISNUMBER(J34),ISNUMBER(I34),J34&gt;I34),"Check: solid contacts &gt; swings",IF(AND(ISNUMBER(L34),ISNUMBER(K34),L34&gt;K34),"Check: correct &gt; assessed decisions",IF(AND(ISNUMBER(N34),ISNUMBER(M34),N34&gt;M34),"Check: intended &gt; assessed landings",IF(AND(ISNUMBER(J34),I34=""),"Check: solid contacts without swings","OK"))))))</f>
        <v/>
      </c>
    </row>
    <row r="35" customFormat="false" ht="15" hidden="false" customHeight="false" outlineLevel="0" collapsed="false">
      <c r="B35" s="26"/>
      <c r="C35" s="27"/>
      <c r="D35" s="28" t="str">
        <f aca="false">IF(C35="","",IFERROR(INDEX(Players!$C$5:$C$104,MATCH(C35,Players!$B$5:$B$104,0)),"ID not found"))</f>
        <v/>
      </c>
      <c r="E35" s="27"/>
      <c r="F35" s="27"/>
      <c r="G35" s="28" t="str">
        <f aca="false">IF(F35="","",IFERROR(INDEX('Hitting Drills'!$D$6:$D$45,MATCH(F35,'Hitting Drills'!$B$6:$B$45,0)),"Not a hitting drill ID"))</f>
        <v/>
      </c>
      <c r="H35" s="27"/>
      <c r="I35" s="27"/>
      <c r="J35" s="27"/>
      <c r="K35" s="27"/>
      <c r="L35" s="27"/>
      <c r="M35" s="27"/>
      <c r="N35" s="27"/>
      <c r="O35" s="27"/>
      <c r="P35" s="27"/>
      <c r="Q35" s="27"/>
      <c r="R35" s="27"/>
      <c r="S35" s="29" t="str">
        <f aca="false">IF(OR(B35="",C35=""),"",IF(COUNTIFS($B$5:B35,B35,$C$5:C35,C35)=1,1,0))</f>
        <v/>
      </c>
      <c r="T35" s="29" t="str">
        <f aca="false">IF(OR(B35="",C35="",E35=""),"",IF(COUNTIFS($B$5:B35,B35,$C$5:C35,C35,$E$5:E35,E35)=1,1,0))</f>
        <v/>
      </c>
      <c r="U35" s="28" t="str">
        <f aca="false">IF(COUNTA(B35:C35,E35:F35,H35:P35)=0,"",IF(OR(B35="",C35="",E35=""),"Check: date, player, and context required",IF(AND(ISNUMBER(J35),ISNUMBER(I35),J35&gt;I35),"Check: solid contacts &gt; swings",IF(AND(ISNUMBER(L35),ISNUMBER(K35),L35&gt;K35),"Check: correct &gt; assessed decisions",IF(AND(ISNUMBER(N35),ISNUMBER(M35),N35&gt;M35),"Check: intended &gt; assessed landings",IF(AND(ISNUMBER(J35),I35=""),"Check: solid contacts without swings","OK"))))))</f>
        <v/>
      </c>
    </row>
    <row r="36" customFormat="false" ht="15" hidden="false" customHeight="false" outlineLevel="0" collapsed="false">
      <c r="B36" s="26"/>
      <c r="C36" s="27"/>
      <c r="D36" s="28" t="str">
        <f aca="false">IF(C36="","",IFERROR(INDEX(Players!$C$5:$C$104,MATCH(C36,Players!$B$5:$B$104,0)),"ID not found"))</f>
        <v/>
      </c>
      <c r="E36" s="27"/>
      <c r="F36" s="27"/>
      <c r="G36" s="28" t="str">
        <f aca="false">IF(F36="","",IFERROR(INDEX('Hitting Drills'!$D$6:$D$45,MATCH(F36,'Hitting Drills'!$B$6:$B$45,0)),"Not a hitting drill ID"))</f>
        <v/>
      </c>
      <c r="H36" s="27"/>
      <c r="I36" s="27"/>
      <c r="J36" s="27"/>
      <c r="K36" s="27"/>
      <c r="L36" s="27"/>
      <c r="M36" s="27"/>
      <c r="N36" s="27"/>
      <c r="O36" s="27"/>
      <c r="P36" s="27"/>
      <c r="Q36" s="27"/>
      <c r="R36" s="27"/>
      <c r="S36" s="29" t="str">
        <f aca="false">IF(OR(B36="",C36=""),"",IF(COUNTIFS($B$5:B36,B36,$C$5:C36,C36)=1,1,0))</f>
        <v/>
      </c>
      <c r="T36" s="29" t="str">
        <f aca="false">IF(OR(B36="",C36="",E36=""),"",IF(COUNTIFS($B$5:B36,B36,$C$5:C36,C36,$E$5:E36,E36)=1,1,0))</f>
        <v/>
      </c>
      <c r="U36" s="28" t="str">
        <f aca="false">IF(COUNTA(B36:C36,E36:F36,H36:P36)=0,"",IF(OR(B36="",C36="",E36=""),"Check: date, player, and context required",IF(AND(ISNUMBER(J36),ISNUMBER(I36),J36&gt;I36),"Check: solid contacts &gt; swings",IF(AND(ISNUMBER(L36),ISNUMBER(K36),L36&gt;K36),"Check: correct &gt; assessed decisions",IF(AND(ISNUMBER(N36),ISNUMBER(M36),N36&gt;M36),"Check: intended &gt; assessed landings",IF(AND(ISNUMBER(J36),I36=""),"Check: solid contacts without swings","OK"))))))</f>
        <v/>
      </c>
    </row>
    <row r="37" customFormat="false" ht="15" hidden="false" customHeight="false" outlineLevel="0" collapsed="false">
      <c r="B37" s="26"/>
      <c r="C37" s="27"/>
      <c r="D37" s="28" t="str">
        <f aca="false">IF(C37="","",IFERROR(INDEX(Players!$C$5:$C$104,MATCH(C37,Players!$B$5:$B$104,0)),"ID not found"))</f>
        <v/>
      </c>
      <c r="E37" s="27"/>
      <c r="F37" s="27"/>
      <c r="G37" s="28" t="str">
        <f aca="false">IF(F37="","",IFERROR(INDEX('Hitting Drills'!$D$6:$D$45,MATCH(F37,'Hitting Drills'!$B$6:$B$45,0)),"Not a hitting drill ID"))</f>
        <v/>
      </c>
      <c r="H37" s="27"/>
      <c r="I37" s="27"/>
      <c r="J37" s="27"/>
      <c r="K37" s="27"/>
      <c r="L37" s="27"/>
      <c r="M37" s="27"/>
      <c r="N37" s="27"/>
      <c r="O37" s="27"/>
      <c r="P37" s="27"/>
      <c r="Q37" s="27"/>
      <c r="R37" s="27"/>
      <c r="S37" s="29" t="str">
        <f aca="false">IF(OR(B37="",C37=""),"",IF(COUNTIFS($B$5:B37,B37,$C$5:C37,C37)=1,1,0))</f>
        <v/>
      </c>
      <c r="T37" s="29" t="str">
        <f aca="false">IF(OR(B37="",C37="",E37=""),"",IF(COUNTIFS($B$5:B37,B37,$C$5:C37,C37,$E$5:E37,E37)=1,1,0))</f>
        <v/>
      </c>
      <c r="U37" s="28" t="str">
        <f aca="false">IF(COUNTA(B37:C37,E37:F37,H37:P37)=0,"",IF(OR(B37="",C37="",E37=""),"Check: date, player, and context required",IF(AND(ISNUMBER(J37),ISNUMBER(I37),J37&gt;I37),"Check: solid contacts &gt; swings",IF(AND(ISNUMBER(L37),ISNUMBER(K37),L37&gt;K37),"Check: correct &gt; assessed decisions",IF(AND(ISNUMBER(N37),ISNUMBER(M37),N37&gt;M37),"Check: intended &gt; assessed landings",IF(AND(ISNUMBER(J37),I37=""),"Check: solid contacts without swings","OK"))))))</f>
        <v/>
      </c>
    </row>
    <row r="38" customFormat="false" ht="15" hidden="false" customHeight="false" outlineLevel="0" collapsed="false">
      <c r="B38" s="26"/>
      <c r="C38" s="27"/>
      <c r="D38" s="28" t="str">
        <f aca="false">IF(C38="","",IFERROR(INDEX(Players!$C$5:$C$104,MATCH(C38,Players!$B$5:$B$104,0)),"ID not found"))</f>
        <v/>
      </c>
      <c r="E38" s="27"/>
      <c r="F38" s="27"/>
      <c r="G38" s="28" t="str">
        <f aca="false">IF(F38="","",IFERROR(INDEX('Hitting Drills'!$D$6:$D$45,MATCH(F38,'Hitting Drills'!$B$6:$B$45,0)),"Not a hitting drill ID"))</f>
        <v/>
      </c>
      <c r="H38" s="27"/>
      <c r="I38" s="27"/>
      <c r="J38" s="27"/>
      <c r="K38" s="27"/>
      <c r="L38" s="27"/>
      <c r="M38" s="27"/>
      <c r="N38" s="27"/>
      <c r="O38" s="27"/>
      <c r="P38" s="27"/>
      <c r="Q38" s="27"/>
      <c r="R38" s="27"/>
      <c r="S38" s="29" t="str">
        <f aca="false">IF(OR(B38="",C38=""),"",IF(COUNTIFS($B$5:B38,B38,$C$5:C38,C38)=1,1,0))</f>
        <v/>
      </c>
      <c r="T38" s="29" t="str">
        <f aca="false">IF(OR(B38="",C38="",E38=""),"",IF(COUNTIFS($B$5:B38,B38,$C$5:C38,C38,$E$5:E38,E38)=1,1,0))</f>
        <v/>
      </c>
      <c r="U38" s="28" t="str">
        <f aca="false">IF(COUNTA(B38:C38,E38:F38,H38:P38)=0,"",IF(OR(B38="",C38="",E38=""),"Check: date, player, and context required",IF(AND(ISNUMBER(J38),ISNUMBER(I38),J38&gt;I38),"Check: solid contacts &gt; swings",IF(AND(ISNUMBER(L38),ISNUMBER(K38),L38&gt;K38),"Check: correct &gt; assessed decisions",IF(AND(ISNUMBER(N38),ISNUMBER(M38),N38&gt;M38),"Check: intended &gt; assessed landings",IF(AND(ISNUMBER(J38),I38=""),"Check: solid contacts without swings","OK"))))))</f>
        <v/>
      </c>
    </row>
    <row r="39" customFormat="false" ht="15" hidden="false" customHeight="false" outlineLevel="0" collapsed="false">
      <c r="B39" s="26"/>
      <c r="C39" s="27"/>
      <c r="D39" s="28" t="str">
        <f aca="false">IF(C39="","",IFERROR(INDEX(Players!$C$5:$C$104,MATCH(C39,Players!$B$5:$B$104,0)),"ID not found"))</f>
        <v/>
      </c>
      <c r="E39" s="27"/>
      <c r="F39" s="27"/>
      <c r="G39" s="28" t="str">
        <f aca="false">IF(F39="","",IFERROR(INDEX('Hitting Drills'!$D$6:$D$45,MATCH(F39,'Hitting Drills'!$B$6:$B$45,0)),"Not a hitting drill ID"))</f>
        <v/>
      </c>
      <c r="H39" s="27"/>
      <c r="I39" s="27"/>
      <c r="J39" s="27"/>
      <c r="K39" s="27"/>
      <c r="L39" s="27"/>
      <c r="M39" s="27"/>
      <c r="N39" s="27"/>
      <c r="O39" s="27"/>
      <c r="P39" s="27"/>
      <c r="Q39" s="27"/>
      <c r="R39" s="27"/>
      <c r="S39" s="29" t="str">
        <f aca="false">IF(OR(B39="",C39=""),"",IF(COUNTIFS($B$5:B39,B39,$C$5:C39,C39)=1,1,0))</f>
        <v/>
      </c>
      <c r="T39" s="29" t="str">
        <f aca="false">IF(OR(B39="",C39="",E39=""),"",IF(COUNTIFS($B$5:B39,B39,$C$5:C39,C39,$E$5:E39,E39)=1,1,0))</f>
        <v/>
      </c>
      <c r="U39" s="28" t="str">
        <f aca="false">IF(COUNTA(B39:C39,E39:F39,H39:P39)=0,"",IF(OR(B39="",C39="",E39=""),"Check: date, player, and context required",IF(AND(ISNUMBER(J39),ISNUMBER(I39),J39&gt;I39),"Check: solid contacts &gt; swings",IF(AND(ISNUMBER(L39),ISNUMBER(K39),L39&gt;K39),"Check: correct &gt; assessed decisions",IF(AND(ISNUMBER(N39),ISNUMBER(M39),N39&gt;M39),"Check: intended &gt; assessed landings",IF(AND(ISNUMBER(J39),I39=""),"Check: solid contacts without swings","OK"))))))</f>
        <v/>
      </c>
    </row>
    <row r="40" customFormat="false" ht="15" hidden="false" customHeight="false" outlineLevel="0" collapsed="false">
      <c r="B40" s="26"/>
      <c r="C40" s="27"/>
      <c r="D40" s="28" t="str">
        <f aca="false">IF(C40="","",IFERROR(INDEX(Players!$C$5:$C$104,MATCH(C40,Players!$B$5:$B$104,0)),"ID not found"))</f>
        <v/>
      </c>
      <c r="E40" s="27"/>
      <c r="F40" s="27"/>
      <c r="G40" s="28" t="str">
        <f aca="false">IF(F40="","",IFERROR(INDEX('Hitting Drills'!$D$6:$D$45,MATCH(F40,'Hitting Drills'!$B$6:$B$45,0)),"Not a hitting drill ID"))</f>
        <v/>
      </c>
      <c r="H40" s="27"/>
      <c r="I40" s="27"/>
      <c r="J40" s="27"/>
      <c r="K40" s="27"/>
      <c r="L40" s="27"/>
      <c r="M40" s="27"/>
      <c r="N40" s="27"/>
      <c r="O40" s="27"/>
      <c r="P40" s="27"/>
      <c r="Q40" s="27"/>
      <c r="R40" s="27"/>
      <c r="S40" s="29" t="str">
        <f aca="false">IF(OR(B40="",C40=""),"",IF(COUNTIFS($B$5:B40,B40,$C$5:C40,C40)=1,1,0))</f>
        <v/>
      </c>
      <c r="T40" s="29" t="str">
        <f aca="false">IF(OR(B40="",C40="",E40=""),"",IF(COUNTIFS($B$5:B40,B40,$C$5:C40,C40,$E$5:E40,E40)=1,1,0))</f>
        <v/>
      </c>
      <c r="U40" s="28" t="str">
        <f aca="false">IF(COUNTA(B40:C40,E40:F40,H40:P40)=0,"",IF(OR(B40="",C40="",E40=""),"Check: date, player, and context required",IF(AND(ISNUMBER(J40),ISNUMBER(I40),J40&gt;I40),"Check: solid contacts &gt; swings",IF(AND(ISNUMBER(L40),ISNUMBER(K40),L40&gt;K40),"Check: correct &gt; assessed decisions",IF(AND(ISNUMBER(N40),ISNUMBER(M40),N40&gt;M40),"Check: intended &gt; assessed landings",IF(AND(ISNUMBER(J40),I40=""),"Check: solid contacts without swings","OK"))))))</f>
        <v/>
      </c>
    </row>
    <row r="41" customFormat="false" ht="15" hidden="false" customHeight="false" outlineLevel="0" collapsed="false">
      <c r="B41" s="26"/>
      <c r="C41" s="27"/>
      <c r="D41" s="28" t="str">
        <f aca="false">IF(C41="","",IFERROR(INDEX(Players!$C$5:$C$104,MATCH(C41,Players!$B$5:$B$104,0)),"ID not found"))</f>
        <v/>
      </c>
      <c r="E41" s="27"/>
      <c r="F41" s="27"/>
      <c r="G41" s="28" t="str">
        <f aca="false">IF(F41="","",IFERROR(INDEX('Hitting Drills'!$D$6:$D$45,MATCH(F41,'Hitting Drills'!$B$6:$B$45,0)),"Not a hitting drill ID"))</f>
        <v/>
      </c>
      <c r="H41" s="27"/>
      <c r="I41" s="27"/>
      <c r="J41" s="27"/>
      <c r="K41" s="27"/>
      <c r="L41" s="27"/>
      <c r="M41" s="27"/>
      <c r="N41" s="27"/>
      <c r="O41" s="27"/>
      <c r="P41" s="27"/>
      <c r="Q41" s="27"/>
      <c r="R41" s="27"/>
      <c r="S41" s="29" t="str">
        <f aca="false">IF(OR(B41="",C41=""),"",IF(COUNTIFS($B$5:B41,B41,$C$5:C41,C41)=1,1,0))</f>
        <v/>
      </c>
      <c r="T41" s="29" t="str">
        <f aca="false">IF(OR(B41="",C41="",E41=""),"",IF(COUNTIFS($B$5:B41,B41,$C$5:C41,C41,$E$5:E41,E41)=1,1,0))</f>
        <v/>
      </c>
      <c r="U41" s="28" t="str">
        <f aca="false">IF(COUNTA(B41:C41,E41:F41,H41:P41)=0,"",IF(OR(B41="",C41="",E41=""),"Check: date, player, and context required",IF(AND(ISNUMBER(J41),ISNUMBER(I41),J41&gt;I41),"Check: solid contacts &gt; swings",IF(AND(ISNUMBER(L41),ISNUMBER(K41),L41&gt;K41),"Check: correct &gt; assessed decisions",IF(AND(ISNUMBER(N41),ISNUMBER(M41),N41&gt;M41),"Check: intended &gt; assessed landings",IF(AND(ISNUMBER(J41),I41=""),"Check: solid contacts without swings","OK"))))))</f>
        <v/>
      </c>
    </row>
    <row r="42" customFormat="false" ht="15" hidden="false" customHeight="false" outlineLevel="0" collapsed="false">
      <c r="B42" s="26"/>
      <c r="C42" s="27"/>
      <c r="D42" s="28" t="str">
        <f aca="false">IF(C42="","",IFERROR(INDEX(Players!$C$5:$C$104,MATCH(C42,Players!$B$5:$B$104,0)),"ID not found"))</f>
        <v/>
      </c>
      <c r="E42" s="27"/>
      <c r="F42" s="27"/>
      <c r="G42" s="28" t="str">
        <f aca="false">IF(F42="","",IFERROR(INDEX('Hitting Drills'!$D$6:$D$45,MATCH(F42,'Hitting Drills'!$B$6:$B$45,0)),"Not a hitting drill ID"))</f>
        <v/>
      </c>
      <c r="H42" s="27"/>
      <c r="I42" s="27"/>
      <c r="J42" s="27"/>
      <c r="K42" s="27"/>
      <c r="L42" s="27"/>
      <c r="M42" s="27"/>
      <c r="N42" s="27"/>
      <c r="O42" s="27"/>
      <c r="P42" s="27"/>
      <c r="Q42" s="27"/>
      <c r="R42" s="27"/>
      <c r="S42" s="29" t="str">
        <f aca="false">IF(OR(B42="",C42=""),"",IF(COUNTIFS($B$5:B42,B42,$C$5:C42,C42)=1,1,0))</f>
        <v/>
      </c>
      <c r="T42" s="29" t="str">
        <f aca="false">IF(OR(B42="",C42="",E42=""),"",IF(COUNTIFS($B$5:B42,B42,$C$5:C42,C42,$E$5:E42,E42)=1,1,0))</f>
        <v/>
      </c>
      <c r="U42" s="28" t="str">
        <f aca="false">IF(COUNTA(B42:C42,E42:F42,H42:P42)=0,"",IF(OR(B42="",C42="",E42=""),"Check: date, player, and context required",IF(AND(ISNUMBER(J42),ISNUMBER(I42),J42&gt;I42),"Check: solid contacts &gt; swings",IF(AND(ISNUMBER(L42),ISNUMBER(K42),L42&gt;K42),"Check: correct &gt; assessed decisions",IF(AND(ISNUMBER(N42),ISNUMBER(M42),N42&gt;M42),"Check: intended &gt; assessed landings",IF(AND(ISNUMBER(J42),I42=""),"Check: solid contacts without swings","OK"))))))</f>
        <v/>
      </c>
    </row>
    <row r="43" customFormat="false" ht="15" hidden="false" customHeight="false" outlineLevel="0" collapsed="false">
      <c r="B43" s="26"/>
      <c r="C43" s="27"/>
      <c r="D43" s="28" t="str">
        <f aca="false">IF(C43="","",IFERROR(INDEX(Players!$C$5:$C$104,MATCH(C43,Players!$B$5:$B$104,0)),"ID not found"))</f>
        <v/>
      </c>
      <c r="E43" s="27"/>
      <c r="F43" s="27"/>
      <c r="G43" s="28" t="str">
        <f aca="false">IF(F43="","",IFERROR(INDEX('Hitting Drills'!$D$6:$D$45,MATCH(F43,'Hitting Drills'!$B$6:$B$45,0)),"Not a hitting drill ID"))</f>
        <v/>
      </c>
      <c r="H43" s="27"/>
      <c r="I43" s="27"/>
      <c r="J43" s="27"/>
      <c r="K43" s="27"/>
      <c r="L43" s="27"/>
      <c r="M43" s="27"/>
      <c r="N43" s="27"/>
      <c r="O43" s="27"/>
      <c r="P43" s="27"/>
      <c r="Q43" s="27"/>
      <c r="R43" s="27"/>
      <c r="S43" s="29" t="str">
        <f aca="false">IF(OR(B43="",C43=""),"",IF(COUNTIFS($B$5:B43,B43,$C$5:C43,C43)=1,1,0))</f>
        <v/>
      </c>
      <c r="T43" s="29" t="str">
        <f aca="false">IF(OR(B43="",C43="",E43=""),"",IF(COUNTIFS($B$5:B43,B43,$C$5:C43,C43,$E$5:E43,E43)=1,1,0))</f>
        <v/>
      </c>
      <c r="U43" s="28" t="str">
        <f aca="false">IF(COUNTA(B43:C43,E43:F43,H43:P43)=0,"",IF(OR(B43="",C43="",E43=""),"Check: date, player, and context required",IF(AND(ISNUMBER(J43),ISNUMBER(I43),J43&gt;I43),"Check: solid contacts &gt; swings",IF(AND(ISNUMBER(L43),ISNUMBER(K43),L43&gt;K43),"Check: correct &gt; assessed decisions",IF(AND(ISNUMBER(N43),ISNUMBER(M43),N43&gt;M43),"Check: intended &gt; assessed landings",IF(AND(ISNUMBER(J43),I43=""),"Check: solid contacts without swings","OK"))))))</f>
        <v/>
      </c>
    </row>
    <row r="44" customFormat="false" ht="15" hidden="false" customHeight="false" outlineLevel="0" collapsed="false">
      <c r="B44" s="26"/>
      <c r="C44" s="27"/>
      <c r="D44" s="28" t="str">
        <f aca="false">IF(C44="","",IFERROR(INDEX(Players!$C$5:$C$104,MATCH(C44,Players!$B$5:$B$104,0)),"ID not found"))</f>
        <v/>
      </c>
      <c r="E44" s="27"/>
      <c r="F44" s="27"/>
      <c r="G44" s="28" t="str">
        <f aca="false">IF(F44="","",IFERROR(INDEX('Hitting Drills'!$D$6:$D$45,MATCH(F44,'Hitting Drills'!$B$6:$B$45,0)),"Not a hitting drill ID"))</f>
        <v/>
      </c>
      <c r="H44" s="27"/>
      <c r="I44" s="27"/>
      <c r="J44" s="27"/>
      <c r="K44" s="27"/>
      <c r="L44" s="27"/>
      <c r="M44" s="27"/>
      <c r="N44" s="27"/>
      <c r="O44" s="27"/>
      <c r="P44" s="27"/>
      <c r="Q44" s="27"/>
      <c r="R44" s="27"/>
      <c r="S44" s="29" t="str">
        <f aca="false">IF(OR(B44="",C44=""),"",IF(COUNTIFS($B$5:B44,B44,$C$5:C44,C44)=1,1,0))</f>
        <v/>
      </c>
      <c r="T44" s="29" t="str">
        <f aca="false">IF(OR(B44="",C44="",E44=""),"",IF(COUNTIFS($B$5:B44,B44,$C$5:C44,C44,$E$5:E44,E44)=1,1,0))</f>
        <v/>
      </c>
      <c r="U44" s="28" t="str">
        <f aca="false">IF(COUNTA(B44:C44,E44:F44,H44:P44)=0,"",IF(OR(B44="",C44="",E44=""),"Check: date, player, and context required",IF(AND(ISNUMBER(J44),ISNUMBER(I44),J44&gt;I44),"Check: solid contacts &gt; swings",IF(AND(ISNUMBER(L44),ISNUMBER(K44),L44&gt;K44),"Check: correct &gt; assessed decisions",IF(AND(ISNUMBER(N44),ISNUMBER(M44),N44&gt;M44),"Check: intended &gt; assessed landings",IF(AND(ISNUMBER(J44),I44=""),"Check: solid contacts without swings","OK"))))))</f>
        <v/>
      </c>
    </row>
    <row r="45" customFormat="false" ht="15" hidden="false" customHeight="false" outlineLevel="0" collapsed="false">
      <c r="B45" s="26"/>
      <c r="C45" s="27"/>
      <c r="D45" s="28" t="str">
        <f aca="false">IF(C45="","",IFERROR(INDEX(Players!$C$5:$C$104,MATCH(C45,Players!$B$5:$B$104,0)),"ID not found"))</f>
        <v/>
      </c>
      <c r="E45" s="27"/>
      <c r="F45" s="27"/>
      <c r="G45" s="28" t="str">
        <f aca="false">IF(F45="","",IFERROR(INDEX('Hitting Drills'!$D$6:$D$45,MATCH(F45,'Hitting Drills'!$B$6:$B$45,0)),"Not a hitting drill ID"))</f>
        <v/>
      </c>
      <c r="H45" s="27"/>
      <c r="I45" s="27"/>
      <c r="J45" s="27"/>
      <c r="K45" s="27"/>
      <c r="L45" s="27"/>
      <c r="M45" s="27"/>
      <c r="N45" s="27"/>
      <c r="O45" s="27"/>
      <c r="P45" s="27"/>
      <c r="Q45" s="27"/>
      <c r="R45" s="27"/>
      <c r="S45" s="29" t="str">
        <f aca="false">IF(OR(B45="",C45=""),"",IF(COUNTIFS($B$5:B45,B45,$C$5:C45,C45)=1,1,0))</f>
        <v/>
      </c>
      <c r="T45" s="29" t="str">
        <f aca="false">IF(OR(B45="",C45="",E45=""),"",IF(COUNTIFS($B$5:B45,B45,$C$5:C45,C45,$E$5:E45,E45)=1,1,0))</f>
        <v/>
      </c>
      <c r="U45" s="28" t="str">
        <f aca="false">IF(COUNTA(B45:C45,E45:F45,H45:P45)=0,"",IF(OR(B45="",C45="",E45=""),"Check: date, player, and context required",IF(AND(ISNUMBER(J45),ISNUMBER(I45),J45&gt;I45),"Check: solid contacts &gt; swings",IF(AND(ISNUMBER(L45),ISNUMBER(K45),L45&gt;K45),"Check: correct &gt; assessed decisions",IF(AND(ISNUMBER(N45),ISNUMBER(M45),N45&gt;M45),"Check: intended &gt; assessed landings",IF(AND(ISNUMBER(J45),I45=""),"Check: solid contacts without swings","OK"))))))</f>
        <v/>
      </c>
    </row>
    <row r="46" customFormat="false" ht="15" hidden="false" customHeight="false" outlineLevel="0" collapsed="false">
      <c r="B46" s="26"/>
      <c r="C46" s="27"/>
      <c r="D46" s="28" t="str">
        <f aca="false">IF(C46="","",IFERROR(INDEX(Players!$C$5:$C$104,MATCH(C46,Players!$B$5:$B$104,0)),"ID not found"))</f>
        <v/>
      </c>
      <c r="E46" s="27"/>
      <c r="F46" s="27"/>
      <c r="G46" s="28" t="str">
        <f aca="false">IF(F46="","",IFERROR(INDEX('Hitting Drills'!$D$6:$D$45,MATCH(F46,'Hitting Drills'!$B$6:$B$45,0)),"Not a hitting drill ID"))</f>
        <v/>
      </c>
      <c r="H46" s="27"/>
      <c r="I46" s="27"/>
      <c r="J46" s="27"/>
      <c r="K46" s="27"/>
      <c r="L46" s="27"/>
      <c r="M46" s="27"/>
      <c r="N46" s="27"/>
      <c r="O46" s="27"/>
      <c r="P46" s="27"/>
      <c r="Q46" s="27"/>
      <c r="R46" s="27"/>
      <c r="S46" s="29" t="str">
        <f aca="false">IF(OR(B46="",C46=""),"",IF(COUNTIFS($B$5:B46,B46,$C$5:C46,C46)=1,1,0))</f>
        <v/>
      </c>
      <c r="T46" s="29" t="str">
        <f aca="false">IF(OR(B46="",C46="",E46=""),"",IF(COUNTIFS($B$5:B46,B46,$C$5:C46,C46,$E$5:E46,E46)=1,1,0))</f>
        <v/>
      </c>
      <c r="U46" s="28" t="str">
        <f aca="false">IF(COUNTA(B46:C46,E46:F46,H46:P46)=0,"",IF(OR(B46="",C46="",E46=""),"Check: date, player, and context required",IF(AND(ISNUMBER(J46),ISNUMBER(I46),J46&gt;I46),"Check: solid contacts &gt; swings",IF(AND(ISNUMBER(L46),ISNUMBER(K46),L46&gt;K46),"Check: correct &gt; assessed decisions",IF(AND(ISNUMBER(N46),ISNUMBER(M46),N46&gt;M46),"Check: intended &gt; assessed landings",IF(AND(ISNUMBER(J46),I46=""),"Check: solid contacts without swings","OK"))))))</f>
        <v/>
      </c>
    </row>
    <row r="47" customFormat="false" ht="15" hidden="false" customHeight="false" outlineLevel="0" collapsed="false">
      <c r="B47" s="26"/>
      <c r="C47" s="27"/>
      <c r="D47" s="28" t="str">
        <f aca="false">IF(C47="","",IFERROR(INDEX(Players!$C$5:$C$104,MATCH(C47,Players!$B$5:$B$104,0)),"ID not found"))</f>
        <v/>
      </c>
      <c r="E47" s="27"/>
      <c r="F47" s="27"/>
      <c r="G47" s="28" t="str">
        <f aca="false">IF(F47="","",IFERROR(INDEX('Hitting Drills'!$D$6:$D$45,MATCH(F47,'Hitting Drills'!$B$6:$B$45,0)),"Not a hitting drill ID"))</f>
        <v/>
      </c>
      <c r="H47" s="27"/>
      <c r="I47" s="27"/>
      <c r="J47" s="27"/>
      <c r="K47" s="27"/>
      <c r="L47" s="27"/>
      <c r="M47" s="27"/>
      <c r="N47" s="27"/>
      <c r="O47" s="27"/>
      <c r="P47" s="27"/>
      <c r="Q47" s="27"/>
      <c r="R47" s="27"/>
      <c r="S47" s="29" t="str">
        <f aca="false">IF(OR(B47="",C47=""),"",IF(COUNTIFS($B$5:B47,B47,$C$5:C47,C47)=1,1,0))</f>
        <v/>
      </c>
      <c r="T47" s="29" t="str">
        <f aca="false">IF(OR(B47="",C47="",E47=""),"",IF(COUNTIFS($B$5:B47,B47,$C$5:C47,C47,$E$5:E47,E47)=1,1,0))</f>
        <v/>
      </c>
      <c r="U47" s="28" t="str">
        <f aca="false">IF(COUNTA(B47:C47,E47:F47,H47:P47)=0,"",IF(OR(B47="",C47="",E47=""),"Check: date, player, and context required",IF(AND(ISNUMBER(J47),ISNUMBER(I47),J47&gt;I47),"Check: solid contacts &gt; swings",IF(AND(ISNUMBER(L47),ISNUMBER(K47),L47&gt;K47),"Check: correct &gt; assessed decisions",IF(AND(ISNUMBER(N47),ISNUMBER(M47),N47&gt;M47),"Check: intended &gt; assessed landings",IF(AND(ISNUMBER(J47),I47=""),"Check: solid contacts without swings","OK"))))))</f>
        <v/>
      </c>
    </row>
    <row r="48" customFormat="false" ht="15" hidden="false" customHeight="false" outlineLevel="0" collapsed="false">
      <c r="B48" s="26"/>
      <c r="C48" s="27"/>
      <c r="D48" s="28" t="str">
        <f aca="false">IF(C48="","",IFERROR(INDEX(Players!$C$5:$C$104,MATCH(C48,Players!$B$5:$B$104,0)),"ID not found"))</f>
        <v/>
      </c>
      <c r="E48" s="27"/>
      <c r="F48" s="27"/>
      <c r="G48" s="28" t="str">
        <f aca="false">IF(F48="","",IFERROR(INDEX('Hitting Drills'!$D$6:$D$45,MATCH(F48,'Hitting Drills'!$B$6:$B$45,0)),"Not a hitting drill ID"))</f>
        <v/>
      </c>
      <c r="H48" s="27"/>
      <c r="I48" s="27"/>
      <c r="J48" s="27"/>
      <c r="K48" s="27"/>
      <c r="L48" s="27"/>
      <c r="M48" s="27"/>
      <c r="N48" s="27"/>
      <c r="O48" s="27"/>
      <c r="P48" s="27"/>
      <c r="Q48" s="27"/>
      <c r="R48" s="27"/>
      <c r="S48" s="29" t="str">
        <f aca="false">IF(OR(B48="",C48=""),"",IF(COUNTIFS($B$5:B48,B48,$C$5:C48,C48)=1,1,0))</f>
        <v/>
      </c>
      <c r="T48" s="29" t="str">
        <f aca="false">IF(OR(B48="",C48="",E48=""),"",IF(COUNTIFS($B$5:B48,B48,$C$5:C48,C48,$E$5:E48,E48)=1,1,0))</f>
        <v/>
      </c>
      <c r="U48" s="28" t="str">
        <f aca="false">IF(COUNTA(B48:C48,E48:F48,H48:P48)=0,"",IF(OR(B48="",C48="",E48=""),"Check: date, player, and context required",IF(AND(ISNUMBER(J48),ISNUMBER(I48),J48&gt;I48),"Check: solid contacts &gt; swings",IF(AND(ISNUMBER(L48),ISNUMBER(K48),L48&gt;K48),"Check: correct &gt; assessed decisions",IF(AND(ISNUMBER(N48),ISNUMBER(M48),N48&gt;M48),"Check: intended &gt; assessed landings",IF(AND(ISNUMBER(J48),I48=""),"Check: solid contacts without swings","OK"))))))</f>
        <v/>
      </c>
    </row>
    <row r="49" customFormat="false" ht="15" hidden="false" customHeight="false" outlineLevel="0" collapsed="false">
      <c r="B49" s="26"/>
      <c r="C49" s="27"/>
      <c r="D49" s="28" t="str">
        <f aca="false">IF(C49="","",IFERROR(INDEX(Players!$C$5:$C$104,MATCH(C49,Players!$B$5:$B$104,0)),"ID not found"))</f>
        <v/>
      </c>
      <c r="E49" s="27"/>
      <c r="F49" s="27"/>
      <c r="G49" s="28" t="str">
        <f aca="false">IF(F49="","",IFERROR(INDEX('Hitting Drills'!$D$6:$D$45,MATCH(F49,'Hitting Drills'!$B$6:$B$45,0)),"Not a hitting drill ID"))</f>
        <v/>
      </c>
      <c r="H49" s="27"/>
      <c r="I49" s="27"/>
      <c r="J49" s="27"/>
      <c r="K49" s="27"/>
      <c r="L49" s="27"/>
      <c r="M49" s="27"/>
      <c r="N49" s="27"/>
      <c r="O49" s="27"/>
      <c r="P49" s="27"/>
      <c r="Q49" s="27"/>
      <c r="R49" s="27"/>
      <c r="S49" s="29" t="str">
        <f aca="false">IF(OR(B49="",C49=""),"",IF(COUNTIFS($B$5:B49,B49,$C$5:C49,C49)=1,1,0))</f>
        <v/>
      </c>
      <c r="T49" s="29" t="str">
        <f aca="false">IF(OR(B49="",C49="",E49=""),"",IF(COUNTIFS($B$5:B49,B49,$C$5:C49,C49,$E$5:E49,E49)=1,1,0))</f>
        <v/>
      </c>
      <c r="U49" s="28" t="str">
        <f aca="false">IF(COUNTA(B49:C49,E49:F49,H49:P49)=0,"",IF(OR(B49="",C49="",E49=""),"Check: date, player, and context required",IF(AND(ISNUMBER(J49),ISNUMBER(I49),J49&gt;I49),"Check: solid contacts &gt; swings",IF(AND(ISNUMBER(L49),ISNUMBER(K49),L49&gt;K49),"Check: correct &gt; assessed decisions",IF(AND(ISNUMBER(N49),ISNUMBER(M49),N49&gt;M49),"Check: intended &gt; assessed landings",IF(AND(ISNUMBER(J49),I49=""),"Check: solid contacts without swings","OK"))))))</f>
        <v/>
      </c>
    </row>
    <row r="50" customFormat="false" ht="15" hidden="false" customHeight="false" outlineLevel="0" collapsed="false">
      <c r="B50" s="26"/>
      <c r="C50" s="27"/>
      <c r="D50" s="28" t="str">
        <f aca="false">IF(C50="","",IFERROR(INDEX(Players!$C$5:$C$104,MATCH(C50,Players!$B$5:$B$104,0)),"ID not found"))</f>
        <v/>
      </c>
      <c r="E50" s="27"/>
      <c r="F50" s="27"/>
      <c r="G50" s="28" t="str">
        <f aca="false">IF(F50="","",IFERROR(INDEX('Hitting Drills'!$D$6:$D$45,MATCH(F50,'Hitting Drills'!$B$6:$B$45,0)),"Not a hitting drill ID"))</f>
        <v/>
      </c>
      <c r="H50" s="27"/>
      <c r="I50" s="27"/>
      <c r="J50" s="27"/>
      <c r="K50" s="27"/>
      <c r="L50" s="27"/>
      <c r="M50" s="27"/>
      <c r="N50" s="27"/>
      <c r="O50" s="27"/>
      <c r="P50" s="27"/>
      <c r="Q50" s="27"/>
      <c r="R50" s="27"/>
      <c r="S50" s="29" t="str">
        <f aca="false">IF(OR(B50="",C50=""),"",IF(COUNTIFS($B$5:B50,B50,$C$5:C50,C50)=1,1,0))</f>
        <v/>
      </c>
      <c r="T50" s="29" t="str">
        <f aca="false">IF(OR(B50="",C50="",E50=""),"",IF(COUNTIFS($B$5:B50,B50,$C$5:C50,C50,$E$5:E50,E50)=1,1,0))</f>
        <v/>
      </c>
      <c r="U50" s="28" t="str">
        <f aca="false">IF(COUNTA(B50:C50,E50:F50,H50:P50)=0,"",IF(OR(B50="",C50="",E50=""),"Check: date, player, and context required",IF(AND(ISNUMBER(J50),ISNUMBER(I50),J50&gt;I50),"Check: solid contacts &gt; swings",IF(AND(ISNUMBER(L50),ISNUMBER(K50),L50&gt;K50),"Check: correct &gt; assessed decisions",IF(AND(ISNUMBER(N50),ISNUMBER(M50),N50&gt;M50),"Check: intended &gt; assessed landings",IF(AND(ISNUMBER(J50),I50=""),"Check: solid contacts without swings","OK"))))))</f>
        <v/>
      </c>
    </row>
    <row r="51" customFormat="false" ht="15" hidden="false" customHeight="false" outlineLevel="0" collapsed="false">
      <c r="B51" s="26"/>
      <c r="C51" s="27"/>
      <c r="D51" s="28" t="str">
        <f aca="false">IF(C51="","",IFERROR(INDEX(Players!$C$5:$C$104,MATCH(C51,Players!$B$5:$B$104,0)),"ID not found"))</f>
        <v/>
      </c>
      <c r="E51" s="27"/>
      <c r="F51" s="27"/>
      <c r="G51" s="28" t="str">
        <f aca="false">IF(F51="","",IFERROR(INDEX('Hitting Drills'!$D$6:$D$45,MATCH(F51,'Hitting Drills'!$B$6:$B$45,0)),"Not a hitting drill ID"))</f>
        <v/>
      </c>
      <c r="H51" s="27"/>
      <c r="I51" s="27"/>
      <c r="J51" s="27"/>
      <c r="K51" s="27"/>
      <c r="L51" s="27"/>
      <c r="M51" s="27"/>
      <c r="N51" s="27"/>
      <c r="O51" s="27"/>
      <c r="P51" s="27"/>
      <c r="Q51" s="27"/>
      <c r="R51" s="27"/>
      <c r="S51" s="29" t="str">
        <f aca="false">IF(OR(B51="",C51=""),"",IF(COUNTIFS($B$5:B51,B51,$C$5:C51,C51)=1,1,0))</f>
        <v/>
      </c>
      <c r="T51" s="29" t="str">
        <f aca="false">IF(OR(B51="",C51="",E51=""),"",IF(COUNTIFS($B$5:B51,B51,$C$5:C51,C51,$E$5:E51,E51)=1,1,0))</f>
        <v/>
      </c>
      <c r="U51" s="28" t="str">
        <f aca="false">IF(COUNTA(B51:C51,E51:F51,H51:P51)=0,"",IF(OR(B51="",C51="",E51=""),"Check: date, player, and context required",IF(AND(ISNUMBER(J51),ISNUMBER(I51),J51&gt;I51),"Check: solid contacts &gt; swings",IF(AND(ISNUMBER(L51),ISNUMBER(K51),L51&gt;K51),"Check: correct &gt; assessed decisions",IF(AND(ISNUMBER(N51),ISNUMBER(M51),N51&gt;M51),"Check: intended &gt; assessed landings",IF(AND(ISNUMBER(J51),I51=""),"Check: solid contacts without swings","OK"))))))</f>
        <v/>
      </c>
    </row>
    <row r="52" customFormat="false" ht="15" hidden="false" customHeight="false" outlineLevel="0" collapsed="false">
      <c r="B52" s="26"/>
      <c r="C52" s="27"/>
      <c r="D52" s="28" t="str">
        <f aca="false">IF(C52="","",IFERROR(INDEX(Players!$C$5:$C$104,MATCH(C52,Players!$B$5:$B$104,0)),"ID not found"))</f>
        <v/>
      </c>
      <c r="E52" s="27"/>
      <c r="F52" s="27"/>
      <c r="G52" s="28" t="str">
        <f aca="false">IF(F52="","",IFERROR(INDEX('Hitting Drills'!$D$6:$D$45,MATCH(F52,'Hitting Drills'!$B$6:$B$45,0)),"Not a hitting drill ID"))</f>
        <v/>
      </c>
      <c r="H52" s="27"/>
      <c r="I52" s="27"/>
      <c r="J52" s="27"/>
      <c r="K52" s="27"/>
      <c r="L52" s="27"/>
      <c r="M52" s="27"/>
      <c r="N52" s="27"/>
      <c r="O52" s="27"/>
      <c r="P52" s="27"/>
      <c r="Q52" s="27"/>
      <c r="R52" s="27"/>
      <c r="S52" s="29" t="str">
        <f aca="false">IF(OR(B52="",C52=""),"",IF(COUNTIFS($B$5:B52,B52,$C$5:C52,C52)=1,1,0))</f>
        <v/>
      </c>
      <c r="T52" s="29" t="str">
        <f aca="false">IF(OR(B52="",C52="",E52=""),"",IF(COUNTIFS($B$5:B52,B52,$C$5:C52,C52,$E$5:E52,E52)=1,1,0))</f>
        <v/>
      </c>
      <c r="U52" s="28" t="str">
        <f aca="false">IF(COUNTA(B52:C52,E52:F52,H52:P52)=0,"",IF(OR(B52="",C52="",E52=""),"Check: date, player, and context required",IF(AND(ISNUMBER(J52),ISNUMBER(I52),J52&gt;I52),"Check: solid contacts &gt; swings",IF(AND(ISNUMBER(L52),ISNUMBER(K52),L52&gt;K52),"Check: correct &gt; assessed decisions",IF(AND(ISNUMBER(N52),ISNUMBER(M52),N52&gt;M52),"Check: intended &gt; assessed landings",IF(AND(ISNUMBER(J52),I52=""),"Check: solid contacts without swings","OK"))))))</f>
        <v/>
      </c>
    </row>
    <row r="53" customFormat="false" ht="15" hidden="false" customHeight="false" outlineLevel="0" collapsed="false">
      <c r="B53" s="26"/>
      <c r="C53" s="27"/>
      <c r="D53" s="28" t="str">
        <f aca="false">IF(C53="","",IFERROR(INDEX(Players!$C$5:$C$104,MATCH(C53,Players!$B$5:$B$104,0)),"ID not found"))</f>
        <v/>
      </c>
      <c r="E53" s="27"/>
      <c r="F53" s="27"/>
      <c r="G53" s="28" t="str">
        <f aca="false">IF(F53="","",IFERROR(INDEX('Hitting Drills'!$D$6:$D$45,MATCH(F53,'Hitting Drills'!$B$6:$B$45,0)),"Not a hitting drill ID"))</f>
        <v/>
      </c>
      <c r="H53" s="27"/>
      <c r="I53" s="27"/>
      <c r="J53" s="27"/>
      <c r="K53" s="27"/>
      <c r="L53" s="27"/>
      <c r="M53" s="27"/>
      <c r="N53" s="27"/>
      <c r="O53" s="27"/>
      <c r="P53" s="27"/>
      <c r="Q53" s="27"/>
      <c r="R53" s="27"/>
      <c r="S53" s="29" t="str">
        <f aca="false">IF(OR(B53="",C53=""),"",IF(COUNTIFS($B$5:B53,B53,$C$5:C53,C53)=1,1,0))</f>
        <v/>
      </c>
      <c r="T53" s="29" t="str">
        <f aca="false">IF(OR(B53="",C53="",E53=""),"",IF(COUNTIFS($B$5:B53,B53,$C$5:C53,C53,$E$5:E53,E53)=1,1,0))</f>
        <v/>
      </c>
      <c r="U53" s="28" t="str">
        <f aca="false">IF(COUNTA(B53:C53,E53:F53,H53:P53)=0,"",IF(OR(B53="",C53="",E53=""),"Check: date, player, and context required",IF(AND(ISNUMBER(J53),ISNUMBER(I53),J53&gt;I53),"Check: solid contacts &gt; swings",IF(AND(ISNUMBER(L53),ISNUMBER(K53),L53&gt;K53),"Check: correct &gt; assessed decisions",IF(AND(ISNUMBER(N53),ISNUMBER(M53),N53&gt;M53),"Check: intended &gt; assessed landings",IF(AND(ISNUMBER(J53),I53=""),"Check: solid contacts without swings","OK"))))))</f>
        <v/>
      </c>
    </row>
    <row r="54" customFormat="false" ht="15" hidden="false" customHeight="false" outlineLevel="0" collapsed="false">
      <c r="B54" s="26"/>
      <c r="C54" s="27"/>
      <c r="D54" s="28" t="str">
        <f aca="false">IF(C54="","",IFERROR(INDEX(Players!$C$5:$C$104,MATCH(C54,Players!$B$5:$B$104,0)),"ID not found"))</f>
        <v/>
      </c>
      <c r="E54" s="27"/>
      <c r="F54" s="27"/>
      <c r="G54" s="28" t="str">
        <f aca="false">IF(F54="","",IFERROR(INDEX('Hitting Drills'!$D$6:$D$45,MATCH(F54,'Hitting Drills'!$B$6:$B$45,0)),"Not a hitting drill ID"))</f>
        <v/>
      </c>
      <c r="H54" s="27"/>
      <c r="I54" s="27"/>
      <c r="J54" s="27"/>
      <c r="K54" s="27"/>
      <c r="L54" s="27"/>
      <c r="M54" s="27"/>
      <c r="N54" s="27"/>
      <c r="O54" s="27"/>
      <c r="P54" s="27"/>
      <c r="Q54" s="27"/>
      <c r="R54" s="27"/>
      <c r="S54" s="29" t="str">
        <f aca="false">IF(OR(B54="",C54=""),"",IF(COUNTIFS($B$5:B54,B54,$C$5:C54,C54)=1,1,0))</f>
        <v/>
      </c>
      <c r="T54" s="29" t="str">
        <f aca="false">IF(OR(B54="",C54="",E54=""),"",IF(COUNTIFS($B$5:B54,B54,$C$5:C54,C54,$E$5:E54,E54)=1,1,0))</f>
        <v/>
      </c>
      <c r="U54" s="28" t="str">
        <f aca="false">IF(COUNTA(B54:C54,E54:F54,H54:P54)=0,"",IF(OR(B54="",C54="",E54=""),"Check: date, player, and context required",IF(AND(ISNUMBER(J54),ISNUMBER(I54),J54&gt;I54),"Check: solid contacts &gt; swings",IF(AND(ISNUMBER(L54),ISNUMBER(K54),L54&gt;K54),"Check: correct &gt; assessed decisions",IF(AND(ISNUMBER(N54),ISNUMBER(M54),N54&gt;M54),"Check: intended &gt; assessed landings",IF(AND(ISNUMBER(J54),I54=""),"Check: solid contacts without swings","OK"))))))</f>
        <v/>
      </c>
    </row>
    <row r="55" customFormat="false" ht="15" hidden="false" customHeight="false" outlineLevel="0" collapsed="false">
      <c r="B55" s="26"/>
      <c r="C55" s="27"/>
      <c r="D55" s="28" t="str">
        <f aca="false">IF(C55="","",IFERROR(INDEX(Players!$C$5:$C$104,MATCH(C55,Players!$B$5:$B$104,0)),"ID not found"))</f>
        <v/>
      </c>
      <c r="E55" s="27"/>
      <c r="F55" s="27"/>
      <c r="G55" s="28" t="str">
        <f aca="false">IF(F55="","",IFERROR(INDEX('Hitting Drills'!$D$6:$D$45,MATCH(F55,'Hitting Drills'!$B$6:$B$45,0)),"Not a hitting drill ID"))</f>
        <v/>
      </c>
      <c r="H55" s="27"/>
      <c r="I55" s="27"/>
      <c r="J55" s="27"/>
      <c r="K55" s="27"/>
      <c r="L55" s="27"/>
      <c r="M55" s="27"/>
      <c r="N55" s="27"/>
      <c r="O55" s="27"/>
      <c r="P55" s="27"/>
      <c r="Q55" s="27"/>
      <c r="R55" s="27"/>
      <c r="S55" s="29" t="str">
        <f aca="false">IF(OR(B55="",C55=""),"",IF(COUNTIFS($B$5:B55,B55,$C$5:C55,C55)=1,1,0))</f>
        <v/>
      </c>
      <c r="T55" s="29" t="str">
        <f aca="false">IF(OR(B55="",C55="",E55=""),"",IF(COUNTIFS($B$5:B55,B55,$C$5:C55,C55,$E$5:E55,E55)=1,1,0))</f>
        <v/>
      </c>
      <c r="U55" s="28" t="str">
        <f aca="false">IF(COUNTA(B55:C55,E55:F55,H55:P55)=0,"",IF(OR(B55="",C55="",E55=""),"Check: date, player, and context required",IF(AND(ISNUMBER(J55),ISNUMBER(I55),J55&gt;I55),"Check: solid contacts &gt; swings",IF(AND(ISNUMBER(L55),ISNUMBER(K55),L55&gt;K55),"Check: correct &gt; assessed decisions",IF(AND(ISNUMBER(N55),ISNUMBER(M55),N55&gt;M55),"Check: intended &gt; assessed landings",IF(AND(ISNUMBER(J55),I55=""),"Check: solid contacts without swings","OK"))))))</f>
        <v/>
      </c>
    </row>
    <row r="56" customFormat="false" ht="15" hidden="false" customHeight="false" outlineLevel="0" collapsed="false">
      <c r="B56" s="26"/>
      <c r="C56" s="27"/>
      <c r="D56" s="28" t="str">
        <f aca="false">IF(C56="","",IFERROR(INDEX(Players!$C$5:$C$104,MATCH(C56,Players!$B$5:$B$104,0)),"ID not found"))</f>
        <v/>
      </c>
      <c r="E56" s="27"/>
      <c r="F56" s="27"/>
      <c r="G56" s="28" t="str">
        <f aca="false">IF(F56="","",IFERROR(INDEX('Hitting Drills'!$D$6:$D$45,MATCH(F56,'Hitting Drills'!$B$6:$B$45,0)),"Not a hitting drill ID"))</f>
        <v/>
      </c>
      <c r="H56" s="27"/>
      <c r="I56" s="27"/>
      <c r="J56" s="27"/>
      <c r="K56" s="27"/>
      <c r="L56" s="27"/>
      <c r="M56" s="27"/>
      <c r="N56" s="27"/>
      <c r="O56" s="27"/>
      <c r="P56" s="27"/>
      <c r="Q56" s="27"/>
      <c r="R56" s="27"/>
      <c r="S56" s="29" t="str">
        <f aca="false">IF(OR(B56="",C56=""),"",IF(COUNTIFS($B$5:B56,B56,$C$5:C56,C56)=1,1,0))</f>
        <v/>
      </c>
      <c r="T56" s="29" t="str">
        <f aca="false">IF(OR(B56="",C56="",E56=""),"",IF(COUNTIFS($B$5:B56,B56,$C$5:C56,C56,$E$5:E56,E56)=1,1,0))</f>
        <v/>
      </c>
      <c r="U56" s="28" t="str">
        <f aca="false">IF(COUNTA(B56:C56,E56:F56,H56:P56)=0,"",IF(OR(B56="",C56="",E56=""),"Check: date, player, and context required",IF(AND(ISNUMBER(J56),ISNUMBER(I56),J56&gt;I56),"Check: solid contacts &gt; swings",IF(AND(ISNUMBER(L56),ISNUMBER(K56),L56&gt;K56),"Check: correct &gt; assessed decisions",IF(AND(ISNUMBER(N56),ISNUMBER(M56),N56&gt;M56),"Check: intended &gt; assessed landings",IF(AND(ISNUMBER(J56),I56=""),"Check: solid contacts without swings","OK"))))))</f>
        <v/>
      </c>
    </row>
    <row r="57" customFormat="false" ht="15" hidden="false" customHeight="false" outlineLevel="0" collapsed="false">
      <c r="B57" s="26"/>
      <c r="C57" s="27"/>
      <c r="D57" s="28" t="str">
        <f aca="false">IF(C57="","",IFERROR(INDEX(Players!$C$5:$C$104,MATCH(C57,Players!$B$5:$B$104,0)),"ID not found"))</f>
        <v/>
      </c>
      <c r="E57" s="27"/>
      <c r="F57" s="27"/>
      <c r="G57" s="28" t="str">
        <f aca="false">IF(F57="","",IFERROR(INDEX('Hitting Drills'!$D$6:$D$45,MATCH(F57,'Hitting Drills'!$B$6:$B$45,0)),"Not a hitting drill ID"))</f>
        <v/>
      </c>
      <c r="H57" s="27"/>
      <c r="I57" s="27"/>
      <c r="J57" s="27"/>
      <c r="K57" s="27"/>
      <c r="L57" s="27"/>
      <c r="M57" s="27"/>
      <c r="N57" s="27"/>
      <c r="O57" s="27"/>
      <c r="P57" s="27"/>
      <c r="Q57" s="27"/>
      <c r="R57" s="27"/>
      <c r="S57" s="29" t="str">
        <f aca="false">IF(OR(B57="",C57=""),"",IF(COUNTIFS($B$5:B57,B57,$C$5:C57,C57)=1,1,0))</f>
        <v/>
      </c>
      <c r="T57" s="29" t="str">
        <f aca="false">IF(OR(B57="",C57="",E57=""),"",IF(COUNTIFS($B$5:B57,B57,$C$5:C57,C57,$E$5:E57,E57)=1,1,0))</f>
        <v/>
      </c>
      <c r="U57" s="28" t="str">
        <f aca="false">IF(COUNTA(B57:C57,E57:F57,H57:P57)=0,"",IF(OR(B57="",C57="",E57=""),"Check: date, player, and context required",IF(AND(ISNUMBER(J57),ISNUMBER(I57),J57&gt;I57),"Check: solid contacts &gt; swings",IF(AND(ISNUMBER(L57),ISNUMBER(K57),L57&gt;K57),"Check: correct &gt; assessed decisions",IF(AND(ISNUMBER(N57),ISNUMBER(M57),N57&gt;M57),"Check: intended &gt; assessed landings",IF(AND(ISNUMBER(J57),I57=""),"Check: solid contacts without swings","OK"))))))</f>
        <v/>
      </c>
    </row>
    <row r="58" customFormat="false" ht="15" hidden="false" customHeight="false" outlineLevel="0" collapsed="false">
      <c r="B58" s="26"/>
      <c r="C58" s="27"/>
      <c r="D58" s="28" t="str">
        <f aca="false">IF(C58="","",IFERROR(INDEX(Players!$C$5:$C$104,MATCH(C58,Players!$B$5:$B$104,0)),"ID not found"))</f>
        <v/>
      </c>
      <c r="E58" s="27"/>
      <c r="F58" s="27"/>
      <c r="G58" s="28" t="str">
        <f aca="false">IF(F58="","",IFERROR(INDEX('Hitting Drills'!$D$6:$D$45,MATCH(F58,'Hitting Drills'!$B$6:$B$45,0)),"Not a hitting drill ID"))</f>
        <v/>
      </c>
      <c r="H58" s="27"/>
      <c r="I58" s="27"/>
      <c r="J58" s="27"/>
      <c r="K58" s="27"/>
      <c r="L58" s="27"/>
      <c r="M58" s="27"/>
      <c r="N58" s="27"/>
      <c r="O58" s="27"/>
      <c r="P58" s="27"/>
      <c r="Q58" s="27"/>
      <c r="R58" s="27"/>
      <c r="S58" s="29" t="str">
        <f aca="false">IF(OR(B58="",C58=""),"",IF(COUNTIFS($B$5:B58,B58,$C$5:C58,C58)=1,1,0))</f>
        <v/>
      </c>
      <c r="T58" s="29" t="str">
        <f aca="false">IF(OR(B58="",C58="",E58=""),"",IF(COUNTIFS($B$5:B58,B58,$C$5:C58,C58,$E$5:E58,E58)=1,1,0))</f>
        <v/>
      </c>
      <c r="U58" s="28" t="str">
        <f aca="false">IF(COUNTA(B58:C58,E58:F58,H58:P58)=0,"",IF(OR(B58="",C58="",E58=""),"Check: date, player, and context required",IF(AND(ISNUMBER(J58),ISNUMBER(I58),J58&gt;I58),"Check: solid contacts &gt; swings",IF(AND(ISNUMBER(L58),ISNUMBER(K58),L58&gt;K58),"Check: correct &gt; assessed decisions",IF(AND(ISNUMBER(N58),ISNUMBER(M58),N58&gt;M58),"Check: intended &gt; assessed landings",IF(AND(ISNUMBER(J58),I58=""),"Check: solid contacts without swings","OK"))))))</f>
        <v/>
      </c>
    </row>
    <row r="59" customFormat="false" ht="15" hidden="false" customHeight="false" outlineLevel="0" collapsed="false">
      <c r="B59" s="26"/>
      <c r="C59" s="27"/>
      <c r="D59" s="28" t="str">
        <f aca="false">IF(C59="","",IFERROR(INDEX(Players!$C$5:$C$104,MATCH(C59,Players!$B$5:$B$104,0)),"ID not found"))</f>
        <v/>
      </c>
      <c r="E59" s="27"/>
      <c r="F59" s="27"/>
      <c r="G59" s="28" t="str">
        <f aca="false">IF(F59="","",IFERROR(INDEX('Hitting Drills'!$D$6:$D$45,MATCH(F59,'Hitting Drills'!$B$6:$B$45,0)),"Not a hitting drill ID"))</f>
        <v/>
      </c>
      <c r="H59" s="27"/>
      <c r="I59" s="27"/>
      <c r="J59" s="27"/>
      <c r="K59" s="27"/>
      <c r="L59" s="27"/>
      <c r="M59" s="27"/>
      <c r="N59" s="27"/>
      <c r="O59" s="27"/>
      <c r="P59" s="27"/>
      <c r="Q59" s="27"/>
      <c r="R59" s="27"/>
      <c r="S59" s="29" t="str">
        <f aca="false">IF(OR(B59="",C59=""),"",IF(COUNTIFS($B$5:B59,B59,$C$5:C59,C59)=1,1,0))</f>
        <v/>
      </c>
      <c r="T59" s="29" t="str">
        <f aca="false">IF(OR(B59="",C59="",E59=""),"",IF(COUNTIFS($B$5:B59,B59,$C$5:C59,C59,$E$5:E59,E59)=1,1,0))</f>
        <v/>
      </c>
      <c r="U59" s="28" t="str">
        <f aca="false">IF(COUNTA(B59:C59,E59:F59,H59:P59)=0,"",IF(OR(B59="",C59="",E59=""),"Check: date, player, and context required",IF(AND(ISNUMBER(J59),ISNUMBER(I59),J59&gt;I59),"Check: solid contacts &gt; swings",IF(AND(ISNUMBER(L59),ISNUMBER(K59),L59&gt;K59),"Check: correct &gt; assessed decisions",IF(AND(ISNUMBER(N59),ISNUMBER(M59),N59&gt;M59),"Check: intended &gt; assessed landings",IF(AND(ISNUMBER(J59),I59=""),"Check: solid contacts without swings","OK"))))))</f>
        <v/>
      </c>
    </row>
    <row r="60" customFormat="false" ht="15" hidden="false" customHeight="false" outlineLevel="0" collapsed="false">
      <c r="B60" s="26"/>
      <c r="C60" s="27"/>
      <c r="D60" s="28" t="str">
        <f aca="false">IF(C60="","",IFERROR(INDEX(Players!$C$5:$C$104,MATCH(C60,Players!$B$5:$B$104,0)),"ID not found"))</f>
        <v/>
      </c>
      <c r="E60" s="27"/>
      <c r="F60" s="27"/>
      <c r="G60" s="28" t="str">
        <f aca="false">IF(F60="","",IFERROR(INDEX('Hitting Drills'!$D$6:$D$45,MATCH(F60,'Hitting Drills'!$B$6:$B$45,0)),"Not a hitting drill ID"))</f>
        <v/>
      </c>
      <c r="H60" s="27"/>
      <c r="I60" s="27"/>
      <c r="J60" s="27"/>
      <c r="K60" s="27"/>
      <c r="L60" s="27"/>
      <c r="M60" s="27"/>
      <c r="N60" s="27"/>
      <c r="O60" s="27"/>
      <c r="P60" s="27"/>
      <c r="Q60" s="27"/>
      <c r="R60" s="27"/>
      <c r="S60" s="29" t="str">
        <f aca="false">IF(OR(B60="",C60=""),"",IF(COUNTIFS($B$5:B60,B60,$C$5:C60,C60)=1,1,0))</f>
        <v/>
      </c>
      <c r="T60" s="29" t="str">
        <f aca="false">IF(OR(B60="",C60="",E60=""),"",IF(COUNTIFS($B$5:B60,B60,$C$5:C60,C60,$E$5:E60,E60)=1,1,0))</f>
        <v/>
      </c>
      <c r="U60" s="28" t="str">
        <f aca="false">IF(COUNTA(B60:C60,E60:F60,H60:P60)=0,"",IF(OR(B60="",C60="",E60=""),"Check: date, player, and context required",IF(AND(ISNUMBER(J60),ISNUMBER(I60),J60&gt;I60),"Check: solid contacts &gt; swings",IF(AND(ISNUMBER(L60),ISNUMBER(K60),L60&gt;K60),"Check: correct &gt; assessed decisions",IF(AND(ISNUMBER(N60),ISNUMBER(M60),N60&gt;M60),"Check: intended &gt; assessed landings",IF(AND(ISNUMBER(J60),I60=""),"Check: solid contacts without swings","OK"))))))</f>
        <v/>
      </c>
    </row>
    <row r="61" customFormat="false" ht="15" hidden="false" customHeight="false" outlineLevel="0" collapsed="false">
      <c r="B61" s="26"/>
      <c r="C61" s="27"/>
      <c r="D61" s="28" t="str">
        <f aca="false">IF(C61="","",IFERROR(INDEX(Players!$C$5:$C$104,MATCH(C61,Players!$B$5:$B$104,0)),"ID not found"))</f>
        <v/>
      </c>
      <c r="E61" s="27"/>
      <c r="F61" s="27"/>
      <c r="G61" s="28" t="str">
        <f aca="false">IF(F61="","",IFERROR(INDEX('Hitting Drills'!$D$6:$D$45,MATCH(F61,'Hitting Drills'!$B$6:$B$45,0)),"Not a hitting drill ID"))</f>
        <v/>
      </c>
      <c r="H61" s="27"/>
      <c r="I61" s="27"/>
      <c r="J61" s="27"/>
      <c r="K61" s="27"/>
      <c r="L61" s="27"/>
      <c r="M61" s="27"/>
      <c r="N61" s="27"/>
      <c r="O61" s="27"/>
      <c r="P61" s="27"/>
      <c r="Q61" s="27"/>
      <c r="R61" s="27"/>
      <c r="S61" s="29" t="str">
        <f aca="false">IF(OR(B61="",C61=""),"",IF(COUNTIFS($B$5:B61,B61,$C$5:C61,C61)=1,1,0))</f>
        <v/>
      </c>
      <c r="T61" s="29" t="str">
        <f aca="false">IF(OR(B61="",C61="",E61=""),"",IF(COUNTIFS($B$5:B61,B61,$C$5:C61,C61,$E$5:E61,E61)=1,1,0))</f>
        <v/>
      </c>
      <c r="U61" s="28" t="str">
        <f aca="false">IF(COUNTA(B61:C61,E61:F61,H61:P61)=0,"",IF(OR(B61="",C61="",E61=""),"Check: date, player, and context required",IF(AND(ISNUMBER(J61),ISNUMBER(I61),J61&gt;I61),"Check: solid contacts &gt; swings",IF(AND(ISNUMBER(L61),ISNUMBER(K61),L61&gt;K61),"Check: correct &gt; assessed decisions",IF(AND(ISNUMBER(N61),ISNUMBER(M61),N61&gt;M61),"Check: intended &gt; assessed landings",IF(AND(ISNUMBER(J61),I61=""),"Check: solid contacts without swings","OK"))))))</f>
        <v/>
      </c>
    </row>
    <row r="62" customFormat="false" ht="15" hidden="false" customHeight="false" outlineLevel="0" collapsed="false">
      <c r="B62" s="26"/>
      <c r="C62" s="27"/>
      <c r="D62" s="28" t="str">
        <f aca="false">IF(C62="","",IFERROR(INDEX(Players!$C$5:$C$104,MATCH(C62,Players!$B$5:$B$104,0)),"ID not found"))</f>
        <v/>
      </c>
      <c r="E62" s="27"/>
      <c r="F62" s="27"/>
      <c r="G62" s="28" t="str">
        <f aca="false">IF(F62="","",IFERROR(INDEX('Hitting Drills'!$D$6:$D$45,MATCH(F62,'Hitting Drills'!$B$6:$B$45,0)),"Not a hitting drill ID"))</f>
        <v/>
      </c>
      <c r="H62" s="27"/>
      <c r="I62" s="27"/>
      <c r="J62" s="27"/>
      <c r="K62" s="27"/>
      <c r="L62" s="27"/>
      <c r="M62" s="27"/>
      <c r="N62" s="27"/>
      <c r="O62" s="27"/>
      <c r="P62" s="27"/>
      <c r="Q62" s="27"/>
      <c r="R62" s="27"/>
      <c r="S62" s="29" t="str">
        <f aca="false">IF(OR(B62="",C62=""),"",IF(COUNTIFS($B$5:B62,B62,$C$5:C62,C62)=1,1,0))</f>
        <v/>
      </c>
      <c r="T62" s="29" t="str">
        <f aca="false">IF(OR(B62="",C62="",E62=""),"",IF(COUNTIFS($B$5:B62,B62,$C$5:C62,C62,$E$5:E62,E62)=1,1,0))</f>
        <v/>
      </c>
      <c r="U62" s="28" t="str">
        <f aca="false">IF(COUNTA(B62:C62,E62:F62,H62:P62)=0,"",IF(OR(B62="",C62="",E62=""),"Check: date, player, and context required",IF(AND(ISNUMBER(J62),ISNUMBER(I62),J62&gt;I62),"Check: solid contacts &gt; swings",IF(AND(ISNUMBER(L62),ISNUMBER(K62),L62&gt;K62),"Check: correct &gt; assessed decisions",IF(AND(ISNUMBER(N62),ISNUMBER(M62),N62&gt;M62),"Check: intended &gt; assessed landings",IF(AND(ISNUMBER(J62),I62=""),"Check: solid contacts without swings","OK"))))))</f>
        <v/>
      </c>
    </row>
    <row r="63" customFormat="false" ht="15" hidden="false" customHeight="false" outlineLevel="0" collapsed="false">
      <c r="B63" s="26"/>
      <c r="C63" s="27"/>
      <c r="D63" s="28" t="str">
        <f aca="false">IF(C63="","",IFERROR(INDEX(Players!$C$5:$C$104,MATCH(C63,Players!$B$5:$B$104,0)),"ID not found"))</f>
        <v/>
      </c>
      <c r="E63" s="27"/>
      <c r="F63" s="27"/>
      <c r="G63" s="28" t="str">
        <f aca="false">IF(F63="","",IFERROR(INDEX('Hitting Drills'!$D$6:$D$45,MATCH(F63,'Hitting Drills'!$B$6:$B$45,0)),"Not a hitting drill ID"))</f>
        <v/>
      </c>
      <c r="H63" s="27"/>
      <c r="I63" s="27"/>
      <c r="J63" s="27"/>
      <c r="K63" s="27"/>
      <c r="L63" s="27"/>
      <c r="M63" s="27"/>
      <c r="N63" s="27"/>
      <c r="O63" s="27"/>
      <c r="P63" s="27"/>
      <c r="Q63" s="27"/>
      <c r="R63" s="27"/>
      <c r="S63" s="29" t="str">
        <f aca="false">IF(OR(B63="",C63=""),"",IF(COUNTIFS($B$5:B63,B63,$C$5:C63,C63)=1,1,0))</f>
        <v/>
      </c>
      <c r="T63" s="29" t="str">
        <f aca="false">IF(OR(B63="",C63="",E63=""),"",IF(COUNTIFS($B$5:B63,B63,$C$5:C63,C63,$E$5:E63,E63)=1,1,0))</f>
        <v/>
      </c>
      <c r="U63" s="28" t="str">
        <f aca="false">IF(COUNTA(B63:C63,E63:F63,H63:P63)=0,"",IF(OR(B63="",C63="",E63=""),"Check: date, player, and context required",IF(AND(ISNUMBER(J63),ISNUMBER(I63),J63&gt;I63),"Check: solid contacts &gt; swings",IF(AND(ISNUMBER(L63),ISNUMBER(K63),L63&gt;K63),"Check: correct &gt; assessed decisions",IF(AND(ISNUMBER(N63),ISNUMBER(M63),N63&gt;M63),"Check: intended &gt; assessed landings",IF(AND(ISNUMBER(J63),I63=""),"Check: solid contacts without swings","OK"))))))</f>
        <v/>
      </c>
    </row>
    <row r="64" customFormat="false" ht="15" hidden="false" customHeight="false" outlineLevel="0" collapsed="false">
      <c r="B64" s="26"/>
      <c r="C64" s="27"/>
      <c r="D64" s="28" t="str">
        <f aca="false">IF(C64="","",IFERROR(INDEX(Players!$C$5:$C$104,MATCH(C64,Players!$B$5:$B$104,0)),"ID not found"))</f>
        <v/>
      </c>
      <c r="E64" s="27"/>
      <c r="F64" s="27"/>
      <c r="G64" s="28" t="str">
        <f aca="false">IF(F64="","",IFERROR(INDEX('Hitting Drills'!$D$6:$D$45,MATCH(F64,'Hitting Drills'!$B$6:$B$45,0)),"Not a hitting drill ID"))</f>
        <v/>
      </c>
      <c r="H64" s="27"/>
      <c r="I64" s="27"/>
      <c r="J64" s="27"/>
      <c r="K64" s="27"/>
      <c r="L64" s="27"/>
      <c r="M64" s="27"/>
      <c r="N64" s="27"/>
      <c r="O64" s="27"/>
      <c r="P64" s="27"/>
      <c r="Q64" s="27"/>
      <c r="R64" s="27"/>
      <c r="S64" s="29" t="str">
        <f aca="false">IF(OR(B64="",C64=""),"",IF(COUNTIFS($B$5:B64,B64,$C$5:C64,C64)=1,1,0))</f>
        <v/>
      </c>
      <c r="T64" s="29" t="str">
        <f aca="false">IF(OR(B64="",C64="",E64=""),"",IF(COUNTIFS($B$5:B64,B64,$C$5:C64,C64,$E$5:E64,E64)=1,1,0))</f>
        <v/>
      </c>
      <c r="U64" s="28" t="str">
        <f aca="false">IF(COUNTA(B64:C64,E64:F64,H64:P64)=0,"",IF(OR(B64="",C64="",E64=""),"Check: date, player, and context required",IF(AND(ISNUMBER(J64),ISNUMBER(I64),J64&gt;I64),"Check: solid contacts &gt; swings",IF(AND(ISNUMBER(L64),ISNUMBER(K64),L64&gt;K64),"Check: correct &gt; assessed decisions",IF(AND(ISNUMBER(N64),ISNUMBER(M64),N64&gt;M64),"Check: intended &gt; assessed landings",IF(AND(ISNUMBER(J64),I64=""),"Check: solid contacts without swings","OK"))))))</f>
        <v/>
      </c>
    </row>
    <row r="65" customFormat="false" ht="15" hidden="false" customHeight="false" outlineLevel="0" collapsed="false">
      <c r="B65" s="26"/>
      <c r="C65" s="27"/>
      <c r="D65" s="28" t="str">
        <f aca="false">IF(C65="","",IFERROR(INDEX(Players!$C$5:$C$104,MATCH(C65,Players!$B$5:$B$104,0)),"ID not found"))</f>
        <v/>
      </c>
      <c r="E65" s="27"/>
      <c r="F65" s="27"/>
      <c r="G65" s="28" t="str">
        <f aca="false">IF(F65="","",IFERROR(INDEX('Hitting Drills'!$D$6:$D$45,MATCH(F65,'Hitting Drills'!$B$6:$B$45,0)),"Not a hitting drill ID"))</f>
        <v/>
      </c>
      <c r="H65" s="27"/>
      <c r="I65" s="27"/>
      <c r="J65" s="27"/>
      <c r="K65" s="27"/>
      <c r="L65" s="27"/>
      <c r="M65" s="27"/>
      <c r="N65" s="27"/>
      <c r="O65" s="27"/>
      <c r="P65" s="27"/>
      <c r="Q65" s="27"/>
      <c r="R65" s="27"/>
      <c r="S65" s="29" t="str">
        <f aca="false">IF(OR(B65="",C65=""),"",IF(COUNTIFS($B$5:B65,B65,$C$5:C65,C65)=1,1,0))</f>
        <v/>
      </c>
      <c r="T65" s="29" t="str">
        <f aca="false">IF(OR(B65="",C65="",E65=""),"",IF(COUNTIFS($B$5:B65,B65,$C$5:C65,C65,$E$5:E65,E65)=1,1,0))</f>
        <v/>
      </c>
      <c r="U65" s="28" t="str">
        <f aca="false">IF(COUNTA(B65:C65,E65:F65,H65:P65)=0,"",IF(OR(B65="",C65="",E65=""),"Check: date, player, and context required",IF(AND(ISNUMBER(J65),ISNUMBER(I65),J65&gt;I65),"Check: solid contacts &gt; swings",IF(AND(ISNUMBER(L65),ISNUMBER(K65),L65&gt;K65),"Check: correct &gt; assessed decisions",IF(AND(ISNUMBER(N65),ISNUMBER(M65),N65&gt;M65),"Check: intended &gt; assessed landings",IF(AND(ISNUMBER(J65),I65=""),"Check: solid contacts without swings","OK"))))))</f>
        <v/>
      </c>
    </row>
    <row r="66" customFormat="false" ht="15" hidden="false" customHeight="false" outlineLevel="0" collapsed="false">
      <c r="B66" s="26"/>
      <c r="C66" s="27"/>
      <c r="D66" s="28" t="str">
        <f aca="false">IF(C66="","",IFERROR(INDEX(Players!$C$5:$C$104,MATCH(C66,Players!$B$5:$B$104,0)),"ID not found"))</f>
        <v/>
      </c>
      <c r="E66" s="27"/>
      <c r="F66" s="27"/>
      <c r="G66" s="28" t="str">
        <f aca="false">IF(F66="","",IFERROR(INDEX('Hitting Drills'!$D$6:$D$45,MATCH(F66,'Hitting Drills'!$B$6:$B$45,0)),"Not a hitting drill ID"))</f>
        <v/>
      </c>
      <c r="H66" s="27"/>
      <c r="I66" s="27"/>
      <c r="J66" s="27"/>
      <c r="K66" s="27"/>
      <c r="L66" s="27"/>
      <c r="M66" s="27"/>
      <c r="N66" s="27"/>
      <c r="O66" s="27"/>
      <c r="P66" s="27"/>
      <c r="Q66" s="27"/>
      <c r="R66" s="27"/>
      <c r="S66" s="29" t="str">
        <f aca="false">IF(OR(B66="",C66=""),"",IF(COUNTIFS($B$5:B66,B66,$C$5:C66,C66)=1,1,0))</f>
        <v/>
      </c>
      <c r="T66" s="29" t="str">
        <f aca="false">IF(OR(B66="",C66="",E66=""),"",IF(COUNTIFS($B$5:B66,B66,$C$5:C66,C66,$E$5:E66,E66)=1,1,0))</f>
        <v/>
      </c>
      <c r="U66" s="28" t="str">
        <f aca="false">IF(COUNTA(B66:C66,E66:F66,H66:P66)=0,"",IF(OR(B66="",C66="",E66=""),"Check: date, player, and context required",IF(AND(ISNUMBER(J66),ISNUMBER(I66),J66&gt;I66),"Check: solid contacts &gt; swings",IF(AND(ISNUMBER(L66),ISNUMBER(K66),L66&gt;K66),"Check: correct &gt; assessed decisions",IF(AND(ISNUMBER(N66),ISNUMBER(M66),N66&gt;M66),"Check: intended &gt; assessed landings",IF(AND(ISNUMBER(J66),I66=""),"Check: solid contacts without swings","OK"))))))</f>
        <v/>
      </c>
    </row>
    <row r="67" customFormat="false" ht="15" hidden="false" customHeight="false" outlineLevel="0" collapsed="false">
      <c r="B67" s="26"/>
      <c r="C67" s="27"/>
      <c r="D67" s="28" t="str">
        <f aca="false">IF(C67="","",IFERROR(INDEX(Players!$C$5:$C$104,MATCH(C67,Players!$B$5:$B$104,0)),"ID not found"))</f>
        <v/>
      </c>
      <c r="E67" s="27"/>
      <c r="F67" s="27"/>
      <c r="G67" s="28" t="str">
        <f aca="false">IF(F67="","",IFERROR(INDEX('Hitting Drills'!$D$6:$D$45,MATCH(F67,'Hitting Drills'!$B$6:$B$45,0)),"Not a hitting drill ID"))</f>
        <v/>
      </c>
      <c r="H67" s="27"/>
      <c r="I67" s="27"/>
      <c r="J67" s="27"/>
      <c r="K67" s="27"/>
      <c r="L67" s="27"/>
      <c r="M67" s="27"/>
      <c r="N67" s="27"/>
      <c r="O67" s="27"/>
      <c r="P67" s="27"/>
      <c r="Q67" s="27"/>
      <c r="R67" s="27"/>
      <c r="S67" s="29" t="str">
        <f aca="false">IF(OR(B67="",C67=""),"",IF(COUNTIFS($B$5:B67,B67,$C$5:C67,C67)=1,1,0))</f>
        <v/>
      </c>
      <c r="T67" s="29" t="str">
        <f aca="false">IF(OR(B67="",C67="",E67=""),"",IF(COUNTIFS($B$5:B67,B67,$C$5:C67,C67,$E$5:E67,E67)=1,1,0))</f>
        <v/>
      </c>
      <c r="U67" s="28" t="str">
        <f aca="false">IF(COUNTA(B67:C67,E67:F67,H67:P67)=0,"",IF(OR(B67="",C67="",E67=""),"Check: date, player, and context required",IF(AND(ISNUMBER(J67),ISNUMBER(I67),J67&gt;I67),"Check: solid contacts &gt; swings",IF(AND(ISNUMBER(L67),ISNUMBER(K67),L67&gt;K67),"Check: correct &gt; assessed decisions",IF(AND(ISNUMBER(N67),ISNUMBER(M67),N67&gt;M67),"Check: intended &gt; assessed landings",IF(AND(ISNUMBER(J67),I67=""),"Check: solid contacts without swings","OK"))))))</f>
        <v/>
      </c>
    </row>
    <row r="68" customFormat="false" ht="15" hidden="false" customHeight="false" outlineLevel="0" collapsed="false">
      <c r="B68" s="26"/>
      <c r="C68" s="27"/>
      <c r="D68" s="28" t="str">
        <f aca="false">IF(C68="","",IFERROR(INDEX(Players!$C$5:$C$104,MATCH(C68,Players!$B$5:$B$104,0)),"ID not found"))</f>
        <v/>
      </c>
      <c r="E68" s="27"/>
      <c r="F68" s="27"/>
      <c r="G68" s="28" t="str">
        <f aca="false">IF(F68="","",IFERROR(INDEX('Hitting Drills'!$D$6:$D$45,MATCH(F68,'Hitting Drills'!$B$6:$B$45,0)),"Not a hitting drill ID"))</f>
        <v/>
      </c>
      <c r="H68" s="27"/>
      <c r="I68" s="27"/>
      <c r="J68" s="27"/>
      <c r="K68" s="27"/>
      <c r="L68" s="27"/>
      <c r="M68" s="27"/>
      <c r="N68" s="27"/>
      <c r="O68" s="27"/>
      <c r="P68" s="27"/>
      <c r="Q68" s="27"/>
      <c r="R68" s="27"/>
      <c r="S68" s="29" t="str">
        <f aca="false">IF(OR(B68="",C68=""),"",IF(COUNTIFS($B$5:B68,B68,$C$5:C68,C68)=1,1,0))</f>
        <v/>
      </c>
      <c r="T68" s="29" t="str">
        <f aca="false">IF(OR(B68="",C68="",E68=""),"",IF(COUNTIFS($B$5:B68,B68,$C$5:C68,C68,$E$5:E68,E68)=1,1,0))</f>
        <v/>
      </c>
      <c r="U68" s="28" t="str">
        <f aca="false">IF(COUNTA(B68:C68,E68:F68,H68:P68)=0,"",IF(OR(B68="",C68="",E68=""),"Check: date, player, and context required",IF(AND(ISNUMBER(J68),ISNUMBER(I68),J68&gt;I68),"Check: solid contacts &gt; swings",IF(AND(ISNUMBER(L68),ISNUMBER(K68),L68&gt;K68),"Check: correct &gt; assessed decisions",IF(AND(ISNUMBER(N68),ISNUMBER(M68),N68&gt;M68),"Check: intended &gt; assessed landings",IF(AND(ISNUMBER(J68),I68=""),"Check: solid contacts without swings","OK"))))))</f>
        <v/>
      </c>
    </row>
    <row r="69" customFormat="false" ht="15" hidden="false" customHeight="false" outlineLevel="0" collapsed="false">
      <c r="B69" s="26"/>
      <c r="C69" s="27"/>
      <c r="D69" s="28" t="str">
        <f aca="false">IF(C69="","",IFERROR(INDEX(Players!$C$5:$C$104,MATCH(C69,Players!$B$5:$B$104,0)),"ID not found"))</f>
        <v/>
      </c>
      <c r="E69" s="27"/>
      <c r="F69" s="27"/>
      <c r="G69" s="28" t="str">
        <f aca="false">IF(F69="","",IFERROR(INDEX('Hitting Drills'!$D$6:$D$45,MATCH(F69,'Hitting Drills'!$B$6:$B$45,0)),"Not a hitting drill ID"))</f>
        <v/>
      </c>
      <c r="H69" s="27"/>
      <c r="I69" s="27"/>
      <c r="J69" s="27"/>
      <c r="K69" s="27"/>
      <c r="L69" s="27"/>
      <c r="M69" s="27"/>
      <c r="N69" s="27"/>
      <c r="O69" s="27"/>
      <c r="P69" s="27"/>
      <c r="Q69" s="27"/>
      <c r="R69" s="27"/>
      <c r="S69" s="29" t="str">
        <f aca="false">IF(OR(B69="",C69=""),"",IF(COUNTIFS($B$5:B69,B69,$C$5:C69,C69)=1,1,0))</f>
        <v/>
      </c>
      <c r="T69" s="29" t="str">
        <f aca="false">IF(OR(B69="",C69="",E69=""),"",IF(COUNTIFS($B$5:B69,B69,$C$5:C69,C69,$E$5:E69,E69)=1,1,0))</f>
        <v/>
      </c>
      <c r="U69" s="28" t="str">
        <f aca="false">IF(COUNTA(B69:C69,E69:F69,H69:P69)=0,"",IF(OR(B69="",C69="",E69=""),"Check: date, player, and context required",IF(AND(ISNUMBER(J69),ISNUMBER(I69),J69&gt;I69),"Check: solid contacts &gt; swings",IF(AND(ISNUMBER(L69),ISNUMBER(K69),L69&gt;K69),"Check: correct &gt; assessed decisions",IF(AND(ISNUMBER(N69),ISNUMBER(M69),N69&gt;M69),"Check: intended &gt; assessed landings",IF(AND(ISNUMBER(J69),I69=""),"Check: solid contacts without swings","OK"))))))</f>
        <v/>
      </c>
    </row>
    <row r="70" customFormat="false" ht="15" hidden="false" customHeight="false" outlineLevel="0" collapsed="false">
      <c r="B70" s="26"/>
      <c r="C70" s="27"/>
      <c r="D70" s="28" t="str">
        <f aca="false">IF(C70="","",IFERROR(INDEX(Players!$C$5:$C$104,MATCH(C70,Players!$B$5:$B$104,0)),"ID not found"))</f>
        <v/>
      </c>
      <c r="E70" s="27"/>
      <c r="F70" s="27"/>
      <c r="G70" s="28" t="str">
        <f aca="false">IF(F70="","",IFERROR(INDEX('Hitting Drills'!$D$6:$D$45,MATCH(F70,'Hitting Drills'!$B$6:$B$45,0)),"Not a hitting drill ID"))</f>
        <v/>
      </c>
      <c r="H70" s="27"/>
      <c r="I70" s="27"/>
      <c r="J70" s="27"/>
      <c r="K70" s="27"/>
      <c r="L70" s="27"/>
      <c r="M70" s="27"/>
      <c r="N70" s="27"/>
      <c r="O70" s="27"/>
      <c r="P70" s="27"/>
      <c r="Q70" s="27"/>
      <c r="R70" s="27"/>
      <c r="S70" s="29" t="str">
        <f aca="false">IF(OR(B70="",C70=""),"",IF(COUNTIFS($B$5:B70,B70,$C$5:C70,C70)=1,1,0))</f>
        <v/>
      </c>
      <c r="T70" s="29" t="str">
        <f aca="false">IF(OR(B70="",C70="",E70=""),"",IF(COUNTIFS($B$5:B70,B70,$C$5:C70,C70,$E$5:E70,E70)=1,1,0))</f>
        <v/>
      </c>
      <c r="U70" s="28" t="str">
        <f aca="false">IF(COUNTA(B70:C70,E70:F70,H70:P70)=0,"",IF(OR(B70="",C70="",E70=""),"Check: date, player, and context required",IF(AND(ISNUMBER(J70),ISNUMBER(I70),J70&gt;I70),"Check: solid contacts &gt; swings",IF(AND(ISNUMBER(L70),ISNUMBER(K70),L70&gt;K70),"Check: correct &gt; assessed decisions",IF(AND(ISNUMBER(N70),ISNUMBER(M70),N70&gt;M70),"Check: intended &gt; assessed landings",IF(AND(ISNUMBER(J70),I70=""),"Check: solid contacts without swings","OK"))))))</f>
        <v/>
      </c>
    </row>
    <row r="71" customFormat="false" ht="15" hidden="false" customHeight="false" outlineLevel="0" collapsed="false">
      <c r="B71" s="26"/>
      <c r="C71" s="27"/>
      <c r="D71" s="28" t="str">
        <f aca="false">IF(C71="","",IFERROR(INDEX(Players!$C$5:$C$104,MATCH(C71,Players!$B$5:$B$104,0)),"ID not found"))</f>
        <v/>
      </c>
      <c r="E71" s="27"/>
      <c r="F71" s="27"/>
      <c r="G71" s="28" t="str">
        <f aca="false">IF(F71="","",IFERROR(INDEX('Hitting Drills'!$D$6:$D$45,MATCH(F71,'Hitting Drills'!$B$6:$B$45,0)),"Not a hitting drill ID"))</f>
        <v/>
      </c>
      <c r="H71" s="27"/>
      <c r="I71" s="27"/>
      <c r="J71" s="27"/>
      <c r="K71" s="27"/>
      <c r="L71" s="27"/>
      <c r="M71" s="27"/>
      <c r="N71" s="27"/>
      <c r="O71" s="27"/>
      <c r="P71" s="27"/>
      <c r="Q71" s="27"/>
      <c r="R71" s="27"/>
      <c r="S71" s="29" t="str">
        <f aca="false">IF(OR(B71="",C71=""),"",IF(COUNTIFS($B$5:B71,B71,$C$5:C71,C71)=1,1,0))</f>
        <v/>
      </c>
      <c r="T71" s="29" t="str">
        <f aca="false">IF(OR(B71="",C71="",E71=""),"",IF(COUNTIFS($B$5:B71,B71,$C$5:C71,C71,$E$5:E71,E71)=1,1,0))</f>
        <v/>
      </c>
      <c r="U71" s="28" t="str">
        <f aca="false">IF(COUNTA(B71:C71,E71:F71,H71:P71)=0,"",IF(OR(B71="",C71="",E71=""),"Check: date, player, and context required",IF(AND(ISNUMBER(J71),ISNUMBER(I71),J71&gt;I71),"Check: solid contacts &gt; swings",IF(AND(ISNUMBER(L71),ISNUMBER(K71),L71&gt;K71),"Check: correct &gt; assessed decisions",IF(AND(ISNUMBER(N71),ISNUMBER(M71),N71&gt;M71),"Check: intended &gt; assessed landings",IF(AND(ISNUMBER(J71),I71=""),"Check: solid contacts without swings","OK"))))))</f>
        <v/>
      </c>
    </row>
    <row r="72" customFormat="false" ht="15" hidden="false" customHeight="false" outlineLevel="0" collapsed="false">
      <c r="B72" s="26"/>
      <c r="C72" s="27"/>
      <c r="D72" s="28" t="str">
        <f aca="false">IF(C72="","",IFERROR(INDEX(Players!$C$5:$C$104,MATCH(C72,Players!$B$5:$B$104,0)),"ID not found"))</f>
        <v/>
      </c>
      <c r="E72" s="27"/>
      <c r="F72" s="27"/>
      <c r="G72" s="28" t="str">
        <f aca="false">IF(F72="","",IFERROR(INDEX('Hitting Drills'!$D$6:$D$45,MATCH(F72,'Hitting Drills'!$B$6:$B$45,0)),"Not a hitting drill ID"))</f>
        <v/>
      </c>
      <c r="H72" s="27"/>
      <c r="I72" s="27"/>
      <c r="J72" s="27"/>
      <c r="K72" s="27"/>
      <c r="L72" s="27"/>
      <c r="M72" s="27"/>
      <c r="N72" s="27"/>
      <c r="O72" s="27"/>
      <c r="P72" s="27"/>
      <c r="Q72" s="27"/>
      <c r="R72" s="27"/>
      <c r="S72" s="29" t="str">
        <f aca="false">IF(OR(B72="",C72=""),"",IF(COUNTIFS($B$5:B72,B72,$C$5:C72,C72)=1,1,0))</f>
        <v/>
      </c>
      <c r="T72" s="29" t="str">
        <f aca="false">IF(OR(B72="",C72="",E72=""),"",IF(COUNTIFS($B$5:B72,B72,$C$5:C72,C72,$E$5:E72,E72)=1,1,0))</f>
        <v/>
      </c>
      <c r="U72" s="28" t="str">
        <f aca="false">IF(COUNTA(B72:C72,E72:F72,H72:P72)=0,"",IF(OR(B72="",C72="",E72=""),"Check: date, player, and context required",IF(AND(ISNUMBER(J72),ISNUMBER(I72),J72&gt;I72),"Check: solid contacts &gt; swings",IF(AND(ISNUMBER(L72),ISNUMBER(K72),L72&gt;K72),"Check: correct &gt; assessed decisions",IF(AND(ISNUMBER(N72),ISNUMBER(M72),N72&gt;M72),"Check: intended &gt; assessed landings",IF(AND(ISNUMBER(J72),I72=""),"Check: solid contacts without swings","OK"))))))</f>
        <v/>
      </c>
    </row>
    <row r="73" customFormat="false" ht="15" hidden="false" customHeight="false" outlineLevel="0" collapsed="false">
      <c r="B73" s="26"/>
      <c r="C73" s="27"/>
      <c r="D73" s="28" t="str">
        <f aca="false">IF(C73="","",IFERROR(INDEX(Players!$C$5:$C$104,MATCH(C73,Players!$B$5:$B$104,0)),"ID not found"))</f>
        <v/>
      </c>
      <c r="E73" s="27"/>
      <c r="F73" s="27"/>
      <c r="G73" s="28" t="str">
        <f aca="false">IF(F73="","",IFERROR(INDEX('Hitting Drills'!$D$6:$D$45,MATCH(F73,'Hitting Drills'!$B$6:$B$45,0)),"Not a hitting drill ID"))</f>
        <v/>
      </c>
      <c r="H73" s="27"/>
      <c r="I73" s="27"/>
      <c r="J73" s="27"/>
      <c r="K73" s="27"/>
      <c r="L73" s="27"/>
      <c r="M73" s="27"/>
      <c r="N73" s="27"/>
      <c r="O73" s="27"/>
      <c r="P73" s="27"/>
      <c r="Q73" s="27"/>
      <c r="R73" s="27"/>
      <c r="S73" s="29" t="str">
        <f aca="false">IF(OR(B73="",C73=""),"",IF(COUNTIFS($B$5:B73,B73,$C$5:C73,C73)=1,1,0))</f>
        <v/>
      </c>
      <c r="T73" s="29" t="str">
        <f aca="false">IF(OR(B73="",C73="",E73=""),"",IF(COUNTIFS($B$5:B73,B73,$C$5:C73,C73,$E$5:E73,E73)=1,1,0))</f>
        <v/>
      </c>
      <c r="U73" s="28" t="str">
        <f aca="false">IF(COUNTA(B73:C73,E73:F73,H73:P73)=0,"",IF(OR(B73="",C73="",E73=""),"Check: date, player, and context required",IF(AND(ISNUMBER(J73),ISNUMBER(I73),J73&gt;I73),"Check: solid contacts &gt; swings",IF(AND(ISNUMBER(L73),ISNUMBER(K73),L73&gt;K73),"Check: correct &gt; assessed decisions",IF(AND(ISNUMBER(N73),ISNUMBER(M73),N73&gt;M73),"Check: intended &gt; assessed landings",IF(AND(ISNUMBER(J73),I73=""),"Check: solid contacts without swings","OK"))))))</f>
        <v/>
      </c>
    </row>
    <row r="74" customFormat="false" ht="15" hidden="false" customHeight="false" outlineLevel="0" collapsed="false">
      <c r="B74" s="26"/>
      <c r="C74" s="27"/>
      <c r="D74" s="28" t="str">
        <f aca="false">IF(C74="","",IFERROR(INDEX(Players!$C$5:$C$104,MATCH(C74,Players!$B$5:$B$104,0)),"ID not found"))</f>
        <v/>
      </c>
      <c r="E74" s="27"/>
      <c r="F74" s="27"/>
      <c r="G74" s="28" t="str">
        <f aca="false">IF(F74="","",IFERROR(INDEX('Hitting Drills'!$D$6:$D$45,MATCH(F74,'Hitting Drills'!$B$6:$B$45,0)),"Not a hitting drill ID"))</f>
        <v/>
      </c>
      <c r="H74" s="27"/>
      <c r="I74" s="27"/>
      <c r="J74" s="27"/>
      <c r="K74" s="27"/>
      <c r="L74" s="27"/>
      <c r="M74" s="27"/>
      <c r="N74" s="27"/>
      <c r="O74" s="27"/>
      <c r="P74" s="27"/>
      <c r="Q74" s="27"/>
      <c r="R74" s="27"/>
      <c r="S74" s="29" t="str">
        <f aca="false">IF(OR(B74="",C74=""),"",IF(COUNTIFS($B$5:B74,B74,$C$5:C74,C74)=1,1,0))</f>
        <v/>
      </c>
      <c r="T74" s="29" t="str">
        <f aca="false">IF(OR(B74="",C74="",E74=""),"",IF(COUNTIFS($B$5:B74,B74,$C$5:C74,C74,$E$5:E74,E74)=1,1,0))</f>
        <v/>
      </c>
      <c r="U74" s="28" t="str">
        <f aca="false">IF(COUNTA(B74:C74,E74:F74,H74:P74)=0,"",IF(OR(B74="",C74="",E74=""),"Check: date, player, and context required",IF(AND(ISNUMBER(J74),ISNUMBER(I74),J74&gt;I74),"Check: solid contacts &gt; swings",IF(AND(ISNUMBER(L74),ISNUMBER(K74),L74&gt;K74),"Check: correct &gt; assessed decisions",IF(AND(ISNUMBER(N74),ISNUMBER(M74),N74&gt;M74),"Check: intended &gt; assessed landings",IF(AND(ISNUMBER(J74),I74=""),"Check: solid contacts without swings","OK"))))))</f>
        <v/>
      </c>
    </row>
    <row r="75" customFormat="false" ht="15" hidden="false" customHeight="false" outlineLevel="0" collapsed="false">
      <c r="B75" s="26"/>
      <c r="C75" s="27"/>
      <c r="D75" s="28" t="str">
        <f aca="false">IF(C75="","",IFERROR(INDEX(Players!$C$5:$C$104,MATCH(C75,Players!$B$5:$B$104,0)),"ID not found"))</f>
        <v/>
      </c>
      <c r="E75" s="27"/>
      <c r="F75" s="27"/>
      <c r="G75" s="28" t="str">
        <f aca="false">IF(F75="","",IFERROR(INDEX('Hitting Drills'!$D$6:$D$45,MATCH(F75,'Hitting Drills'!$B$6:$B$45,0)),"Not a hitting drill ID"))</f>
        <v/>
      </c>
      <c r="H75" s="27"/>
      <c r="I75" s="27"/>
      <c r="J75" s="27"/>
      <c r="K75" s="27"/>
      <c r="L75" s="27"/>
      <c r="M75" s="27"/>
      <c r="N75" s="27"/>
      <c r="O75" s="27"/>
      <c r="P75" s="27"/>
      <c r="Q75" s="27"/>
      <c r="R75" s="27"/>
      <c r="S75" s="29" t="str">
        <f aca="false">IF(OR(B75="",C75=""),"",IF(COUNTIFS($B$5:B75,B75,$C$5:C75,C75)=1,1,0))</f>
        <v/>
      </c>
      <c r="T75" s="29" t="str">
        <f aca="false">IF(OR(B75="",C75="",E75=""),"",IF(COUNTIFS($B$5:B75,B75,$C$5:C75,C75,$E$5:E75,E75)=1,1,0))</f>
        <v/>
      </c>
      <c r="U75" s="28" t="str">
        <f aca="false">IF(COUNTA(B75:C75,E75:F75,H75:P75)=0,"",IF(OR(B75="",C75="",E75=""),"Check: date, player, and context required",IF(AND(ISNUMBER(J75),ISNUMBER(I75),J75&gt;I75),"Check: solid contacts &gt; swings",IF(AND(ISNUMBER(L75),ISNUMBER(K75),L75&gt;K75),"Check: correct &gt; assessed decisions",IF(AND(ISNUMBER(N75),ISNUMBER(M75),N75&gt;M75),"Check: intended &gt; assessed landings",IF(AND(ISNUMBER(J75),I75=""),"Check: solid contacts without swings","OK"))))))</f>
        <v/>
      </c>
    </row>
    <row r="76" customFormat="false" ht="15" hidden="false" customHeight="false" outlineLevel="0" collapsed="false">
      <c r="B76" s="26"/>
      <c r="C76" s="27"/>
      <c r="D76" s="28" t="str">
        <f aca="false">IF(C76="","",IFERROR(INDEX(Players!$C$5:$C$104,MATCH(C76,Players!$B$5:$B$104,0)),"ID not found"))</f>
        <v/>
      </c>
      <c r="E76" s="27"/>
      <c r="F76" s="27"/>
      <c r="G76" s="28" t="str">
        <f aca="false">IF(F76="","",IFERROR(INDEX('Hitting Drills'!$D$6:$D$45,MATCH(F76,'Hitting Drills'!$B$6:$B$45,0)),"Not a hitting drill ID"))</f>
        <v/>
      </c>
      <c r="H76" s="27"/>
      <c r="I76" s="27"/>
      <c r="J76" s="27"/>
      <c r="K76" s="27"/>
      <c r="L76" s="27"/>
      <c r="M76" s="27"/>
      <c r="N76" s="27"/>
      <c r="O76" s="27"/>
      <c r="P76" s="27"/>
      <c r="Q76" s="27"/>
      <c r="R76" s="27"/>
      <c r="S76" s="29" t="str">
        <f aca="false">IF(OR(B76="",C76=""),"",IF(COUNTIFS($B$5:B76,B76,$C$5:C76,C76)=1,1,0))</f>
        <v/>
      </c>
      <c r="T76" s="29" t="str">
        <f aca="false">IF(OR(B76="",C76="",E76=""),"",IF(COUNTIFS($B$5:B76,B76,$C$5:C76,C76,$E$5:E76,E76)=1,1,0))</f>
        <v/>
      </c>
      <c r="U76" s="28" t="str">
        <f aca="false">IF(COUNTA(B76:C76,E76:F76,H76:P76)=0,"",IF(OR(B76="",C76="",E76=""),"Check: date, player, and context required",IF(AND(ISNUMBER(J76),ISNUMBER(I76),J76&gt;I76),"Check: solid contacts &gt; swings",IF(AND(ISNUMBER(L76),ISNUMBER(K76),L76&gt;K76),"Check: correct &gt; assessed decisions",IF(AND(ISNUMBER(N76),ISNUMBER(M76),N76&gt;M76),"Check: intended &gt; assessed landings",IF(AND(ISNUMBER(J76),I76=""),"Check: solid contacts without swings","OK"))))))</f>
        <v/>
      </c>
    </row>
    <row r="77" customFormat="false" ht="15" hidden="false" customHeight="false" outlineLevel="0" collapsed="false">
      <c r="B77" s="26"/>
      <c r="C77" s="27"/>
      <c r="D77" s="28" t="str">
        <f aca="false">IF(C77="","",IFERROR(INDEX(Players!$C$5:$C$104,MATCH(C77,Players!$B$5:$B$104,0)),"ID not found"))</f>
        <v/>
      </c>
      <c r="E77" s="27"/>
      <c r="F77" s="27"/>
      <c r="G77" s="28" t="str">
        <f aca="false">IF(F77="","",IFERROR(INDEX('Hitting Drills'!$D$6:$D$45,MATCH(F77,'Hitting Drills'!$B$6:$B$45,0)),"Not a hitting drill ID"))</f>
        <v/>
      </c>
      <c r="H77" s="27"/>
      <c r="I77" s="27"/>
      <c r="J77" s="27"/>
      <c r="K77" s="27"/>
      <c r="L77" s="27"/>
      <c r="M77" s="27"/>
      <c r="N77" s="27"/>
      <c r="O77" s="27"/>
      <c r="P77" s="27"/>
      <c r="Q77" s="27"/>
      <c r="R77" s="27"/>
      <c r="S77" s="29" t="str">
        <f aca="false">IF(OR(B77="",C77=""),"",IF(COUNTIFS($B$5:B77,B77,$C$5:C77,C77)=1,1,0))</f>
        <v/>
      </c>
      <c r="T77" s="29" t="str">
        <f aca="false">IF(OR(B77="",C77="",E77=""),"",IF(COUNTIFS($B$5:B77,B77,$C$5:C77,C77,$E$5:E77,E77)=1,1,0))</f>
        <v/>
      </c>
      <c r="U77" s="28" t="str">
        <f aca="false">IF(COUNTA(B77:C77,E77:F77,H77:P77)=0,"",IF(OR(B77="",C77="",E77=""),"Check: date, player, and context required",IF(AND(ISNUMBER(J77),ISNUMBER(I77),J77&gt;I77),"Check: solid contacts &gt; swings",IF(AND(ISNUMBER(L77),ISNUMBER(K77),L77&gt;K77),"Check: correct &gt; assessed decisions",IF(AND(ISNUMBER(N77),ISNUMBER(M77),N77&gt;M77),"Check: intended &gt; assessed landings",IF(AND(ISNUMBER(J77),I77=""),"Check: solid contacts without swings","OK"))))))</f>
        <v/>
      </c>
    </row>
    <row r="78" customFormat="false" ht="15" hidden="false" customHeight="false" outlineLevel="0" collapsed="false">
      <c r="B78" s="26"/>
      <c r="C78" s="27"/>
      <c r="D78" s="28" t="str">
        <f aca="false">IF(C78="","",IFERROR(INDEX(Players!$C$5:$C$104,MATCH(C78,Players!$B$5:$B$104,0)),"ID not found"))</f>
        <v/>
      </c>
      <c r="E78" s="27"/>
      <c r="F78" s="27"/>
      <c r="G78" s="28" t="str">
        <f aca="false">IF(F78="","",IFERROR(INDEX('Hitting Drills'!$D$6:$D$45,MATCH(F78,'Hitting Drills'!$B$6:$B$45,0)),"Not a hitting drill ID"))</f>
        <v/>
      </c>
      <c r="H78" s="27"/>
      <c r="I78" s="27"/>
      <c r="J78" s="27"/>
      <c r="K78" s="27"/>
      <c r="L78" s="27"/>
      <c r="M78" s="27"/>
      <c r="N78" s="27"/>
      <c r="O78" s="27"/>
      <c r="P78" s="27"/>
      <c r="Q78" s="27"/>
      <c r="R78" s="27"/>
      <c r="S78" s="29" t="str">
        <f aca="false">IF(OR(B78="",C78=""),"",IF(COUNTIFS($B$5:B78,B78,$C$5:C78,C78)=1,1,0))</f>
        <v/>
      </c>
      <c r="T78" s="29" t="str">
        <f aca="false">IF(OR(B78="",C78="",E78=""),"",IF(COUNTIFS($B$5:B78,B78,$C$5:C78,C78,$E$5:E78,E78)=1,1,0))</f>
        <v/>
      </c>
      <c r="U78" s="28" t="str">
        <f aca="false">IF(COUNTA(B78:C78,E78:F78,H78:P78)=0,"",IF(OR(B78="",C78="",E78=""),"Check: date, player, and context required",IF(AND(ISNUMBER(J78),ISNUMBER(I78),J78&gt;I78),"Check: solid contacts &gt; swings",IF(AND(ISNUMBER(L78),ISNUMBER(K78),L78&gt;K78),"Check: correct &gt; assessed decisions",IF(AND(ISNUMBER(N78),ISNUMBER(M78),N78&gt;M78),"Check: intended &gt; assessed landings",IF(AND(ISNUMBER(J78),I78=""),"Check: solid contacts without swings","OK"))))))</f>
        <v/>
      </c>
    </row>
    <row r="79" customFormat="false" ht="15" hidden="false" customHeight="false" outlineLevel="0" collapsed="false">
      <c r="B79" s="26"/>
      <c r="C79" s="27"/>
      <c r="D79" s="28" t="str">
        <f aca="false">IF(C79="","",IFERROR(INDEX(Players!$C$5:$C$104,MATCH(C79,Players!$B$5:$B$104,0)),"ID not found"))</f>
        <v/>
      </c>
      <c r="E79" s="27"/>
      <c r="F79" s="27"/>
      <c r="G79" s="28" t="str">
        <f aca="false">IF(F79="","",IFERROR(INDEX('Hitting Drills'!$D$6:$D$45,MATCH(F79,'Hitting Drills'!$B$6:$B$45,0)),"Not a hitting drill ID"))</f>
        <v/>
      </c>
      <c r="H79" s="27"/>
      <c r="I79" s="27"/>
      <c r="J79" s="27"/>
      <c r="K79" s="27"/>
      <c r="L79" s="27"/>
      <c r="M79" s="27"/>
      <c r="N79" s="27"/>
      <c r="O79" s="27"/>
      <c r="P79" s="27"/>
      <c r="Q79" s="27"/>
      <c r="R79" s="27"/>
      <c r="S79" s="29" t="str">
        <f aca="false">IF(OR(B79="",C79=""),"",IF(COUNTIFS($B$5:B79,B79,$C$5:C79,C79)=1,1,0))</f>
        <v/>
      </c>
      <c r="T79" s="29" t="str">
        <f aca="false">IF(OR(B79="",C79="",E79=""),"",IF(COUNTIFS($B$5:B79,B79,$C$5:C79,C79,$E$5:E79,E79)=1,1,0))</f>
        <v/>
      </c>
      <c r="U79" s="28" t="str">
        <f aca="false">IF(COUNTA(B79:C79,E79:F79,H79:P79)=0,"",IF(OR(B79="",C79="",E79=""),"Check: date, player, and context required",IF(AND(ISNUMBER(J79),ISNUMBER(I79),J79&gt;I79),"Check: solid contacts &gt; swings",IF(AND(ISNUMBER(L79),ISNUMBER(K79),L79&gt;K79),"Check: correct &gt; assessed decisions",IF(AND(ISNUMBER(N79),ISNUMBER(M79),N79&gt;M79),"Check: intended &gt; assessed landings",IF(AND(ISNUMBER(J79),I79=""),"Check: solid contacts without swings","OK"))))))</f>
        <v/>
      </c>
    </row>
    <row r="80" customFormat="false" ht="15" hidden="false" customHeight="false" outlineLevel="0" collapsed="false">
      <c r="B80" s="26"/>
      <c r="C80" s="27"/>
      <c r="D80" s="28" t="str">
        <f aca="false">IF(C80="","",IFERROR(INDEX(Players!$C$5:$C$104,MATCH(C80,Players!$B$5:$B$104,0)),"ID not found"))</f>
        <v/>
      </c>
      <c r="E80" s="27"/>
      <c r="F80" s="27"/>
      <c r="G80" s="28" t="str">
        <f aca="false">IF(F80="","",IFERROR(INDEX('Hitting Drills'!$D$6:$D$45,MATCH(F80,'Hitting Drills'!$B$6:$B$45,0)),"Not a hitting drill ID"))</f>
        <v/>
      </c>
      <c r="H80" s="27"/>
      <c r="I80" s="27"/>
      <c r="J80" s="27"/>
      <c r="K80" s="27"/>
      <c r="L80" s="27"/>
      <c r="M80" s="27"/>
      <c r="N80" s="27"/>
      <c r="O80" s="27"/>
      <c r="P80" s="27"/>
      <c r="Q80" s="27"/>
      <c r="R80" s="27"/>
      <c r="S80" s="29" t="str">
        <f aca="false">IF(OR(B80="",C80=""),"",IF(COUNTIFS($B$5:B80,B80,$C$5:C80,C80)=1,1,0))</f>
        <v/>
      </c>
      <c r="T80" s="29" t="str">
        <f aca="false">IF(OR(B80="",C80="",E80=""),"",IF(COUNTIFS($B$5:B80,B80,$C$5:C80,C80,$E$5:E80,E80)=1,1,0))</f>
        <v/>
      </c>
      <c r="U80" s="28" t="str">
        <f aca="false">IF(COUNTA(B80:C80,E80:F80,H80:P80)=0,"",IF(OR(B80="",C80="",E80=""),"Check: date, player, and context required",IF(AND(ISNUMBER(J80),ISNUMBER(I80),J80&gt;I80),"Check: solid contacts &gt; swings",IF(AND(ISNUMBER(L80),ISNUMBER(K80),L80&gt;K80),"Check: correct &gt; assessed decisions",IF(AND(ISNUMBER(N80),ISNUMBER(M80),N80&gt;M80),"Check: intended &gt; assessed landings",IF(AND(ISNUMBER(J80),I80=""),"Check: solid contacts without swings","OK"))))))</f>
        <v/>
      </c>
    </row>
    <row r="81" customFormat="false" ht="15" hidden="false" customHeight="false" outlineLevel="0" collapsed="false">
      <c r="B81" s="26"/>
      <c r="C81" s="27"/>
      <c r="D81" s="28" t="str">
        <f aca="false">IF(C81="","",IFERROR(INDEX(Players!$C$5:$C$104,MATCH(C81,Players!$B$5:$B$104,0)),"ID not found"))</f>
        <v/>
      </c>
      <c r="E81" s="27"/>
      <c r="F81" s="27"/>
      <c r="G81" s="28" t="str">
        <f aca="false">IF(F81="","",IFERROR(INDEX('Hitting Drills'!$D$6:$D$45,MATCH(F81,'Hitting Drills'!$B$6:$B$45,0)),"Not a hitting drill ID"))</f>
        <v/>
      </c>
      <c r="H81" s="27"/>
      <c r="I81" s="27"/>
      <c r="J81" s="27"/>
      <c r="K81" s="27"/>
      <c r="L81" s="27"/>
      <c r="M81" s="27"/>
      <c r="N81" s="27"/>
      <c r="O81" s="27"/>
      <c r="P81" s="27"/>
      <c r="Q81" s="27"/>
      <c r="R81" s="27"/>
      <c r="S81" s="29" t="str">
        <f aca="false">IF(OR(B81="",C81=""),"",IF(COUNTIFS($B$5:B81,B81,$C$5:C81,C81)=1,1,0))</f>
        <v/>
      </c>
      <c r="T81" s="29" t="str">
        <f aca="false">IF(OR(B81="",C81="",E81=""),"",IF(COUNTIFS($B$5:B81,B81,$C$5:C81,C81,$E$5:E81,E81)=1,1,0))</f>
        <v/>
      </c>
      <c r="U81" s="28" t="str">
        <f aca="false">IF(COUNTA(B81:C81,E81:F81,H81:P81)=0,"",IF(OR(B81="",C81="",E81=""),"Check: date, player, and context required",IF(AND(ISNUMBER(J81),ISNUMBER(I81),J81&gt;I81),"Check: solid contacts &gt; swings",IF(AND(ISNUMBER(L81),ISNUMBER(K81),L81&gt;K81),"Check: correct &gt; assessed decisions",IF(AND(ISNUMBER(N81),ISNUMBER(M81),N81&gt;M81),"Check: intended &gt; assessed landings",IF(AND(ISNUMBER(J81),I81=""),"Check: solid contacts without swings","OK"))))))</f>
        <v/>
      </c>
    </row>
    <row r="82" customFormat="false" ht="15" hidden="false" customHeight="false" outlineLevel="0" collapsed="false">
      <c r="B82" s="26"/>
      <c r="C82" s="27"/>
      <c r="D82" s="28" t="str">
        <f aca="false">IF(C82="","",IFERROR(INDEX(Players!$C$5:$C$104,MATCH(C82,Players!$B$5:$B$104,0)),"ID not found"))</f>
        <v/>
      </c>
      <c r="E82" s="27"/>
      <c r="F82" s="27"/>
      <c r="G82" s="28" t="str">
        <f aca="false">IF(F82="","",IFERROR(INDEX('Hitting Drills'!$D$6:$D$45,MATCH(F82,'Hitting Drills'!$B$6:$B$45,0)),"Not a hitting drill ID"))</f>
        <v/>
      </c>
      <c r="H82" s="27"/>
      <c r="I82" s="27"/>
      <c r="J82" s="27"/>
      <c r="K82" s="27"/>
      <c r="L82" s="27"/>
      <c r="M82" s="27"/>
      <c r="N82" s="27"/>
      <c r="O82" s="27"/>
      <c r="P82" s="27"/>
      <c r="Q82" s="27"/>
      <c r="R82" s="27"/>
      <c r="S82" s="29" t="str">
        <f aca="false">IF(OR(B82="",C82=""),"",IF(COUNTIFS($B$5:B82,B82,$C$5:C82,C82)=1,1,0))</f>
        <v/>
      </c>
      <c r="T82" s="29" t="str">
        <f aca="false">IF(OR(B82="",C82="",E82=""),"",IF(COUNTIFS($B$5:B82,B82,$C$5:C82,C82,$E$5:E82,E82)=1,1,0))</f>
        <v/>
      </c>
      <c r="U82" s="28" t="str">
        <f aca="false">IF(COUNTA(B82:C82,E82:F82,H82:P82)=0,"",IF(OR(B82="",C82="",E82=""),"Check: date, player, and context required",IF(AND(ISNUMBER(J82),ISNUMBER(I82),J82&gt;I82),"Check: solid contacts &gt; swings",IF(AND(ISNUMBER(L82),ISNUMBER(K82),L82&gt;K82),"Check: correct &gt; assessed decisions",IF(AND(ISNUMBER(N82),ISNUMBER(M82),N82&gt;M82),"Check: intended &gt; assessed landings",IF(AND(ISNUMBER(J82),I82=""),"Check: solid contacts without swings","OK"))))))</f>
        <v/>
      </c>
    </row>
    <row r="83" customFormat="false" ht="15" hidden="false" customHeight="false" outlineLevel="0" collapsed="false">
      <c r="B83" s="26"/>
      <c r="C83" s="27"/>
      <c r="D83" s="28" t="str">
        <f aca="false">IF(C83="","",IFERROR(INDEX(Players!$C$5:$C$104,MATCH(C83,Players!$B$5:$B$104,0)),"ID not found"))</f>
        <v/>
      </c>
      <c r="E83" s="27"/>
      <c r="F83" s="27"/>
      <c r="G83" s="28" t="str">
        <f aca="false">IF(F83="","",IFERROR(INDEX('Hitting Drills'!$D$6:$D$45,MATCH(F83,'Hitting Drills'!$B$6:$B$45,0)),"Not a hitting drill ID"))</f>
        <v/>
      </c>
      <c r="H83" s="27"/>
      <c r="I83" s="27"/>
      <c r="J83" s="27"/>
      <c r="K83" s="27"/>
      <c r="L83" s="27"/>
      <c r="M83" s="27"/>
      <c r="N83" s="27"/>
      <c r="O83" s="27"/>
      <c r="P83" s="27"/>
      <c r="Q83" s="27"/>
      <c r="R83" s="27"/>
      <c r="S83" s="29" t="str">
        <f aca="false">IF(OR(B83="",C83=""),"",IF(COUNTIFS($B$5:B83,B83,$C$5:C83,C83)=1,1,0))</f>
        <v/>
      </c>
      <c r="T83" s="29" t="str">
        <f aca="false">IF(OR(B83="",C83="",E83=""),"",IF(COUNTIFS($B$5:B83,B83,$C$5:C83,C83,$E$5:E83,E83)=1,1,0))</f>
        <v/>
      </c>
      <c r="U83" s="28" t="str">
        <f aca="false">IF(COUNTA(B83:C83,E83:F83,H83:P83)=0,"",IF(OR(B83="",C83="",E83=""),"Check: date, player, and context required",IF(AND(ISNUMBER(J83),ISNUMBER(I83),J83&gt;I83),"Check: solid contacts &gt; swings",IF(AND(ISNUMBER(L83),ISNUMBER(K83),L83&gt;K83),"Check: correct &gt; assessed decisions",IF(AND(ISNUMBER(N83),ISNUMBER(M83),N83&gt;M83),"Check: intended &gt; assessed landings",IF(AND(ISNUMBER(J83),I83=""),"Check: solid contacts without swings","OK"))))))</f>
        <v/>
      </c>
    </row>
    <row r="84" customFormat="false" ht="15" hidden="false" customHeight="false" outlineLevel="0" collapsed="false">
      <c r="B84" s="26"/>
      <c r="C84" s="27"/>
      <c r="D84" s="28" t="str">
        <f aca="false">IF(C84="","",IFERROR(INDEX(Players!$C$5:$C$104,MATCH(C84,Players!$B$5:$B$104,0)),"ID not found"))</f>
        <v/>
      </c>
      <c r="E84" s="27"/>
      <c r="F84" s="27"/>
      <c r="G84" s="28" t="str">
        <f aca="false">IF(F84="","",IFERROR(INDEX('Hitting Drills'!$D$6:$D$45,MATCH(F84,'Hitting Drills'!$B$6:$B$45,0)),"Not a hitting drill ID"))</f>
        <v/>
      </c>
      <c r="H84" s="27"/>
      <c r="I84" s="27"/>
      <c r="J84" s="27"/>
      <c r="K84" s="27"/>
      <c r="L84" s="27"/>
      <c r="M84" s="27"/>
      <c r="N84" s="27"/>
      <c r="O84" s="27"/>
      <c r="P84" s="27"/>
      <c r="Q84" s="27"/>
      <c r="R84" s="27"/>
      <c r="S84" s="29" t="str">
        <f aca="false">IF(OR(B84="",C84=""),"",IF(COUNTIFS($B$5:B84,B84,$C$5:C84,C84)=1,1,0))</f>
        <v/>
      </c>
      <c r="T84" s="29" t="str">
        <f aca="false">IF(OR(B84="",C84="",E84=""),"",IF(COUNTIFS($B$5:B84,B84,$C$5:C84,C84,$E$5:E84,E84)=1,1,0))</f>
        <v/>
      </c>
      <c r="U84" s="28" t="str">
        <f aca="false">IF(COUNTA(B84:C84,E84:F84,H84:P84)=0,"",IF(OR(B84="",C84="",E84=""),"Check: date, player, and context required",IF(AND(ISNUMBER(J84),ISNUMBER(I84),J84&gt;I84),"Check: solid contacts &gt; swings",IF(AND(ISNUMBER(L84),ISNUMBER(K84),L84&gt;K84),"Check: correct &gt; assessed decisions",IF(AND(ISNUMBER(N84),ISNUMBER(M84),N84&gt;M84),"Check: intended &gt; assessed landings",IF(AND(ISNUMBER(J84),I84=""),"Check: solid contacts without swings","OK"))))))</f>
        <v/>
      </c>
    </row>
    <row r="85" customFormat="false" ht="15" hidden="false" customHeight="false" outlineLevel="0" collapsed="false">
      <c r="B85" s="26"/>
      <c r="C85" s="27"/>
      <c r="D85" s="28" t="str">
        <f aca="false">IF(C85="","",IFERROR(INDEX(Players!$C$5:$C$104,MATCH(C85,Players!$B$5:$B$104,0)),"ID not found"))</f>
        <v/>
      </c>
      <c r="E85" s="27"/>
      <c r="F85" s="27"/>
      <c r="G85" s="28" t="str">
        <f aca="false">IF(F85="","",IFERROR(INDEX('Hitting Drills'!$D$6:$D$45,MATCH(F85,'Hitting Drills'!$B$6:$B$45,0)),"Not a hitting drill ID"))</f>
        <v/>
      </c>
      <c r="H85" s="27"/>
      <c r="I85" s="27"/>
      <c r="J85" s="27"/>
      <c r="K85" s="27"/>
      <c r="L85" s="27"/>
      <c r="M85" s="27"/>
      <c r="N85" s="27"/>
      <c r="O85" s="27"/>
      <c r="P85" s="27"/>
      <c r="Q85" s="27"/>
      <c r="R85" s="27"/>
      <c r="S85" s="29" t="str">
        <f aca="false">IF(OR(B85="",C85=""),"",IF(COUNTIFS($B$5:B85,B85,$C$5:C85,C85)=1,1,0))</f>
        <v/>
      </c>
      <c r="T85" s="29" t="str">
        <f aca="false">IF(OR(B85="",C85="",E85=""),"",IF(COUNTIFS($B$5:B85,B85,$C$5:C85,C85,$E$5:E85,E85)=1,1,0))</f>
        <v/>
      </c>
      <c r="U85" s="28" t="str">
        <f aca="false">IF(COUNTA(B85:C85,E85:F85,H85:P85)=0,"",IF(OR(B85="",C85="",E85=""),"Check: date, player, and context required",IF(AND(ISNUMBER(J85),ISNUMBER(I85),J85&gt;I85),"Check: solid contacts &gt; swings",IF(AND(ISNUMBER(L85),ISNUMBER(K85),L85&gt;K85),"Check: correct &gt; assessed decisions",IF(AND(ISNUMBER(N85),ISNUMBER(M85),N85&gt;M85),"Check: intended &gt; assessed landings",IF(AND(ISNUMBER(J85),I85=""),"Check: solid contacts without swings","OK"))))))</f>
        <v/>
      </c>
    </row>
    <row r="86" customFormat="false" ht="15" hidden="false" customHeight="false" outlineLevel="0" collapsed="false">
      <c r="B86" s="26"/>
      <c r="C86" s="27"/>
      <c r="D86" s="28" t="str">
        <f aca="false">IF(C86="","",IFERROR(INDEX(Players!$C$5:$C$104,MATCH(C86,Players!$B$5:$B$104,0)),"ID not found"))</f>
        <v/>
      </c>
      <c r="E86" s="27"/>
      <c r="F86" s="27"/>
      <c r="G86" s="28" t="str">
        <f aca="false">IF(F86="","",IFERROR(INDEX('Hitting Drills'!$D$6:$D$45,MATCH(F86,'Hitting Drills'!$B$6:$B$45,0)),"Not a hitting drill ID"))</f>
        <v/>
      </c>
      <c r="H86" s="27"/>
      <c r="I86" s="27"/>
      <c r="J86" s="27"/>
      <c r="K86" s="27"/>
      <c r="L86" s="27"/>
      <c r="M86" s="27"/>
      <c r="N86" s="27"/>
      <c r="O86" s="27"/>
      <c r="P86" s="27"/>
      <c r="Q86" s="27"/>
      <c r="R86" s="27"/>
      <c r="S86" s="29" t="str">
        <f aca="false">IF(OR(B86="",C86=""),"",IF(COUNTIFS($B$5:B86,B86,$C$5:C86,C86)=1,1,0))</f>
        <v/>
      </c>
      <c r="T86" s="29" t="str">
        <f aca="false">IF(OR(B86="",C86="",E86=""),"",IF(COUNTIFS($B$5:B86,B86,$C$5:C86,C86,$E$5:E86,E86)=1,1,0))</f>
        <v/>
      </c>
      <c r="U86" s="28" t="str">
        <f aca="false">IF(COUNTA(B86:C86,E86:F86,H86:P86)=0,"",IF(OR(B86="",C86="",E86=""),"Check: date, player, and context required",IF(AND(ISNUMBER(J86),ISNUMBER(I86),J86&gt;I86),"Check: solid contacts &gt; swings",IF(AND(ISNUMBER(L86),ISNUMBER(K86),L86&gt;K86),"Check: correct &gt; assessed decisions",IF(AND(ISNUMBER(N86),ISNUMBER(M86),N86&gt;M86),"Check: intended &gt; assessed landings",IF(AND(ISNUMBER(J86),I86=""),"Check: solid contacts without swings","OK"))))))</f>
        <v/>
      </c>
    </row>
    <row r="87" customFormat="false" ht="15" hidden="false" customHeight="false" outlineLevel="0" collapsed="false">
      <c r="B87" s="26"/>
      <c r="C87" s="27"/>
      <c r="D87" s="28" t="str">
        <f aca="false">IF(C87="","",IFERROR(INDEX(Players!$C$5:$C$104,MATCH(C87,Players!$B$5:$B$104,0)),"ID not found"))</f>
        <v/>
      </c>
      <c r="E87" s="27"/>
      <c r="F87" s="27"/>
      <c r="G87" s="28" t="str">
        <f aca="false">IF(F87="","",IFERROR(INDEX('Hitting Drills'!$D$6:$D$45,MATCH(F87,'Hitting Drills'!$B$6:$B$45,0)),"Not a hitting drill ID"))</f>
        <v/>
      </c>
      <c r="H87" s="27"/>
      <c r="I87" s="27"/>
      <c r="J87" s="27"/>
      <c r="K87" s="27"/>
      <c r="L87" s="27"/>
      <c r="M87" s="27"/>
      <c r="N87" s="27"/>
      <c r="O87" s="27"/>
      <c r="P87" s="27"/>
      <c r="Q87" s="27"/>
      <c r="R87" s="27"/>
      <c r="S87" s="29" t="str">
        <f aca="false">IF(OR(B87="",C87=""),"",IF(COUNTIFS($B$5:B87,B87,$C$5:C87,C87)=1,1,0))</f>
        <v/>
      </c>
      <c r="T87" s="29" t="str">
        <f aca="false">IF(OR(B87="",C87="",E87=""),"",IF(COUNTIFS($B$5:B87,B87,$C$5:C87,C87,$E$5:E87,E87)=1,1,0))</f>
        <v/>
      </c>
      <c r="U87" s="28" t="str">
        <f aca="false">IF(COUNTA(B87:C87,E87:F87,H87:P87)=0,"",IF(OR(B87="",C87="",E87=""),"Check: date, player, and context required",IF(AND(ISNUMBER(J87),ISNUMBER(I87),J87&gt;I87),"Check: solid contacts &gt; swings",IF(AND(ISNUMBER(L87),ISNUMBER(K87),L87&gt;K87),"Check: correct &gt; assessed decisions",IF(AND(ISNUMBER(N87),ISNUMBER(M87),N87&gt;M87),"Check: intended &gt; assessed landings",IF(AND(ISNUMBER(J87),I87=""),"Check: solid contacts without swings","OK"))))))</f>
        <v/>
      </c>
    </row>
    <row r="88" customFormat="false" ht="15" hidden="false" customHeight="false" outlineLevel="0" collapsed="false">
      <c r="B88" s="26"/>
      <c r="C88" s="27"/>
      <c r="D88" s="28" t="str">
        <f aca="false">IF(C88="","",IFERROR(INDEX(Players!$C$5:$C$104,MATCH(C88,Players!$B$5:$B$104,0)),"ID not found"))</f>
        <v/>
      </c>
      <c r="E88" s="27"/>
      <c r="F88" s="27"/>
      <c r="G88" s="28" t="str">
        <f aca="false">IF(F88="","",IFERROR(INDEX('Hitting Drills'!$D$6:$D$45,MATCH(F88,'Hitting Drills'!$B$6:$B$45,0)),"Not a hitting drill ID"))</f>
        <v/>
      </c>
      <c r="H88" s="27"/>
      <c r="I88" s="27"/>
      <c r="J88" s="27"/>
      <c r="K88" s="27"/>
      <c r="L88" s="27"/>
      <c r="M88" s="27"/>
      <c r="N88" s="27"/>
      <c r="O88" s="27"/>
      <c r="P88" s="27"/>
      <c r="Q88" s="27"/>
      <c r="R88" s="27"/>
      <c r="S88" s="29" t="str">
        <f aca="false">IF(OR(B88="",C88=""),"",IF(COUNTIFS($B$5:B88,B88,$C$5:C88,C88)=1,1,0))</f>
        <v/>
      </c>
      <c r="T88" s="29" t="str">
        <f aca="false">IF(OR(B88="",C88="",E88=""),"",IF(COUNTIFS($B$5:B88,B88,$C$5:C88,C88,$E$5:E88,E88)=1,1,0))</f>
        <v/>
      </c>
      <c r="U88" s="28" t="str">
        <f aca="false">IF(COUNTA(B88:C88,E88:F88,H88:P88)=0,"",IF(OR(B88="",C88="",E88=""),"Check: date, player, and context required",IF(AND(ISNUMBER(J88),ISNUMBER(I88),J88&gt;I88),"Check: solid contacts &gt; swings",IF(AND(ISNUMBER(L88),ISNUMBER(K88),L88&gt;K88),"Check: correct &gt; assessed decisions",IF(AND(ISNUMBER(N88),ISNUMBER(M88),N88&gt;M88),"Check: intended &gt; assessed landings",IF(AND(ISNUMBER(J88),I88=""),"Check: solid contacts without swings","OK"))))))</f>
        <v/>
      </c>
    </row>
    <row r="89" customFormat="false" ht="15" hidden="false" customHeight="false" outlineLevel="0" collapsed="false">
      <c r="B89" s="26"/>
      <c r="C89" s="27"/>
      <c r="D89" s="28" t="str">
        <f aca="false">IF(C89="","",IFERROR(INDEX(Players!$C$5:$C$104,MATCH(C89,Players!$B$5:$B$104,0)),"ID not found"))</f>
        <v/>
      </c>
      <c r="E89" s="27"/>
      <c r="F89" s="27"/>
      <c r="G89" s="28" t="str">
        <f aca="false">IF(F89="","",IFERROR(INDEX('Hitting Drills'!$D$6:$D$45,MATCH(F89,'Hitting Drills'!$B$6:$B$45,0)),"Not a hitting drill ID"))</f>
        <v/>
      </c>
      <c r="H89" s="27"/>
      <c r="I89" s="27"/>
      <c r="J89" s="27"/>
      <c r="K89" s="27"/>
      <c r="L89" s="27"/>
      <c r="M89" s="27"/>
      <c r="N89" s="27"/>
      <c r="O89" s="27"/>
      <c r="P89" s="27"/>
      <c r="Q89" s="27"/>
      <c r="R89" s="27"/>
      <c r="S89" s="29" t="str">
        <f aca="false">IF(OR(B89="",C89=""),"",IF(COUNTIFS($B$5:B89,B89,$C$5:C89,C89)=1,1,0))</f>
        <v/>
      </c>
      <c r="T89" s="29" t="str">
        <f aca="false">IF(OR(B89="",C89="",E89=""),"",IF(COUNTIFS($B$5:B89,B89,$C$5:C89,C89,$E$5:E89,E89)=1,1,0))</f>
        <v/>
      </c>
      <c r="U89" s="28" t="str">
        <f aca="false">IF(COUNTA(B89:C89,E89:F89,H89:P89)=0,"",IF(OR(B89="",C89="",E89=""),"Check: date, player, and context required",IF(AND(ISNUMBER(J89),ISNUMBER(I89),J89&gt;I89),"Check: solid contacts &gt; swings",IF(AND(ISNUMBER(L89),ISNUMBER(K89),L89&gt;K89),"Check: correct &gt; assessed decisions",IF(AND(ISNUMBER(N89),ISNUMBER(M89),N89&gt;M89),"Check: intended &gt; assessed landings",IF(AND(ISNUMBER(J89),I89=""),"Check: solid contacts without swings","OK"))))))</f>
        <v/>
      </c>
    </row>
    <row r="90" customFormat="false" ht="15" hidden="false" customHeight="false" outlineLevel="0" collapsed="false">
      <c r="B90" s="26"/>
      <c r="C90" s="27"/>
      <c r="D90" s="28" t="str">
        <f aca="false">IF(C90="","",IFERROR(INDEX(Players!$C$5:$C$104,MATCH(C90,Players!$B$5:$B$104,0)),"ID not found"))</f>
        <v/>
      </c>
      <c r="E90" s="27"/>
      <c r="F90" s="27"/>
      <c r="G90" s="28" t="str">
        <f aca="false">IF(F90="","",IFERROR(INDEX('Hitting Drills'!$D$6:$D$45,MATCH(F90,'Hitting Drills'!$B$6:$B$45,0)),"Not a hitting drill ID"))</f>
        <v/>
      </c>
      <c r="H90" s="27"/>
      <c r="I90" s="27"/>
      <c r="J90" s="27"/>
      <c r="K90" s="27"/>
      <c r="L90" s="27"/>
      <c r="M90" s="27"/>
      <c r="N90" s="27"/>
      <c r="O90" s="27"/>
      <c r="P90" s="27"/>
      <c r="Q90" s="27"/>
      <c r="R90" s="27"/>
      <c r="S90" s="29" t="str">
        <f aca="false">IF(OR(B90="",C90=""),"",IF(COUNTIFS($B$5:B90,B90,$C$5:C90,C90)=1,1,0))</f>
        <v/>
      </c>
      <c r="T90" s="29" t="str">
        <f aca="false">IF(OR(B90="",C90="",E90=""),"",IF(COUNTIFS($B$5:B90,B90,$C$5:C90,C90,$E$5:E90,E90)=1,1,0))</f>
        <v/>
      </c>
      <c r="U90" s="28" t="str">
        <f aca="false">IF(COUNTA(B90:C90,E90:F90,H90:P90)=0,"",IF(OR(B90="",C90="",E90=""),"Check: date, player, and context required",IF(AND(ISNUMBER(J90),ISNUMBER(I90),J90&gt;I90),"Check: solid contacts &gt; swings",IF(AND(ISNUMBER(L90),ISNUMBER(K90),L90&gt;K90),"Check: correct &gt; assessed decisions",IF(AND(ISNUMBER(N90),ISNUMBER(M90),N90&gt;M90),"Check: intended &gt; assessed landings",IF(AND(ISNUMBER(J90),I90=""),"Check: solid contacts without swings","OK"))))))</f>
        <v/>
      </c>
    </row>
    <row r="91" customFormat="false" ht="15" hidden="false" customHeight="false" outlineLevel="0" collapsed="false">
      <c r="B91" s="26"/>
      <c r="C91" s="27"/>
      <c r="D91" s="28" t="str">
        <f aca="false">IF(C91="","",IFERROR(INDEX(Players!$C$5:$C$104,MATCH(C91,Players!$B$5:$B$104,0)),"ID not found"))</f>
        <v/>
      </c>
      <c r="E91" s="27"/>
      <c r="F91" s="27"/>
      <c r="G91" s="28" t="str">
        <f aca="false">IF(F91="","",IFERROR(INDEX('Hitting Drills'!$D$6:$D$45,MATCH(F91,'Hitting Drills'!$B$6:$B$45,0)),"Not a hitting drill ID"))</f>
        <v/>
      </c>
      <c r="H91" s="27"/>
      <c r="I91" s="27"/>
      <c r="J91" s="27"/>
      <c r="K91" s="27"/>
      <c r="L91" s="27"/>
      <c r="M91" s="27"/>
      <c r="N91" s="27"/>
      <c r="O91" s="27"/>
      <c r="P91" s="27"/>
      <c r="Q91" s="27"/>
      <c r="R91" s="27"/>
      <c r="S91" s="29" t="str">
        <f aca="false">IF(OR(B91="",C91=""),"",IF(COUNTIFS($B$5:B91,B91,$C$5:C91,C91)=1,1,0))</f>
        <v/>
      </c>
      <c r="T91" s="29" t="str">
        <f aca="false">IF(OR(B91="",C91="",E91=""),"",IF(COUNTIFS($B$5:B91,B91,$C$5:C91,C91,$E$5:E91,E91)=1,1,0))</f>
        <v/>
      </c>
      <c r="U91" s="28" t="str">
        <f aca="false">IF(COUNTA(B91:C91,E91:F91,H91:P91)=0,"",IF(OR(B91="",C91="",E91=""),"Check: date, player, and context required",IF(AND(ISNUMBER(J91),ISNUMBER(I91),J91&gt;I91),"Check: solid contacts &gt; swings",IF(AND(ISNUMBER(L91),ISNUMBER(K91),L91&gt;K91),"Check: correct &gt; assessed decisions",IF(AND(ISNUMBER(N91),ISNUMBER(M91),N91&gt;M91),"Check: intended &gt; assessed landings",IF(AND(ISNUMBER(J91),I91=""),"Check: solid contacts without swings","OK"))))))</f>
        <v/>
      </c>
    </row>
    <row r="92" customFormat="false" ht="15" hidden="false" customHeight="false" outlineLevel="0" collapsed="false">
      <c r="B92" s="26"/>
      <c r="C92" s="27"/>
      <c r="D92" s="28" t="str">
        <f aca="false">IF(C92="","",IFERROR(INDEX(Players!$C$5:$C$104,MATCH(C92,Players!$B$5:$B$104,0)),"ID not found"))</f>
        <v/>
      </c>
      <c r="E92" s="27"/>
      <c r="F92" s="27"/>
      <c r="G92" s="28" t="str">
        <f aca="false">IF(F92="","",IFERROR(INDEX('Hitting Drills'!$D$6:$D$45,MATCH(F92,'Hitting Drills'!$B$6:$B$45,0)),"Not a hitting drill ID"))</f>
        <v/>
      </c>
      <c r="H92" s="27"/>
      <c r="I92" s="27"/>
      <c r="J92" s="27"/>
      <c r="K92" s="27"/>
      <c r="L92" s="27"/>
      <c r="M92" s="27"/>
      <c r="N92" s="27"/>
      <c r="O92" s="27"/>
      <c r="P92" s="27"/>
      <c r="Q92" s="27"/>
      <c r="R92" s="27"/>
      <c r="S92" s="29" t="str">
        <f aca="false">IF(OR(B92="",C92=""),"",IF(COUNTIFS($B$5:B92,B92,$C$5:C92,C92)=1,1,0))</f>
        <v/>
      </c>
      <c r="T92" s="29" t="str">
        <f aca="false">IF(OR(B92="",C92="",E92=""),"",IF(COUNTIFS($B$5:B92,B92,$C$5:C92,C92,$E$5:E92,E92)=1,1,0))</f>
        <v/>
      </c>
      <c r="U92" s="28" t="str">
        <f aca="false">IF(COUNTA(B92:C92,E92:F92,H92:P92)=0,"",IF(OR(B92="",C92="",E92=""),"Check: date, player, and context required",IF(AND(ISNUMBER(J92),ISNUMBER(I92),J92&gt;I92),"Check: solid contacts &gt; swings",IF(AND(ISNUMBER(L92),ISNUMBER(K92),L92&gt;K92),"Check: correct &gt; assessed decisions",IF(AND(ISNUMBER(N92),ISNUMBER(M92),N92&gt;M92),"Check: intended &gt; assessed landings",IF(AND(ISNUMBER(J92),I92=""),"Check: solid contacts without swings","OK"))))))</f>
        <v/>
      </c>
    </row>
    <row r="93" customFormat="false" ht="15" hidden="false" customHeight="false" outlineLevel="0" collapsed="false">
      <c r="B93" s="26"/>
      <c r="C93" s="27"/>
      <c r="D93" s="28" t="str">
        <f aca="false">IF(C93="","",IFERROR(INDEX(Players!$C$5:$C$104,MATCH(C93,Players!$B$5:$B$104,0)),"ID not found"))</f>
        <v/>
      </c>
      <c r="E93" s="27"/>
      <c r="F93" s="27"/>
      <c r="G93" s="28" t="str">
        <f aca="false">IF(F93="","",IFERROR(INDEX('Hitting Drills'!$D$6:$D$45,MATCH(F93,'Hitting Drills'!$B$6:$B$45,0)),"Not a hitting drill ID"))</f>
        <v/>
      </c>
      <c r="H93" s="27"/>
      <c r="I93" s="27"/>
      <c r="J93" s="27"/>
      <c r="K93" s="27"/>
      <c r="L93" s="27"/>
      <c r="M93" s="27"/>
      <c r="N93" s="27"/>
      <c r="O93" s="27"/>
      <c r="P93" s="27"/>
      <c r="Q93" s="27"/>
      <c r="R93" s="27"/>
      <c r="S93" s="29" t="str">
        <f aca="false">IF(OR(B93="",C93=""),"",IF(COUNTIFS($B$5:B93,B93,$C$5:C93,C93)=1,1,0))</f>
        <v/>
      </c>
      <c r="T93" s="29" t="str">
        <f aca="false">IF(OR(B93="",C93="",E93=""),"",IF(COUNTIFS($B$5:B93,B93,$C$5:C93,C93,$E$5:E93,E93)=1,1,0))</f>
        <v/>
      </c>
      <c r="U93" s="28" t="str">
        <f aca="false">IF(COUNTA(B93:C93,E93:F93,H93:P93)=0,"",IF(OR(B93="",C93="",E93=""),"Check: date, player, and context required",IF(AND(ISNUMBER(J93),ISNUMBER(I93),J93&gt;I93),"Check: solid contacts &gt; swings",IF(AND(ISNUMBER(L93),ISNUMBER(K93),L93&gt;K93),"Check: correct &gt; assessed decisions",IF(AND(ISNUMBER(N93),ISNUMBER(M93),N93&gt;M93),"Check: intended &gt; assessed landings",IF(AND(ISNUMBER(J93),I93=""),"Check: solid contacts without swings","OK"))))))</f>
        <v/>
      </c>
    </row>
    <row r="94" customFormat="false" ht="15" hidden="false" customHeight="false" outlineLevel="0" collapsed="false">
      <c r="B94" s="26"/>
      <c r="C94" s="27"/>
      <c r="D94" s="28" t="str">
        <f aca="false">IF(C94="","",IFERROR(INDEX(Players!$C$5:$C$104,MATCH(C94,Players!$B$5:$B$104,0)),"ID not found"))</f>
        <v/>
      </c>
      <c r="E94" s="27"/>
      <c r="F94" s="27"/>
      <c r="G94" s="28" t="str">
        <f aca="false">IF(F94="","",IFERROR(INDEX('Hitting Drills'!$D$6:$D$45,MATCH(F94,'Hitting Drills'!$B$6:$B$45,0)),"Not a hitting drill ID"))</f>
        <v/>
      </c>
      <c r="H94" s="27"/>
      <c r="I94" s="27"/>
      <c r="J94" s="27"/>
      <c r="K94" s="27"/>
      <c r="L94" s="27"/>
      <c r="M94" s="27"/>
      <c r="N94" s="27"/>
      <c r="O94" s="27"/>
      <c r="P94" s="27"/>
      <c r="Q94" s="27"/>
      <c r="R94" s="27"/>
      <c r="S94" s="29" t="str">
        <f aca="false">IF(OR(B94="",C94=""),"",IF(COUNTIFS($B$5:B94,B94,$C$5:C94,C94)=1,1,0))</f>
        <v/>
      </c>
      <c r="T94" s="29" t="str">
        <f aca="false">IF(OR(B94="",C94="",E94=""),"",IF(COUNTIFS($B$5:B94,B94,$C$5:C94,C94,$E$5:E94,E94)=1,1,0))</f>
        <v/>
      </c>
      <c r="U94" s="28" t="str">
        <f aca="false">IF(COUNTA(B94:C94,E94:F94,H94:P94)=0,"",IF(OR(B94="",C94="",E94=""),"Check: date, player, and context required",IF(AND(ISNUMBER(J94),ISNUMBER(I94),J94&gt;I94),"Check: solid contacts &gt; swings",IF(AND(ISNUMBER(L94),ISNUMBER(K94),L94&gt;K94),"Check: correct &gt; assessed decisions",IF(AND(ISNUMBER(N94),ISNUMBER(M94),N94&gt;M94),"Check: intended &gt; assessed landings",IF(AND(ISNUMBER(J94),I94=""),"Check: solid contacts without swings","OK"))))))</f>
        <v/>
      </c>
    </row>
    <row r="95" customFormat="false" ht="15" hidden="false" customHeight="false" outlineLevel="0" collapsed="false">
      <c r="B95" s="26"/>
      <c r="C95" s="27"/>
      <c r="D95" s="28" t="str">
        <f aca="false">IF(C95="","",IFERROR(INDEX(Players!$C$5:$C$104,MATCH(C95,Players!$B$5:$B$104,0)),"ID not found"))</f>
        <v/>
      </c>
      <c r="E95" s="27"/>
      <c r="F95" s="27"/>
      <c r="G95" s="28" t="str">
        <f aca="false">IF(F95="","",IFERROR(INDEX('Hitting Drills'!$D$6:$D$45,MATCH(F95,'Hitting Drills'!$B$6:$B$45,0)),"Not a hitting drill ID"))</f>
        <v/>
      </c>
      <c r="H95" s="27"/>
      <c r="I95" s="27"/>
      <c r="J95" s="27"/>
      <c r="K95" s="27"/>
      <c r="L95" s="27"/>
      <c r="M95" s="27"/>
      <c r="N95" s="27"/>
      <c r="O95" s="27"/>
      <c r="P95" s="27"/>
      <c r="Q95" s="27"/>
      <c r="R95" s="27"/>
      <c r="S95" s="29" t="str">
        <f aca="false">IF(OR(B95="",C95=""),"",IF(COUNTIFS($B$5:B95,B95,$C$5:C95,C95)=1,1,0))</f>
        <v/>
      </c>
      <c r="T95" s="29" t="str">
        <f aca="false">IF(OR(B95="",C95="",E95=""),"",IF(COUNTIFS($B$5:B95,B95,$C$5:C95,C95,$E$5:E95,E95)=1,1,0))</f>
        <v/>
      </c>
      <c r="U95" s="28" t="str">
        <f aca="false">IF(COUNTA(B95:C95,E95:F95,H95:P95)=0,"",IF(OR(B95="",C95="",E95=""),"Check: date, player, and context required",IF(AND(ISNUMBER(J95),ISNUMBER(I95),J95&gt;I95),"Check: solid contacts &gt; swings",IF(AND(ISNUMBER(L95),ISNUMBER(K95),L95&gt;K95),"Check: correct &gt; assessed decisions",IF(AND(ISNUMBER(N95),ISNUMBER(M95),N95&gt;M95),"Check: intended &gt; assessed landings",IF(AND(ISNUMBER(J95),I95=""),"Check: solid contacts without swings","OK"))))))</f>
        <v/>
      </c>
    </row>
    <row r="96" customFormat="false" ht="15" hidden="false" customHeight="false" outlineLevel="0" collapsed="false">
      <c r="B96" s="26"/>
      <c r="C96" s="27"/>
      <c r="D96" s="28" t="str">
        <f aca="false">IF(C96="","",IFERROR(INDEX(Players!$C$5:$C$104,MATCH(C96,Players!$B$5:$B$104,0)),"ID not found"))</f>
        <v/>
      </c>
      <c r="E96" s="27"/>
      <c r="F96" s="27"/>
      <c r="G96" s="28" t="str">
        <f aca="false">IF(F96="","",IFERROR(INDEX('Hitting Drills'!$D$6:$D$45,MATCH(F96,'Hitting Drills'!$B$6:$B$45,0)),"Not a hitting drill ID"))</f>
        <v/>
      </c>
      <c r="H96" s="27"/>
      <c r="I96" s="27"/>
      <c r="J96" s="27"/>
      <c r="K96" s="27"/>
      <c r="L96" s="27"/>
      <c r="M96" s="27"/>
      <c r="N96" s="27"/>
      <c r="O96" s="27"/>
      <c r="P96" s="27"/>
      <c r="Q96" s="27"/>
      <c r="R96" s="27"/>
      <c r="S96" s="29" t="str">
        <f aca="false">IF(OR(B96="",C96=""),"",IF(COUNTIFS($B$5:B96,B96,$C$5:C96,C96)=1,1,0))</f>
        <v/>
      </c>
      <c r="T96" s="29" t="str">
        <f aca="false">IF(OR(B96="",C96="",E96=""),"",IF(COUNTIFS($B$5:B96,B96,$C$5:C96,C96,$E$5:E96,E96)=1,1,0))</f>
        <v/>
      </c>
      <c r="U96" s="28" t="str">
        <f aca="false">IF(COUNTA(B96:C96,E96:F96,H96:P96)=0,"",IF(OR(B96="",C96="",E96=""),"Check: date, player, and context required",IF(AND(ISNUMBER(J96),ISNUMBER(I96),J96&gt;I96),"Check: solid contacts &gt; swings",IF(AND(ISNUMBER(L96),ISNUMBER(K96),L96&gt;K96),"Check: correct &gt; assessed decisions",IF(AND(ISNUMBER(N96),ISNUMBER(M96),N96&gt;M96),"Check: intended &gt; assessed landings",IF(AND(ISNUMBER(J96),I96=""),"Check: solid contacts without swings","OK"))))))</f>
        <v/>
      </c>
    </row>
    <row r="97" customFormat="false" ht="15" hidden="false" customHeight="false" outlineLevel="0" collapsed="false">
      <c r="B97" s="26"/>
      <c r="C97" s="27"/>
      <c r="D97" s="28" t="str">
        <f aca="false">IF(C97="","",IFERROR(INDEX(Players!$C$5:$C$104,MATCH(C97,Players!$B$5:$B$104,0)),"ID not found"))</f>
        <v/>
      </c>
      <c r="E97" s="27"/>
      <c r="F97" s="27"/>
      <c r="G97" s="28" t="str">
        <f aca="false">IF(F97="","",IFERROR(INDEX('Hitting Drills'!$D$6:$D$45,MATCH(F97,'Hitting Drills'!$B$6:$B$45,0)),"Not a hitting drill ID"))</f>
        <v/>
      </c>
      <c r="H97" s="27"/>
      <c r="I97" s="27"/>
      <c r="J97" s="27"/>
      <c r="K97" s="27"/>
      <c r="L97" s="27"/>
      <c r="M97" s="27"/>
      <c r="N97" s="27"/>
      <c r="O97" s="27"/>
      <c r="P97" s="27"/>
      <c r="Q97" s="27"/>
      <c r="R97" s="27"/>
      <c r="S97" s="29" t="str">
        <f aca="false">IF(OR(B97="",C97=""),"",IF(COUNTIFS($B$5:B97,B97,$C$5:C97,C97)=1,1,0))</f>
        <v/>
      </c>
      <c r="T97" s="29" t="str">
        <f aca="false">IF(OR(B97="",C97="",E97=""),"",IF(COUNTIFS($B$5:B97,B97,$C$5:C97,C97,$E$5:E97,E97)=1,1,0))</f>
        <v/>
      </c>
      <c r="U97" s="28" t="str">
        <f aca="false">IF(COUNTA(B97:C97,E97:F97,H97:P97)=0,"",IF(OR(B97="",C97="",E97=""),"Check: date, player, and context required",IF(AND(ISNUMBER(J97),ISNUMBER(I97),J97&gt;I97),"Check: solid contacts &gt; swings",IF(AND(ISNUMBER(L97),ISNUMBER(K97),L97&gt;K97),"Check: correct &gt; assessed decisions",IF(AND(ISNUMBER(N97),ISNUMBER(M97),N97&gt;M97),"Check: intended &gt; assessed landings",IF(AND(ISNUMBER(J97),I97=""),"Check: solid contacts without swings","OK"))))))</f>
        <v/>
      </c>
    </row>
    <row r="98" customFormat="false" ht="15" hidden="false" customHeight="false" outlineLevel="0" collapsed="false">
      <c r="B98" s="26"/>
      <c r="C98" s="27"/>
      <c r="D98" s="28" t="str">
        <f aca="false">IF(C98="","",IFERROR(INDEX(Players!$C$5:$C$104,MATCH(C98,Players!$B$5:$B$104,0)),"ID not found"))</f>
        <v/>
      </c>
      <c r="E98" s="27"/>
      <c r="F98" s="27"/>
      <c r="G98" s="28" t="str">
        <f aca="false">IF(F98="","",IFERROR(INDEX('Hitting Drills'!$D$6:$D$45,MATCH(F98,'Hitting Drills'!$B$6:$B$45,0)),"Not a hitting drill ID"))</f>
        <v/>
      </c>
      <c r="H98" s="27"/>
      <c r="I98" s="27"/>
      <c r="J98" s="27"/>
      <c r="K98" s="27"/>
      <c r="L98" s="27"/>
      <c r="M98" s="27"/>
      <c r="N98" s="27"/>
      <c r="O98" s="27"/>
      <c r="P98" s="27"/>
      <c r="Q98" s="27"/>
      <c r="R98" s="27"/>
      <c r="S98" s="29" t="str">
        <f aca="false">IF(OR(B98="",C98=""),"",IF(COUNTIFS($B$5:B98,B98,$C$5:C98,C98)=1,1,0))</f>
        <v/>
      </c>
      <c r="T98" s="29" t="str">
        <f aca="false">IF(OR(B98="",C98="",E98=""),"",IF(COUNTIFS($B$5:B98,B98,$C$5:C98,C98,$E$5:E98,E98)=1,1,0))</f>
        <v/>
      </c>
      <c r="U98" s="28" t="str">
        <f aca="false">IF(COUNTA(B98:C98,E98:F98,H98:P98)=0,"",IF(OR(B98="",C98="",E98=""),"Check: date, player, and context required",IF(AND(ISNUMBER(J98),ISNUMBER(I98),J98&gt;I98),"Check: solid contacts &gt; swings",IF(AND(ISNUMBER(L98),ISNUMBER(K98),L98&gt;K98),"Check: correct &gt; assessed decisions",IF(AND(ISNUMBER(N98),ISNUMBER(M98),N98&gt;M98),"Check: intended &gt; assessed landings",IF(AND(ISNUMBER(J98),I98=""),"Check: solid contacts without swings","OK"))))))</f>
        <v/>
      </c>
    </row>
    <row r="99" customFormat="false" ht="15" hidden="false" customHeight="false" outlineLevel="0" collapsed="false">
      <c r="B99" s="26"/>
      <c r="C99" s="27"/>
      <c r="D99" s="28" t="str">
        <f aca="false">IF(C99="","",IFERROR(INDEX(Players!$C$5:$C$104,MATCH(C99,Players!$B$5:$B$104,0)),"ID not found"))</f>
        <v/>
      </c>
      <c r="E99" s="27"/>
      <c r="F99" s="27"/>
      <c r="G99" s="28" t="str">
        <f aca="false">IF(F99="","",IFERROR(INDEX('Hitting Drills'!$D$6:$D$45,MATCH(F99,'Hitting Drills'!$B$6:$B$45,0)),"Not a hitting drill ID"))</f>
        <v/>
      </c>
      <c r="H99" s="27"/>
      <c r="I99" s="27"/>
      <c r="J99" s="27"/>
      <c r="K99" s="27"/>
      <c r="L99" s="27"/>
      <c r="M99" s="27"/>
      <c r="N99" s="27"/>
      <c r="O99" s="27"/>
      <c r="P99" s="27"/>
      <c r="Q99" s="27"/>
      <c r="R99" s="27"/>
      <c r="S99" s="29" t="str">
        <f aca="false">IF(OR(B99="",C99=""),"",IF(COUNTIFS($B$5:B99,B99,$C$5:C99,C99)=1,1,0))</f>
        <v/>
      </c>
      <c r="T99" s="29" t="str">
        <f aca="false">IF(OR(B99="",C99="",E99=""),"",IF(COUNTIFS($B$5:B99,B99,$C$5:C99,C99,$E$5:E99,E99)=1,1,0))</f>
        <v/>
      </c>
      <c r="U99" s="28" t="str">
        <f aca="false">IF(COUNTA(B99:C99,E99:F99,H99:P99)=0,"",IF(OR(B99="",C99="",E99=""),"Check: date, player, and context required",IF(AND(ISNUMBER(J99),ISNUMBER(I99),J99&gt;I99),"Check: solid contacts &gt; swings",IF(AND(ISNUMBER(L99),ISNUMBER(K99),L99&gt;K99),"Check: correct &gt; assessed decisions",IF(AND(ISNUMBER(N99),ISNUMBER(M99),N99&gt;M99),"Check: intended &gt; assessed landings",IF(AND(ISNUMBER(J99),I99=""),"Check: solid contacts without swings","OK"))))))</f>
        <v/>
      </c>
    </row>
    <row r="100" customFormat="false" ht="15" hidden="false" customHeight="false" outlineLevel="0" collapsed="false">
      <c r="B100" s="26"/>
      <c r="C100" s="27"/>
      <c r="D100" s="28" t="str">
        <f aca="false">IF(C100="","",IFERROR(INDEX(Players!$C$5:$C$104,MATCH(C100,Players!$B$5:$B$104,0)),"ID not found"))</f>
        <v/>
      </c>
      <c r="E100" s="27"/>
      <c r="F100" s="27"/>
      <c r="G100" s="28" t="str">
        <f aca="false">IF(F100="","",IFERROR(INDEX('Hitting Drills'!$D$6:$D$45,MATCH(F100,'Hitting Drills'!$B$6:$B$45,0)),"Not a hitting drill ID"))</f>
        <v/>
      </c>
      <c r="H100" s="27"/>
      <c r="I100" s="27"/>
      <c r="J100" s="27"/>
      <c r="K100" s="27"/>
      <c r="L100" s="27"/>
      <c r="M100" s="27"/>
      <c r="N100" s="27"/>
      <c r="O100" s="27"/>
      <c r="P100" s="27"/>
      <c r="Q100" s="27"/>
      <c r="R100" s="27"/>
      <c r="S100" s="29" t="str">
        <f aca="false">IF(OR(B100="",C100=""),"",IF(COUNTIFS($B$5:B100,B100,$C$5:C100,C100)=1,1,0))</f>
        <v/>
      </c>
      <c r="T100" s="29" t="str">
        <f aca="false">IF(OR(B100="",C100="",E100=""),"",IF(COUNTIFS($B$5:B100,B100,$C$5:C100,C100,$E$5:E100,E100)=1,1,0))</f>
        <v/>
      </c>
      <c r="U100" s="28" t="str">
        <f aca="false">IF(COUNTA(B100:C100,E100:F100,H100:P100)=0,"",IF(OR(B100="",C100="",E100=""),"Check: date, player, and context required",IF(AND(ISNUMBER(J100),ISNUMBER(I100),J100&gt;I100),"Check: solid contacts &gt; swings",IF(AND(ISNUMBER(L100),ISNUMBER(K100),L100&gt;K100),"Check: correct &gt; assessed decisions",IF(AND(ISNUMBER(N100),ISNUMBER(M100),N100&gt;M100),"Check: intended &gt; assessed landings",IF(AND(ISNUMBER(J100),I100=""),"Check: solid contacts without swings","OK"))))))</f>
        <v/>
      </c>
    </row>
    <row r="101" customFormat="false" ht="15" hidden="false" customHeight="false" outlineLevel="0" collapsed="false">
      <c r="B101" s="26"/>
      <c r="C101" s="27"/>
      <c r="D101" s="28" t="str">
        <f aca="false">IF(C101="","",IFERROR(INDEX(Players!$C$5:$C$104,MATCH(C101,Players!$B$5:$B$104,0)),"ID not found"))</f>
        <v/>
      </c>
      <c r="E101" s="27"/>
      <c r="F101" s="27"/>
      <c r="G101" s="28" t="str">
        <f aca="false">IF(F101="","",IFERROR(INDEX('Hitting Drills'!$D$6:$D$45,MATCH(F101,'Hitting Drills'!$B$6:$B$45,0)),"Not a hitting drill ID"))</f>
        <v/>
      </c>
      <c r="H101" s="27"/>
      <c r="I101" s="27"/>
      <c r="J101" s="27"/>
      <c r="K101" s="27"/>
      <c r="L101" s="27"/>
      <c r="M101" s="27"/>
      <c r="N101" s="27"/>
      <c r="O101" s="27"/>
      <c r="P101" s="27"/>
      <c r="Q101" s="27"/>
      <c r="R101" s="27"/>
      <c r="S101" s="29" t="str">
        <f aca="false">IF(OR(B101="",C101=""),"",IF(COUNTIFS($B$5:B101,B101,$C$5:C101,C101)=1,1,0))</f>
        <v/>
      </c>
      <c r="T101" s="29" t="str">
        <f aca="false">IF(OR(B101="",C101="",E101=""),"",IF(COUNTIFS($B$5:B101,B101,$C$5:C101,C101,$E$5:E101,E101)=1,1,0))</f>
        <v/>
      </c>
      <c r="U101" s="28" t="str">
        <f aca="false">IF(COUNTA(B101:C101,E101:F101,H101:P101)=0,"",IF(OR(B101="",C101="",E101=""),"Check: date, player, and context required",IF(AND(ISNUMBER(J101),ISNUMBER(I101),J101&gt;I101),"Check: solid contacts &gt; swings",IF(AND(ISNUMBER(L101),ISNUMBER(K101),L101&gt;K101),"Check: correct &gt; assessed decisions",IF(AND(ISNUMBER(N101),ISNUMBER(M101),N101&gt;M101),"Check: intended &gt; assessed landings",IF(AND(ISNUMBER(J101),I101=""),"Check: solid contacts without swings","OK"))))))</f>
        <v/>
      </c>
    </row>
    <row r="102" customFormat="false" ht="15" hidden="false" customHeight="false" outlineLevel="0" collapsed="false">
      <c r="B102" s="26"/>
      <c r="C102" s="27"/>
      <c r="D102" s="28" t="str">
        <f aca="false">IF(C102="","",IFERROR(INDEX(Players!$C$5:$C$104,MATCH(C102,Players!$B$5:$B$104,0)),"ID not found"))</f>
        <v/>
      </c>
      <c r="E102" s="27"/>
      <c r="F102" s="27"/>
      <c r="G102" s="28" t="str">
        <f aca="false">IF(F102="","",IFERROR(INDEX('Hitting Drills'!$D$6:$D$45,MATCH(F102,'Hitting Drills'!$B$6:$B$45,0)),"Not a hitting drill ID"))</f>
        <v/>
      </c>
      <c r="H102" s="27"/>
      <c r="I102" s="27"/>
      <c r="J102" s="27"/>
      <c r="K102" s="27"/>
      <c r="L102" s="27"/>
      <c r="M102" s="27"/>
      <c r="N102" s="27"/>
      <c r="O102" s="27"/>
      <c r="P102" s="27"/>
      <c r="Q102" s="27"/>
      <c r="R102" s="27"/>
      <c r="S102" s="29" t="str">
        <f aca="false">IF(OR(B102="",C102=""),"",IF(COUNTIFS($B$5:B102,B102,$C$5:C102,C102)=1,1,0))</f>
        <v/>
      </c>
      <c r="T102" s="29" t="str">
        <f aca="false">IF(OR(B102="",C102="",E102=""),"",IF(COUNTIFS($B$5:B102,B102,$C$5:C102,C102,$E$5:E102,E102)=1,1,0))</f>
        <v/>
      </c>
      <c r="U102" s="28" t="str">
        <f aca="false">IF(COUNTA(B102:C102,E102:F102,H102:P102)=0,"",IF(OR(B102="",C102="",E102=""),"Check: date, player, and context required",IF(AND(ISNUMBER(J102),ISNUMBER(I102),J102&gt;I102),"Check: solid contacts &gt; swings",IF(AND(ISNUMBER(L102),ISNUMBER(K102),L102&gt;K102),"Check: correct &gt; assessed decisions",IF(AND(ISNUMBER(N102),ISNUMBER(M102),N102&gt;M102),"Check: intended &gt; assessed landings",IF(AND(ISNUMBER(J102),I102=""),"Check: solid contacts without swings","OK"))))))</f>
        <v/>
      </c>
    </row>
    <row r="103" customFormat="false" ht="15" hidden="false" customHeight="false" outlineLevel="0" collapsed="false">
      <c r="B103" s="26"/>
      <c r="C103" s="27"/>
      <c r="D103" s="28" t="str">
        <f aca="false">IF(C103="","",IFERROR(INDEX(Players!$C$5:$C$104,MATCH(C103,Players!$B$5:$B$104,0)),"ID not found"))</f>
        <v/>
      </c>
      <c r="E103" s="27"/>
      <c r="F103" s="27"/>
      <c r="G103" s="28" t="str">
        <f aca="false">IF(F103="","",IFERROR(INDEX('Hitting Drills'!$D$6:$D$45,MATCH(F103,'Hitting Drills'!$B$6:$B$45,0)),"Not a hitting drill ID"))</f>
        <v/>
      </c>
      <c r="H103" s="27"/>
      <c r="I103" s="27"/>
      <c r="J103" s="27"/>
      <c r="K103" s="27"/>
      <c r="L103" s="27"/>
      <c r="M103" s="27"/>
      <c r="N103" s="27"/>
      <c r="O103" s="27"/>
      <c r="P103" s="27"/>
      <c r="Q103" s="27"/>
      <c r="R103" s="27"/>
      <c r="S103" s="29" t="str">
        <f aca="false">IF(OR(B103="",C103=""),"",IF(COUNTIFS($B$5:B103,B103,$C$5:C103,C103)=1,1,0))</f>
        <v/>
      </c>
      <c r="T103" s="29" t="str">
        <f aca="false">IF(OR(B103="",C103="",E103=""),"",IF(COUNTIFS($B$5:B103,B103,$C$5:C103,C103,$E$5:E103,E103)=1,1,0))</f>
        <v/>
      </c>
      <c r="U103" s="28" t="str">
        <f aca="false">IF(COUNTA(B103:C103,E103:F103,H103:P103)=0,"",IF(OR(B103="",C103="",E103=""),"Check: date, player, and context required",IF(AND(ISNUMBER(J103),ISNUMBER(I103),J103&gt;I103),"Check: solid contacts &gt; swings",IF(AND(ISNUMBER(L103),ISNUMBER(K103),L103&gt;K103),"Check: correct &gt; assessed decisions",IF(AND(ISNUMBER(N103),ISNUMBER(M103),N103&gt;M103),"Check: intended &gt; assessed landings",IF(AND(ISNUMBER(J103),I103=""),"Check: solid contacts without swings","OK"))))))</f>
        <v/>
      </c>
    </row>
    <row r="104" customFormat="false" ht="15" hidden="false" customHeight="false" outlineLevel="0" collapsed="false">
      <c r="B104" s="26"/>
      <c r="C104" s="27"/>
      <c r="D104" s="28" t="str">
        <f aca="false">IF(C104="","",IFERROR(INDEX(Players!$C$5:$C$104,MATCH(C104,Players!$B$5:$B$104,0)),"ID not found"))</f>
        <v/>
      </c>
      <c r="E104" s="27"/>
      <c r="F104" s="27"/>
      <c r="G104" s="28" t="str">
        <f aca="false">IF(F104="","",IFERROR(INDEX('Hitting Drills'!$D$6:$D$45,MATCH(F104,'Hitting Drills'!$B$6:$B$45,0)),"Not a hitting drill ID"))</f>
        <v/>
      </c>
      <c r="H104" s="27"/>
      <c r="I104" s="27"/>
      <c r="J104" s="27"/>
      <c r="K104" s="27"/>
      <c r="L104" s="27"/>
      <c r="M104" s="27"/>
      <c r="N104" s="27"/>
      <c r="O104" s="27"/>
      <c r="P104" s="27"/>
      <c r="Q104" s="27"/>
      <c r="R104" s="27"/>
      <c r="S104" s="29" t="str">
        <f aca="false">IF(OR(B104="",C104=""),"",IF(COUNTIFS($B$5:B104,B104,$C$5:C104,C104)=1,1,0))</f>
        <v/>
      </c>
      <c r="T104" s="29" t="str">
        <f aca="false">IF(OR(B104="",C104="",E104=""),"",IF(COUNTIFS($B$5:B104,B104,$C$5:C104,C104,$E$5:E104,E104)=1,1,0))</f>
        <v/>
      </c>
      <c r="U104" s="28" t="str">
        <f aca="false">IF(COUNTA(B104:C104,E104:F104,H104:P104)=0,"",IF(OR(B104="",C104="",E104=""),"Check: date, player, and context required",IF(AND(ISNUMBER(J104),ISNUMBER(I104),J104&gt;I104),"Check: solid contacts &gt; swings",IF(AND(ISNUMBER(L104),ISNUMBER(K104),L104&gt;K104),"Check: correct &gt; assessed decisions",IF(AND(ISNUMBER(N104),ISNUMBER(M104),N104&gt;M104),"Check: intended &gt; assessed landings",IF(AND(ISNUMBER(J104),I104=""),"Check: solid contacts without swings","OK"))))))</f>
        <v/>
      </c>
    </row>
    <row r="105" customFormat="false" ht="15" hidden="false" customHeight="false" outlineLevel="0" collapsed="false">
      <c r="B105" s="26"/>
      <c r="C105" s="27"/>
      <c r="D105" s="28" t="str">
        <f aca="false">IF(C105="","",IFERROR(INDEX(Players!$C$5:$C$104,MATCH(C105,Players!$B$5:$B$104,0)),"ID not found"))</f>
        <v/>
      </c>
      <c r="E105" s="27"/>
      <c r="F105" s="27"/>
      <c r="G105" s="28" t="str">
        <f aca="false">IF(F105="","",IFERROR(INDEX('Hitting Drills'!$D$6:$D$45,MATCH(F105,'Hitting Drills'!$B$6:$B$45,0)),"Not a hitting drill ID"))</f>
        <v/>
      </c>
      <c r="H105" s="27"/>
      <c r="I105" s="27"/>
      <c r="J105" s="27"/>
      <c r="K105" s="27"/>
      <c r="L105" s="27"/>
      <c r="M105" s="27"/>
      <c r="N105" s="27"/>
      <c r="O105" s="27"/>
      <c r="P105" s="27"/>
      <c r="Q105" s="27"/>
      <c r="R105" s="27"/>
      <c r="S105" s="29" t="str">
        <f aca="false">IF(OR(B105="",C105=""),"",IF(COUNTIFS($B$5:B105,B105,$C$5:C105,C105)=1,1,0))</f>
        <v/>
      </c>
      <c r="T105" s="29" t="str">
        <f aca="false">IF(OR(B105="",C105="",E105=""),"",IF(COUNTIFS($B$5:B105,B105,$C$5:C105,C105,$E$5:E105,E105)=1,1,0))</f>
        <v/>
      </c>
      <c r="U105" s="28" t="str">
        <f aca="false">IF(COUNTA(B105:C105,E105:F105,H105:P105)=0,"",IF(OR(B105="",C105="",E105=""),"Check: date, player, and context required",IF(AND(ISNUMBER(J105),ISNUMBER(I105),J105&gt;I105),"Check: solid contacts &gt; swings",IF(AND(ISNUMBER(L105),ISNUMBER(K105),L105&gt;K105),"Check: correct &gt; assessed decisions",IF(AND(ISNUMBER(N105),ISNUMBER(M105),N105&gt;M105),"Check: intended &gt; assessed landings",IF(AND(ISNUMBER(J105),I105=""),"Check: solid contacts without swings","OK"))))))</f>
        <v/>
      </c>
    </row>
    <row r="106" customFormat="false" ht="15" hidden="false" customHeight="false" outlineLevel="0" collapsed="false">
      <c r="B106" s="26"/>
      <c r="C106" s="27"/>
      <c r="D106" s="28" t="str">
        <f aca="false">IF(C106="","",IFERROR(INDEX(Players!$C$5:$C$104,MATCH(C106,Players!$B$5:$B$104,0)),"ID not found"))</f>
        <v/>
      </c>
      <c r="E106" s="27"/>
      <c r="F106" s="27"/>
      <c r="G106" s="28" t="str">
        <f aca="false">IF(F106="","",IFERROR(INDEX('Hitting Drills'!$D$6:$D$45,MATCH(F106,'Hitting Drills'!$B$6:$B$45,0)),"Not a hitting drill ID"))</f>
        <v/>
      </c>
      <c r="H106" s="27"/>
      <c r="I106" s="27"/>
      <c r="J106" s="27"/>
      <c r="K106" s="27"/>
      <c r="L106" s="27"/>
      <c r="M106" s="27"/>
      <c r="N106" s="27"/>
      <c r="O106" s="27"/>
      <c r="P106" s="27"/>
      <c r="Q106" s="27"/>
      <c r="R106" s="27"/>
      <c r="S106" s="29" t="str">
        <f aca="false">IF(OR(B106="",C106=""),"",IF(COUNTIFS($B$5:B106,B106,$C$5:C106,C106)=1,1,0))</f>
        <v/>
      </c>
      <c r="T106" s="29" t="str">
        <f aca="false">IF(OR(B106="",C106="",E106=""),"",IF(COUNTIFS($B$5:B106,B106,$C$5:C106,C106,$E$5:E106,E106)=1,1,0))</f>
        <v/>
      </c>
      <c r="U106" s="28" t="str">
        <f aca="false">IF(COUNTA(B106:C106,E106:F106,H106:P106)=0,"",IF(OR(B106="",C106="",E106=""),"Check: date, player, and context required",IF(AND(ISNUMBER(J106),ISNUMBER(I106),J106&gt;I106),"Check: solid contacts &gt; swings",IF(AND(ISNUMBER(L106),ISNUMBER(K106),L106&gt;K106),"Check: correct &gt; assessed decisions",IF(AND(ISNUMBER(N106),ISNUMBER(M106),N106&gt;M106),"Check: intended &gt; assessed landings",IF(AND(ISNUMBER(J106),I106=""),"Check: solid contacts without swings","OK"))))))</f>
        <v/>
      </c>
    </row>
    <row r="107" customFormat="false" ht="15" hidden="false" customHeight="false" outlineLevel="0" collapsed="false">
      <c r="B107" s="26"/>
      <c r="C107" s="27"/>
      <c r="D107" s="28" t="str">
        <f aca="false">IF(C107="","",IFERROR(INDEX(Players!$C$5:$C$104,MATCH(C107,Players!$B$5:$B$104,0)),"ID not found"))</f>
        <v/>
      </c>
      <c r="E107" s="27"/>
      <c r="F107" s="27"/>
      <c r="G107" s="28" t="str">
        <f aca="false">IF(F107="","",IFERROR(INDEX('Hitting Drills'!$D$6:$D$45,MATCH(F107,'Hitting Drills'!$B$6:$B$45,0)),"Not a hitting drill ID"))</f>
        <v/>
      </c>
      <c r="H107" s="27"/>
      <c r="I107" s="27"/>
      <c r="J107" s="27"/>
      <c r="K107" s="27"/>
      <c r="L107" s="27"/>
      <c r="M107" s="27"/>
      <c r="N107" s="27"/>
      <c r="O107" s="27"/>
      <c r="P107" s="27"/>
      <c r="Q107" s="27"/>
      <c r="R107" s="27"/>
      <c r="S107" s="29" t="str">
        <f aca="false">IF(OR(B107="",C107=""),"",IF(COUNTIFS($B$5:B107,B107,$C$5:C107,C107)=1,1,0))</f>
        <v/>
      </c>
      <c r="T107" s="29" t="str">
        <f aca="false">IF(OR(B107="",C107="",E107=""),"",IF(COUNTIFS($B$5:B107,B107,$C$5:C107,C107,$E$5:E107,E107)=1,1,0))</f>
        <v/>
      </c>
      <c r="U107" s="28" t="str">
        <f aca="false">IF(COUNTA(B107:C107,E107:F107,H107:P107)=0,"",IF(OR(B107="",C107="",E107=""),"Check: date, player, and context required",IF(AND(ISNUMBER(J107),ISNUMBER(I107),J107&gt;I107),"Check: solid contacts &gt; swings",IF(AND(ISNUMBER(L107),ISNUMBER(K107),L107&gt;K107),"Check: correct &gt; assessed decisions",IF(AND(ISNUMBER(N107),ISNUMBER(M107),N107&gt;M107),"Check: intended &gt; assessed landings",IF(AND(ISNUMBER(J107),I107=""),"Check: solid contacts without swings","OK"))))))</f>
        <v/>
      </c>
    </row>
    <row r="108" customFormat="false" ht="15" hidden="false" customHeight="false" outlineLevel="0" collapsed="false">
      <c r="B108" s="26"/>
      <c r="C108" s="27"/>
      <c r="D108" s="28" t="str">
        <f aca="false">IF(C108="","",IFERROR(INDEX(Players!$C$5:$C$104,MATCH(C108,Players!$B$5:$B$104,0)),"ID not found"))</f>
        <v/>
      </c>
      <c r="E108" s="27"/>
      <c r="F108" s="27"/>
      <c r="G108" s="28" t="str">
        <f aca="false">IF(F108="","",IFERROR(INDEX('Hitting Drills'!$D$6:$D$45,MATCH(F108,'Hitting Drills'!$B$6:$B$45,0)),"Not a hitting drill ID"))</f>
        <v/>
      </c>
      <c r="H108" s="27"/>
      <c r="I108" s="27"/>
      <c r="J108" s="27"/>
      <c r="K108" s="27"/>
      <c r="L108" s="27"/>
      <c r="M108" s="27"/>
      <c r="N108" s="27"/>
      <c r="O108" s="27"/>
      <c r="P108" s="27"/>
      <c r="Q108" s="27"/>
      <c r="R108" s="27"/>
      <c r="S108" s="29" t="str">
        <f aca="false">IF(OR(B108="",C108=""),"",IF(COUNTIFS($B$5:B108,B108,$C$5:C108,C108)=1,1,0))</f>
        <v/>
      </c>
      <c r="T108" s="29" t="str">
        <f aca="false">IF(OR(B108="",C108="",E108=""),"",IF(COUNTIFS($B$5:B108,B108,$C$5:C108,C108,$E$5:E108,E108)=1,1,0))</f>
        <v/>
      </c>
      <c r="U108" s="28" t="str">
        <f aca="false">IF(COUNTA(B108:C108,E108:F108,H108:P108)=0,"",IF(OR(B108="",C108="",E108=""),"Check: date, player, and context required",IF(AND(ISNUMBER(J108),ISNUMBER(I108),J108&gt;I108),"Check: solid contacts &gt; swings",IF(AND(ISNUMBER(L108),ISNUMBER(K108),L108&gt;K108),"Check: correct &gt; assessed decisions",IF(AND(ISNUMBER(N108),ISNUMBER(M108),N108&gt;M108),"Check: intended &gt; assessed landings",IF(AND(ISNUMBER(J108),I108=""),"Check: solid contacts without swings","OK"))))))</f>
        <v/>
      </c>
    </row>
    <row r="109" customFormat="false" ht="15" hidden="false" customHeight="false" outlineLevel="0" collapsed="false">
      <c r="B109" s="26"/>
      <c r="C109" s="27"/>
      <c r="D109" s="28" t="str">
        <f aca="false">IF(C109="","",IFERROR(INDEX(Players!$C$5:$C$104,MATCH(C109,Players!$B$5:$B$104,0)),"ID not found"))</f>
        <v/>
      </c>
      <c r="E109" s="27"/>
      <c r="F109" s="27"/>
      <c r="G109" s="28" t="str">
        <f aca="false">IF(F109="","",IFERROR(INDEX('Hitting Drills'!$D$6:$D$45,MATCH(F109,'Hitting Drills'!$B$6:$B$45,0)),"Not a hitting drill ID"))</f>
        <v/>
      </c>
      <c r="H109" s="27"/>
      <c r="I109" s="27"/>
      <c r="J109" s="27"/>
      <c r="K109" s="27"/>
      <c r="L109" s="27"/>
      <c r="M109" s="27"/>
      <c r="N109" s="27"/>
      <c r="O109" s="27"/>
      <c r="P109" s="27"/>
      <c r="Q109" s="27"/>
      <c r="R109" s="27"/>
      <c r="S109" s="29" t="str">
        <f aca="false">IF(OR(B109="",C109=""),"",IF(COUNTIFS($B$5:B109,B109,$C$5:C109,C109)=1,1,0))</f>
        <v/>
      </c>
      <c r="T109" s="29" t="str">
        <f aca="false">IF(OR(B109="",C109="",E109=""),"",IF(COUNTIFS($B$5:B109,B109,$C$5:C109,C109,$E$5:E109,E109)=1,1,0))</f>
        <v/>
      </c>
      <c r="U109" s="28" t="str">
        <f aca="false">IF(COUNTA(B109:C109,E109:F109,H109:P109)=0,"",IF(OR(B109="",C109="",E109=""),"Check: date, player, and context required",IF(AND(ISNUMBER(J109),ISNUMBER(I109),J109&gt;I109),"Check: solid contacts &gt; swings",IF(AND(ISNUMBER(L109),ISNUMBER(K109),L109&gt;K109),"Check: correct &gt; assessed decisions",IF(AND(ISNUMBER(N109),ISNUMBER(M109),N109&gt;M109),"Check: intended &gt; assessed landings",IF(AND(ISNUMBER(J109),I109=""),"Check: solid contacts without swings","OK"))))))</f>
        <v/>
      </c>
    </row>
    <row r="110" customFormat="false" ht="15" hidden="false" customHeight="false" outlineLevel="0" collapsed="false">
      <c r="B110" s="26"/>
      <c r="C110" s="27"/>
      <c r="D110" s="28" t="str">
        <f aca="false">IF(C110="","",IFERROR(INDEX(Players!$C$5:$C$104,MATCH(C110,Players!$B$5:$B$104,0)),"ID not found"))</f>
        <v/>
      </c>
      <c r="E110" s="27"/>
      <c r="F110" s="27"/>
      <c r="G110" s="28" t="str">
        <f aca="false">IF(F110="","",IFERROR(INDEX('Hitting Drills'!$D$6:$D$45,MATCH(F110,'Hitting Drills'!$B$6:$B$45,0)),"Not a hitting drill ID"))</f>
        <v/>
      </c>
      <c r="H110" s="27"/>
      <c r="I110" s="27"/>
      <c r="J110" s="27"/>
      <c r="K110" s="27"/>
      <c r="L110" s="27"/>
      <c r="M110" s="27"/>
      <c r="N110" s="27"/>
      <c r="O110" s="27"/>
      <c r="P110" s="27"/>
      <c r="Q110" s="27"/>
      <c r="R110" s="27"/>
      <c r="S110" s="29" t="str">
        <f aca="false">IF(OR(B110="",C110=""),"",IF(COUNTIFS($B$5:B110,B110,$C$5:C110,C110)=1,1,0))</f>
        <v/>
      </c>
      <c r="T110" s="29" t="str">
        <f aca="false">IF(OR(B110="",C110="",E110=""),"",IF(COUNTIFS($B$5:B110,B110,$C$5:C110,C110,$E$5:E110,E110)=1,1,0))</f>
        <v/>
      </c>
      <c r="U110" s="28" t="str">
        <f aca="false">IF(COUNTA(B110:C110,E110:F110,H110:P110)=0,"",IF(OR(B110="",C110="",E110=""),"Check: date, player, and context required",IF(AND(ISNUMBER(J110),ISNUMBER(I110),J110&gt;I110),"Check: solid contacts &gt; swings",IF(AND(ISNUMBER(L110),ISNUMBER(K110),L110&gt;K110),"Check: correct &gt; assessed decisions",IF(AND(ISNUMBER(N110),ISNUMBER(M110),N110&gt;M110),"Check: intended &gt; assessed landings",IF(AND(ISNUMBER(J110),I110=""),"Check: solid contacts without swings","OK"))))))</f>
        <v/>
      </c>
    </row>
    <row r="111" customFormat="false" ht="15" hidden="false" customHeight="false" outlineLevel="0" collapsed="false">
      <c r="B111" s="26"/>
      <c r="C111" s="27"/>
      <c r="D111" s="28" t="str">
        <f aca="false">IF(C111="","",IFERROR(INDEX(Players!$C$5:$C$104,MATCH(C111,Players!$B$5:$B$104,0)),"ID not found"))</f>
        <v/>
      </c>
      <c r="E111" s="27"/>
      <c r="F111" s="27"/>
      <c r="G111" s="28" t="str">
        <f aca="false">IF(F111="","",IFERROR(INDEX('Hitting Drills'!$D$6:$D$45,MATCH(F111,'Hitting Drills'!$B$6:$B$45,0)),"Not a hitting drill ID"))</f>
        <v/>
      </c>
      <c r="H111" s="27"/>
      <c r="I111" s="27"/>
      <c r="J111" s="27"/>
      <c r="K111" s="27"/>
      <c r="L111" s="27"/>
      <c r="M111" s="27"/>
      <c r="N111" s="27"/>
      <c r="O111" s="27"/>
      <c r="P111" s="27"/>
      <c r="Q111" s="27"/>
      <c r="R111" s="27"/>
      <c r="S111" s="29" t="str">
        <f aca="false">IF(OR(B111="",C111=""),"",IF(COUNTIFS($B$5:B111,B111,$C$5:C111,C111)=1,1,0))</f>
        <v/>
      </c>
      <c r="T111" s="29" t="str">
        <f aca="false">IF(OR(B111="",C111="",E111=""),"",IF(COUNTIFS($B$5:B111,B111,$C$5:C111,C111,$E$5:E111,E111)=1,1,0))</f>
        <v/>
      </c>
      <c r="U111" s="28" t="str">
        <f aca="false">IF(COUNTA(B111:C111,E111:F111,H111:P111)=0,"",IF(OR(B111="",C111="",E111=""),"Check: date, player, and context required",IF(AND(ISNUMBER(J111),ISNUMBER(I111),J111&gt;I111),"Check: solid contacts &gt; swings",IF(AND(ISNUMBER(L111),ISNUMBER(K111),L111&gt;K111),"Check: correct &gt; assessed decisions",IF(AND(ISNUMBER(N111),ISNUMBER(M111),N111&gt;M111),"Check: intended &gt; assessed landings",IF(AND(ISNUMBER(J111),I111=""),"Check: solid contacts without swings","OK"))))))</f>
        <v/>
      </c>
    </row>
    <row r="112" customFormat="false" ht="15" hidden="false" customHeight="false" outlineLevel="0" collapsed="false">
      <c r="B112" s="26"/>
      <c r="C112" s="27"/>
      <c r="D112" s="28" t="str">
        <f aca="false">IF(C112="","",IFERROR(INDEX(Players!$C$5:$C$104,MATCH(C112,Players!$B$5:$B$104,0)),"ID not found"))</f>
        <v/>
      </c>
      <c r="E112" s="27"/>
      <c r="F112" s="27"/>
      <c r="G112" s="28" t="str">
        <f aca="false">IF(F112="","",IFERROR(INDEX('Hitting Drills'!$D$6:$D$45,MATCH(F112,'Hitting Drills'!$B$6:$B$45,0)),"Not a hitting drill ID"))</f>
        <v/>
      </c>
      <c r="H112" s="27"/>
      <c r="I112" s="27"/>
      <c r="J112" s="27"/>
      <c r="K112" s="27"/>
      <c r="L112" s="27"/>
      <c r="M112" s="27"/>
      <c r="N112" s="27"/>
      <c r="O112" s="27"/>
      <c r="P112" s="27"/>
      <c r="Q112" s="27"/>
      <c r="R112" s="27"/>
      <c r="S112" s="29" t="str">
        <f aca="false">IF(OR(B112="",C112=""),"",IF(COUNTIFS($B$5:B112,B112,$C$5:C112,C112)=1,1,0))</f>
        <v/>
      </c>
      <c r="T112" s="29" t="str">
        <f aca="false">IF(OR(B112="",C112="",E112=""),"",IF(COUNTIFS($B$5:B112,B112,$C$5:C112,C112,$E$5:E112,E112)=1,1,0))</f>
        <v/>
      </c>
      <c r="U112" s="28" t="str">
        <f aca="false">IF(COUNTA(B112:C112,E112:F112,H112:P112)=0,"",IF(OR(B112="",C112="",E112=""),"Check: date, player, and context required",IF(AND(ISNUMBER(J112),ISNUMBER(I112),J112&gt;I112),"Check: solid contacts &gt; swings",IF(AND(ISNUMBER(L112),ISNUMBER(K112),L112&gt;K112),"Check: correct &gt; assessed decisions",IF(AND(ISNUMBER(N112),ISNUMBER(M112),N112&gt;M112),"Check: intended &gt; assessed landings",IF(AND(ISNUMBER(J112),I112=""),"Check: solid contacts without swings","OK"))))))</f>
        <v/>
      </c>
    </row>
    <row r="113" customFormat="false" ht="15" hidden="false" customHeight="false" outlineLevel="0" collapsed="false">
      <c r="B113" s="26"/>
      <c r="C113" s="27"/>
      <c r="D113" s="28" t="str">
        <f aca="false">IF(C113="","",IFERROR(INDEX(Players!$C$5:$C$104,MATCH(C113,Players!$B$5:$B$104,0)),"ID not found"))</f>
        <v/>
      </c>
      <c r="E113" s="27"/>
      <c r="F113" s="27"/>
      <c r="G113" s="28" t="str">
        <f aca="false">IF(F113="","",IFERROR(INDEX('Hitting Drills'!$D$6:$D$45,MATCH(F113,'Hitting Drills'!$B$6:$B$45,0)),"Not a hitting drill ID"))</f>
        <v/>
      </c>
      <c r="H113" s="27"/>
      <c r="I113" s="27"/>
      <c r="J113" s="27"/>
      <c r="K113" s="27"/>
      <c r="L113" s="27"/>
      <c r="M113" s="27"/>
      <c r="N113" s="27"/>
      <c r="O113" s="27"/>
      <c r="P113" s="27"/>
      <c r="Q113" s="27"/>
      <c r="R113" s="27"/>
      <c r="S113" s="29" t="str">
        <f aca="false">IF(OR(B113="",C113=""),"",IF(COUNTIFS($B$5:B113,B113,$C$5:C113,C113)=1,1,0))</f>
        <v/>
      </c>
      <c r="T113" s="29" t="str">
        <f aca="false">IF(OR(B113="",C113="",E113=""),"",IF(COUNTIFS($B$5:B113,B113,$C$5:C113,C113,$E$5:E113,E113)=1,1,0))</f>
        <v/>
      </c>
      <c r="U113" s="28" t="str">
        <f aca="false">IF(COUNTA(B113:C113,E113:F113,H113:P113)=0,"",IF(OR(B113="",C113="",E113=""),"Check: date, player, and context required",IF(AND(ISNUMBER(J113),ISNUMBER(I113),J113&gt;I113),"Check: solid contacts &gt; swings",IF(AND(ISNUMBER(L113),ISNUMBER(K113),L113&gt;K113),"Check: correct &gt; assessed decisions",IF(AND(ISNUMBER(N113),ISNUMBER(M113),N113&gt;M113),"Check: intended &gt; assessed landings",IF(AND(ISNUMBER(J113),I113=""),"Check: solid contacts without swings","OK"))))))</f>
        <v/>
      </c>
    </row>
    <row r="114" customFormat="false" ht="15" hidden="false" customHeight="false" outlineLevel="0" collapsed="false">
      <c r="B114" s="26"/>
      <c r="C114" s="27"/>
      <c r="D114" s="28" t="str">
        <f aca="false">IF(C114="","",IFERROR(INDEX(Players!$C$5:$C$104,MATCH(C114,Players!$B$5:$B$104,0)),"ID not found"))</f>
        <v/>
      </c>
      <c r="E114" s="27"/>
      <c r="F114" s="27"/>
      <c r="G114" s="28" t="str">
        <f aca="false">IF(F114="","",IFERROR(INDEX('Hitting Drills'!$D$6:$D$45,MATCH(F114,'Hitting Drills'!$B$6:$B$45,0)),"Not a hitting drill ID"))</f>
        <v/>
      </c>
      <c r="H114" s="27"/>
      <c r="I114" s="27"/>
      <c r="J114" s="27"/>
      <c r="K114" s="27"/>
      <c r="L114" s="27"/>
      <c r="M114" s="27"/>
      <c r="N114" s="27"/>
      <c r="O114" s="27"/>
      <c r="P114" s="27"/>
      <c r="Q114" s="27"/>
      <c r="R114" s="27"/>
      <c r="S114" s="29" t="str">
        <f aca="false">IF(OR(B114="",C114=""),"",IF(COUNTIFS($B$5:B114,B114,$C$5:C114,C114)=1,1,0))</f>
        <v/>
      </c>
      <c r="T114" s="29" t="str">
        <f aca="false">IF(OR(B114="",C114="",E114=""),"",IF(COUNTIFS($B$5:B114,B114,$C$5:C114,C114,$E$5:E114,E114)=1,1,0))</f>
        <v/>
      </c>
      <c r="U114" s="28" t="str">
        <f aca="false">IF(COUNTA(B114:C114,E114:F114,H114:P114)=0,"",IF(OR(B114="",C114="",E114=""),"Check: date, player, and context required",IF(AND(ISNUMBER(J114),ISNUMBER(I114),J114&gt;I114),"Check: solid contacts &gt; swings",IF(AND(ISNUMBER(L114),ISNUMBER(K114),L114&gt;K114),"Check: correct &gt; assessed decisions",IF(AND(ISNUMBER(N114),ISNUMBER(M114),N114&gt;M114),"Check: intended &gt; assessed landings",IF(AND(ISNUMBER(J114),I114=""),"Check: solid contacts without swings","OK"))))))</f>
        <v/>
      </c>
    </row>
    <row r="115" customFormat="false" ht="15" hidden="false" customHeight="false" outlineLevel="0" collapsed="false">
      <c r="B115" s="26"/>
      <c r="C115" s="27"/>
      <c r="D115" s="28" t="str">
        <f aca="false">IF(C115="","",IFERROR(INDEX(Players!$C$5:$C$104,MATCH(C115,Players!$B$5:$B$104,0)),"ID not found"))</f>
        <v/>
      </c>
      <c r="E115" s="27"/>
      <c r="F115" s="27"/>
      <c r="G115" s="28" t="str">
        <f aca="false">IF(F115="","",IFERROR(INDEX('Hitting Drills'!$D$6:$D$45,MATCH(F115,'Hitting Drills'!$B$6:$B$45,0)),"Not a hitting drill ID"))</f>
        <v/>
      </c>
      <c r="H115" s="27"/>
      <c r="I115" s="27"/>
      <c r="J115" s="27"/>
      <c r="K115" s="27"/>
      <c r="L115" s="27"/>
      <c r="M115" s="27"/>
      <c r="N115" s="27"/>
      <c r="O115" s="27"/>
      <c r="P115" s="27"/>
      <c r="Q115" s="27"/>
      <c r="R115" s="27"/>
      <c r="S115" s="29" t="str">
        <f aca="false">IF(OR(B115="",C115=""),"",IF(COUNTIFS($B$5:B115,B115,$C$5:C115,C115)=1,1,0))</f>
        <v/>
      </c>
      <c r="T115" s="29" t="str">
        <f aca="false">IF(OR(B115="",C115="",E115=""),"",IF(COUNTIFS($B$5:B115,B115,$C$5:C115,C115,$E$5:E115,E115)=1,1,0))</f>
        <v/>
      </c>
      <c r="U115" s="28" t="str">
        <f aca="false">IF(COUNTA(B115:C115,E115:F115,H115:P115)=0,"",IF(OR(B115="",C115="",E115=""),"Check: date, player, and context required",IF(AND(ISNUMBER(J115),ISNUMBER(I115),J115&gt;I115),"Check: solid contacts &gt; swings",IF(AND(ISNUMBER(L115),ISNUMBER(K115),L115&gt;K115),"Check: correct &gt; assessed decisions",IF(AND(ISNUMBER(N115),ISNUMBER(M115),N115&gt;M115),"Check: intended &gt; assessed landings",IF(AND(ISNUMBER(J115),I115=""),"Check: solid contacts without swings","OK"))))))</f>
        <v/>
      </c>
    </row>
    <row r="116" customFormat="false" ht="15" hidden="false" customHeight="false" outlineLevel="0" collapsed="false">
      <c r="B116" s="26"/>
      <c r="C116" s="27"/>
      <c r="D116" s="28" t="str">
        <f aca="false">IF(C116="","",IFERROR(INDEX(Players!$C$5:$C$104,MATCH(C116,Players!$B$5:$B$104,0)),"ID not found"))</f>
        <v/>
      </c>
      <c r="E116" s="27"/>
      <c r="F116" s="27"/>
      <c r="G116" s="28" t="str">
        <f aca="false">IF(F116="","",IFERROR(INDEX('Hitting Drills'!$D$6:$D$45,MATCH(F116,'Hitting Drills'!$B$6:$B$45,0)),"Not a hitting drill ID"))</f>
        <v/>
      </c>
      <c r="H116" s="27"/>
      <c r="I116" s="27"/>
      <c r="J116" s="27"/>
      <c r="K116" s="27"/>
      <c r="L116" s="27"/>
      <c r="M116" s="27"/>
      <c r="N116" s="27"/>
      <c r="O116" s="27"/>
      <c r="P116" s="27"/>
      <c r="Q116" s="27"/>
      <c r="R116" s="27"/>
      <c r="S116" s="29" t="str">
        <f aca="false">IF(OR(B116="",C116=""),"",IF(COUNTIFS($B$5:B116,B116,$C$5:C116,C116)=1,1,0))</f>
        <v/>
      </c>
      <c r="T116" s="29" t="str">
        <f aca="false">IF(OR(B116="",C116="",E116=""),"",IF(COUNTIFS($B$5:B116,B116,$C$5:C116,C116,$E$5:E116,E116)=1,1,0))</f>
        <v/>
      </c>
      <c r="U116" s="28" t="str">
        <f aca="false">IF(COUNTA(B116:C116,E116:F116,H116:P116)=0,"",IF(OR(B116="",C116="",E116=""),"Check: date, player, and context required",IF(AND(ISNUMBER(J116),ISNUMBER(I116),J116&gt;I116),"Check: solid contacts &gt; swings",IF(AND(ISNUMBER(L116),ISNUMBER(K116),L116&gt;K116),"Check: correct &gt; assessed decisions",IF(AND(ISNUMBER(N116),ISNUMBER(M116),N116&gt;M116),"Check: intended &gt; assessed landings",IF(AND(ISNUMBER(J116),I116=""),"Check: solid contacts without swings","OK"))))))</f>
        <v/>
      </c>
    </row>
    <row r="117" customFormat="false" ht="15" hidden="false" customHeight="false" outlineLevel="0" collapsed="false">
      <c r="B117" s="26"/>
      <c r="C117" s="27"/>
      <c r="D117" s="28" t="str">
        <f aca="false">IF(C117="","",IFERROR(INDEX(Players!$C$5:$C$104,MATCH(C117,Players!$B$5:$B$104,0)),"ID not found"))</f>
        <v/>
      </c>
      <c r="E117" s="27"/>
      <c r="F117" s="27"/>
      <c r="G117" s="28" t="str">
        <f aca="false">IF(F117="","",IFERROR(INDEX('Hitting Drills'!$D$6:$D$45,MATCH(F117,'Hitting Drills'!$B$6:$B$45,0)),"Not a hitting drill ID"))</f>
        <v/>
      </c>
      <c r="H117" s="27"/>
      <c r="I117" s="27"/>
      <c r="J117" s="27"/>
      <c r="K117" s="27"/>
      <c r="L117" s="27"/>
      <c r="M117" s="27"/>
      <c r="N117" s="27"/>
      <c r="O117" s="27"/>
      <c r="P117" s="27"/>
      <c r="Q117" s="27"/>
      <c r="R117" s="27"/>
      <c r="S117" s="29" t="str">
        <f aca="false">IF(OR(B117="",C117=""),"",IF(COUNTIFS($B$5:B117,B117,$C$5:C117,C117)=1,1,0))</f>
        <v/>
      </c>
      <c r="T117" s="29" t="str">
        <f aca="false">IF(OR(B117="",C117="",E117=""),"",IF(COUNTIFS($B$5:B117,B117,$C$5:C117,C117,$E$5:E117,E117)=1,1,0))</f>
        <v/>
      </c>
      <c r="U117" s="28" t="str">
        <f aca="false">IF(COUNTA(B117:C117,E117:F117,H117:P117)=0,"",IF(OR(B117="",C117="",E117=""),"Check: date, player, and context required",IF(AND(ISNUMBER(J117),ISNUMBER(I117),J117&gt;I117),"Check: solid contacts &gt; swings",IF(AND(ISNUMBER(L117),ISNUMBER(K117),L117&gt;K117),"Check: correct &gt; assessed decisions",IF(AND(ISNUMBER(N117),ISNUMBER(M117),N117&gt;M117),"Check: intended &gt; assessed landings",IF(AND(ISNUMBER(J117),I117=""),"Check: solid contacts without swings","OK"))))))</f>
        <v/>
      </c>
    </row>
    <row r="118" customFormat="false" ht="15" hidden="false" customHeight="false" outlineLevel="0" collapsed="false">
      <c r="B118" s="26"/>
      <c r="C118" s="27"/>
      <c r="D118" s="28" t="str">
        <f aca="false">IF(C118="","",IFERROR(INDEX(Players!$C$5:$C$104,MATCH(C118,Players!$B$5:$B$104,0)),"ID not found"))</f>
        <v/>
      </c>
      <c r="E118" s="27"/>
      <c r="F118" s="27"/>
      <c r="G118" s="28" t="str">
        <f aca="false">IF(F118="","",IFERROR(INDEX('Hitting Drills'!$D$6:$D$45,MATCH(F118,'Hitting Drills'!$B$6:$B$45,0)),"Not a hitting drill ID"))</f>
        <v/>
      </c>
      <c r="H118" s="27"/>
      <c r="I118" s="27"/>
      <c r="J118" s="27"/>
      <c r="K118" s="27"/>
      <c r="L118" s="27"/>
      <c r="M118" s="27"/>
      <c r="N118" s="27"/>
      <c r="O118" s="27"/>
      <c r="P118" s="27"/>
      <c r="Q118" s="27"/>
      <c r="R118" s="27"/>
      <c r="S118" s="29" t="str">
        <f aca="false">IF(OR(B118="",C118=""),"",IF(COUNTIFS($B$5:B118,B118,$C$5:C118,C118)=1,1,0))</f>
        <v/>
      </c>
      <c r="T118" s="29" t="str">
        <f aca="false">IF(OR(B118="",C118="",E118=""),"",IF(COUNTIFS($B$5:B118,B118,$C$5:C118,C118,$E$5:E118,E118)=1,1,0))</f>
        <v/>
      </c>
      <c r="U118" s="28" t="str">
        <f aca="false">IF(COUNTA(B118:C118,E118:F118,H118:P118)=0,"",IF(OR(B118="",C118="",E118=""),"Check: date, player, and context required",IF(AND(ISNUMBER(J118),ISNUMBER(I118),J118&gt;I118),"Check: solid contacts &gt; swings",IF(AND(ISNUMBER(L118),ISNUMBER(K118),L118&gt;K118),"Check: correct &gt; assessed decisions",IF(AND(ISNUMBER(N118),ISNUMBER(M118),N118&gt;M118),"Check: intended &gt; assessed landings",IF(AND(ISNUMBER(J118),I118=""),"Check: solid contacts without swings","OK"))))))</f>
        <v/>
      </c>
    </row>
    <row r="119" customFormat="false" ht="15" hidden="false" customHeight="false" outlineLevel="0" collapsed="false">
      <c r="B119" s="26"/>
      <c r="C119" s="27"/>
      <c r="D119" s="28" t="str">
        <f aca="false">IF(C119="","",IFERROR(INDEX(Players!$C$5:$C$104,MATCH(C119,Players!$B$5:$B$104,0)),"ID not found"))</f>
        <v/>
      </c>
      <c r="E119" s="27"/>
      <c r="F119" s="27"/>
      <c r="G119" s="28" t="str">
        <f aca="false">IF(F119="","",IFERROR(INDEX('Hitting Drills'!$D$6:$D$45,MATCH(F119,'Hitting Drills'!$B$6:$B$45,0)),"Not a hitting drill ID"))</f>
        <v/>
      </c>
      <c r="H119" s="27"/>
      <c r="I119" s="27"/>
      <c r="J119" s="27"/>
      <c r="K119" s="27"/>
      <c r="L119" s="27"/>
      <c r="M119" s="27"/>
      <c r="N119" s="27"/>
      <c r="O119" s="27"/>
      <c r="P119" s="27"/>
      <c r="Q119" s="27"/>
      <c r="R119" s="27"/>
      <c r="S119" s="29" t="str">
        <f aca="false">IF(OR(B119="",C119=""),"",IF(COUNTIFS($B$5:B119,B119,$C$5:C119,C119)=1,1,0))</f>
        <v/>
      </c>
      <c r="T119" s="29" t="str">
        <f aca="false">IF(OR(B119="",C119="",E119=""),"",IF(COUNTIFS($B$5:B119,B119,$C$5:C119,C119,$E$5:E119,E119)=1,1,0))</f>
        <v/>
      </c>
      <c r="U119" s="28" t="str">
        <f aca="false">IF(COUNTA(B119:C119,E119:F119,H119:P119)=0,"",IF(OR(B119="",C119="",E119=""),"Check: date, player, and context required",IF(AND(ISNUMBER(J119),ISNUMBER(I119),J119&gt;I119),"Check: solid contacts &gt; swings",IF(AND(ISNUMBER(L119),ISNUMBER(K119),L119&gt;K119),"Check: correct &gt; assessed decisions",IF(AND(ISNUMBER(N119),ISNUMBER(M119),N119&gt;M119),"Check: intended &gt; assessed landings",IF(AND(ISNUMBER(J119),I119=""),"Check: solid contacts without swings","OK"))))))</f>
        <v/>
      </c>
    </row>
    <row r="120" customFormat="false" ht="15" hidden="false" customHeight="false" outlineLevel="0" collapsed="false">
      <c r="B120" s="26"/>
      <c r="C120" s="27"/>
      <c r="D120" s="28" t="str">
        <f aca="false">IF(C120="","",IFERROR(INDEX(Players!$C$5:$C$104,MATCH(C120,Players!$B$5:$B$104,0)),"ID not found"))</f>
        <v/>
      </c>
      <c r="E120" s="27"/>
      <c r="F120" s="27"/>
      <c r="G120" s="28" t="str">
        <f aca="false">IF(F120="","",IFERROR(INDEX('Hitting Drills'!$D$6:$D$45,MATCH(F120,'Hitting Drills'!$B$6:$B$45,0)),"Not a hitting drill ID"))</f>
        <v/>
      </c>
      <c r="H120" s="27"/>
      <c r="I120" s="27"/>
      <c r="J120" s="27"/>
      <c r="K120" s="27"/>
      <c r="L120" s="27"/>
      <c r="M120" s="27"/>
      <c r="N120" s="27"/>
      <c r="O120" s="27"/>
      <c r="P120" s="27"/>
      <c r="Q120" s="27"/>
      <c r="R120" s="27"/>
      <c r="S120" s="29" t="str">
        <f aca="false">IF(OR(B120="",C120=""),"",IF(COUNTIFS($B$5:B120,B120,$C$5:C120,C120)=1,1,0))</f>
        <v/>
      </c>
      <c r="T120" s="29" t="str">
        <f aca="false">IF(OR(B120="",C120="",E120=""),"",IF(COUNTIFS($B$5:B120,B120,$C$5:C120,C120,$E$5:E120,E120)=1,1,0))</f>
        <v/>
      </c>
      <c r="U120" s="28" t="str">
        <f aca="false">IF(COUNTA(B120:C120,E120:F120,H120:P120)=0,"",IF(OR(B120="",C120="",E120=""),"Check: date, player, and context required",IF(AND(ISNUMBER(J120),ISNUMBER(I120),J120&gt;I120),"Check: solid contacts &gt; swings",IF(AND(ISNUMBER(L120),ISNUMBER(K120),L120&gt;K120),"Check: correct &gt; assessed decisions",IF(AND(ISNUMBER(N120),ISNUMBER(M120),N120&gt;M120),"Check: intended &gt; assessed landings",IF(AND(ISNUMBER(J120),I120=""),"Check: solid contacts without swings","OK"))))))</f>
        <v/>
      </c>
    </row>
    <row r="121" customFormat="false" ht="15" hidden="false" customHeight="false" outlineLevel="0" collapsed="false">
      <c r="B121" s="26"/>
      <c r="C121" s="27"/>
      <c r="D121" s="28" t="str">
        <f aca="false">IF(C121="","",IFERROR(INDEX(Players!$C$5:$C$104,MATCH(C121,Players!$B$5:$B$104,0)),"ID not found"))</f>
        <v/>
      </c>
      <c r="E121" s="27"/>
      <c r="F121" s="27"/>
      <c r="G121" s="28" t="str">
        <f aca="false">IF(F121="","",IFERROR(INDEX('Hitting Drills'!$D$6:$D$45,MATCH(F121,'Hitting Drills'!$B$6:$B$45,0)),"Not a hitting drill ID"))</f>
        <v/>
      </c>
      <c r="H121" s="27"/>
      <c r="I121" s="27"/>
      <c r="J121" s="27"/>
      <c r="K121" s="27"/>
      <c r="L121" s="27"/>
      <c r="M121" s="27"/>
      <c r="N121" s="27"/>
      <c r="O121" s="27"/>
      <c r="P121" s="27"/>
      <c r="Q121" s="27"/>
      <c r="R121" s="27"/>
      <c r="S121" s="29" t="str">
        <f aca="false">IF(OR(B121="",C121=""),"",IF(COUNTIFS($B$5:B121,B121,$C$5:C121,C121)=1,1,0))</f>
        <v/>
      </c>
      <c r="T121" s="29" t="str">
        <f aca="false">IF(OR(B121="",C121="",E121=""),"",IF(COUNTIFS($B$5:B121,B121,$C$5:C121,C121,$E$5:E121,E121)=1,1,0))</f>
        <v/>
      </c>
      <c r="U121" s="28" t="str">
        <f aca="false">IF(COUNTA(B121:C121,E121:F121,H121:P121)=0,"",IF(OR(B121="",C121="",E121=""),"Check: date, player, and context required",IF(AND(ISNUMBER(J121),ISNUMBER(I121),J121&gt;I121),"Check: solid contacts &gt; swings",IF(AND(ISNUMBER(L121),ISNUMBER(K121),L121&gt;K121),"Check: correct &gt; assessed decisions",IF(AND(ISNUMBER(N121),ISNUMBER(M121),N121&gt;M121),"Check: intended &gt; assessed landings",IF(AND(ISNUMBER(J121),I121=""),"Check: solid contacts without swings","OK"))))))</f>
        <v/>
      </c>
    </row>
    <row r="122" customFormat="false" ht="15" hidden="false" customHeight="false" outlineLevel="0" collapsed="false">
      <c r="B122" s="26"/>
      <c r="C122" s="27"/>
      <c r="D122" s="28" t="str">
        <f aca="false">IF(C122="","",IFERROR(INDEX(Players!$C$5:$C$104,MATCH(C122,Players!$B$5:$B$104,0)),"ID not found"))</f>
        <v/>
      </c>
      <c r="E122" s="27"/>
      <c r="F122" s="27"/>
      <c r="G122" s="28" t="str">
        <f aca="false">IF(F122="","",IFERROR(INDEX('Hitting Drills'!$D$6:$D$45,MATCH(F122,'Hitting Drills'!$B$6:$B$45,0)),"Not a hitting drill ID"))</f>
        <v/>
      </c>
      <c r="H122" s="27"/>
      <c r="I122" s="27"/>
      <c r="J122" s="27"/>
      <c r="K122" s="27"/>
      <c r="L122" s="27"/>
      <c r="M122" s="27"/>
      <c r="N122" s="27"/>
      <c r="O122" s="27"/>
      <c r="P122" s="27"/>
      <c r="Q122" s="27"/>
      <c r="R122" s="27"/>
      <c r="S122" s="29" t="str">
        <f aca="false">IF(OR(B122="",C122=""),"",IF(COUNTIFS($B$5:B122,B122,$C$5:C122,C122)=1,1,0))</f>
        <v/>
      </c>
      <c r="T122" s="29" t="str">
        <f aca="false">IF(OR(B122="",C122="",E122=""),"",IF(COUNTIFS($B$5:B122,B122,$C$5:C122,C122,$E$5:E122,E122)=1,1,0))</f>
        <v/>
      </c>
      <c r="U122" s="28" t="str">
        <f aca="false">IF(COUNTA(B122:C122,E122:F122,H122:P122)=0,"",IF(OR(B122="",C122="",E122=""),"Check: date, player, and context required",IF(AND(ISNUMBER(J122),ISNUMBER(I122),J122&gt;I122),"Check: solid contacts &gt; swings",IF(AND(ISNUMBER(L122),ISNUMBER(K122),L122&gt;K122),"Check: correct &gt; assessed decisions",IF(AND(ISNUMBER(N122),ISNUMBER(M122),N122&gt;M122),"Check: intended &gt; assessed landings",IF(AND(ISNUMBER(J122),I122=""),"Check: solid contacts without swings","OK"))))))</f>
        <v/>
      </c>
    </row>
    <row r="123" customFormat="false" ht="15" hidden="false" customHeight="false" outlineLevel="0" collapsed="false">
      <c r="B123" s="26"/>
      <c r="C123" s="27"/>
      <c r="D123" s="28" t="str">
        <f aca="false">IF(C123="","",IFERROR(INDEX(Players!$C$5:$C$104,MATCH(C123,Players!$B$5:$B$104,0)),"ID not found"))</f>
        <v/>
      </c>
      <c r="E123" s="27"/>
      <c r="F123" s="27"/>
      <c r="G123" s="28" t="str">
        <f aca="false">IF(F123="","",IFERROR(INDEX('Hitting Drills'!$D$6:$D$45,MATCH(F123,'Hitting Drills'!$B$6:$B$45,0)),"Not a hitting drill ID"))</f>
        <v/>
      </c>
      <c r="H123" s="27"/>
      <c r="I123" s="27"/>
      <c r="J123" s="27"/>
      <c r="K123" s="27"/>
      <c r="L123" s="27"/>
      <c r="M123" s="27"/>
      <c r="N123" s="27"/>
      <c r="O123" s="27"/>
      <c r="P123" s="27"/>
      <c r="Q123" s="27"/>
      <c r="R123" s="27"/>
      <c r="S123" s="29" t="str">
        <f aca="false">IF(OR(B123="",C123=""),"",IF(COUNTIFS($B$5:B123,B123,$C$5:C123,C123)=1,1,0))</f>
        <v/>
      </c>
      <c r="T123" s="29" t="str">
        <f aca="false">IF(OR(B123="",C123="",E123=""),"",IF(COUNTIFS($B$5:B123,B123,$C$5:C123,C123,$E$5:E123,E123)=1,1,0))</f>
        <v/>
      </c>
      <c r="U123" s="28" t="str">
        <f aca="false">IF(COUNTA(B123:C123,E123:F123,H123:P123)=0,"",IF(OR(B123="",C123="",E123=""),"Check: date, player, and context required",IF(AND(ISNUMBER(J123),ISNUMBER(I123),J123&gt;I123),"Check: solid contacts &gt; swings",IF(AND(ISNUMBER(L123),ISNUMBER(K123),L123&gt;K123),"Check: correct &gt; assessed decisions",IF(AND(ISNUMBER(N123),ISNUMBER(M123),N123&gt;M123),"Check: intended &gt; assessed landings",IF(AND(ISNUMBER(J123),I123=""),"Check: solid contacts without swings","OK"))))))</f>
        <v/>
      </c>
    </row>
    <row r="124" customFormat="false" ht="15" hidden="false" customHeight="false" outlineLevel="0" collapsed="false">
      <c r="B124" s="26"/>
      <c r="C124" s="27"/>
      <c r="D124" s="28" t="str">
        <f aca="false">IF(C124="","",IFERROR(INDEX(Players!$C$5:$C$104,MATCH(C124,Players!$B$5:$B$104,0)),"ID not found"))</f>
        <v/>
      </c>
      <c r="E124" s="27"/>
      <c r="F124" s="27"/>
      <c r="G124" s="28" t="str">
        <f aca="false">IF(F124="","",IFERROR(INDEX('Hitting Drills'!$D$6:$D$45,MATCH(F124,'Hitting Drills'!$B$6:$B$45,0)),"Not a hitting drill ID"))</f>
        <v/>
      </c>
      <c r="H124" s="27"/>
      <c r="I124" s="27"/>
      <c r="J124" s="27"/>
      <c r="K124" s="27"/>
      <c r="L124" s="27"/>
      <c r="M124" s="27"/>
      <c r="N124" s="27"/>
      <c r="O124" s="27"/>
      <c r="P124" s="27"/>
      <c r="Q124" s="27"/>
      <c r="R124" s="27"/>
      <c r="S124" s="29" t="str">
        <f aca="false">IF(OR(B124="",C124=""),"",IF(COUNTIFS($B$5:B124,B124,$C$5:C124,C124)=1,1,0))</f>
        <v/>
      </c>
      <c r="T124" s="29" t="str">
        <f aca="false">IF(OR(B124="",C124="",E124=""),"",IF(COUNTIFS($B$5:B124,B124,$C$5:C124,C124,$E$5:E124,E124)=1,1,0))</f>
        <v/>
      </c>
      <c r="U124" s="28" t="str">
        <f aca="false">IF(COUNTA(B124:C124,E124:F124,H124:P124)=0,"",IF(OR(B124="",C124="",E124=""),"Check: date, player, and context required",IF(AND(ISNUMBER(J124),ISNUMBER(I124),J124&gt;I124),"Check: solid contacts &gt; swings",IF(AND(ISNUMBER(L124),ISNUMBER(K124),L124&gt;K124),"Check: correct &gt; assessed decisions",IF(AND(ISNUMBER(N124),ISNUMBER(M124),N124&gt;M124),"Check: intended &gt; assessed landings",IF(AND(ISNUMBER(J124),I124=""),"Check: solid contacts without swings","OK"))))))</f>
        <v/>
      </c>
    </row>
    <row r="125" customFormat="false" ht="15" hidden="false" customHeight="false" outlineLevel="0" collapsed="false">
      <c r="B125" s="26"/>
      <c r="C125" s="27"/>
      <c r="D125" s="28" t="str">
        <f aca="false">IF(C125="","",IFERROR(INDEX(Players!$C$5:$C$104,MATCH(C125,Players!$B$5:$B$104,0)),"ID not found"))</f>
        <v/>
      </c>
      <c r="E125" s="27"/>
      <c r="F125" s="27"/>
      <c r="G125" s="28" t="str">
        <f aca="false">IF(F125="","",IFERROR(INDEX('Hitting Drills'!$D$6:$D$45,MATCH(F125,'Hitting Drills'!$B$6:$B$45,0)),"Not a hitting drill ID"))</f>
        <v/>
      </c>
      <c r="H125" s="27"/>
      <c r="I125" s="27"/>
      <c r="J125" s="27"/>
      <c r="K125" s="27"/>
      <c r="L125" s="27"/>
      <c r="M125" s="27"/>
      <c r="N125" s="27"/>
      <c r="O125" s="27"/>
      <c r="P125" s="27"/>
      <c r="Q125" s="27"/>
      <c r="R125" s="27"/>
      <c r="S125" s="29" t="str">
        <f aca="false">IF(OR(B125="",C125=""),"",IF(COUNTIFS($B$5:B125,B125,$C$5:C125,C125)=1,1,0))</f>
        <v/>
      </c>
      <c r="T125" s="29" t="str">
        <f aca="false">IF(OR(B125="",C125="",E125=""),"",IF(COUNTIFS($B$5:B125,B125,$C$5:C125,C125,$E$5:E125,E125)=1,1,0))</f>
        <v/>
      </c>
      <c r="U125" s="28" t="str">
        <f aca="false">IF(COUNTA(B125:C125,E125:F125,H125:P125)=0,"",IF(OR(B125="",C125="",E125=""),"Check: date, player, and context required",IF(AND(ISNUMBER(J125),ISNUMBER(I125),J125&gt;I125),"Check: solid contacts &gt; swings",IF(AND(ISNUMBER(L125),ISNUMBER(K125),L125&gt;K125),"Check: correct &gt; assessed decisions",IF(AND(ISNUMBER(N125),ISNUMBER(M125),N125&gt;M125),"Check: intended &gt; assessed landings",IF(AND(ISNUMBER(J125),I125=""),"Check: solid contacts without swings","OK"))))))</f>
        <v/>
      </c>
    </row>
    <row r="126" customFormat="false" ht="15" hidden="false" customHeight="false" outlineLevel="0" collapsed="false">
      <c r="B126" s="26"/>
      <c r="C126" s="27"/>
      <c r="D126" s="28" t="str">
        <f aca="false">IF(C126="","",IFERROR(INDEX(Players!$C$5:$C$104,MATCH(C126,Players!$B$5:$B$104,0)),"ID not found"))</f>
        <v/>
      </c>
      <c r="E126" s="27"/>
      <c r="F126" s="27"/>
      <c r="G126" s="28" t="str">
        <f aca="false">IF(F126="","",IFERROR(INDEX('Hitting Drills'!$D$6:$D$45,MATCH(F126,'Hitting Drills'!$B$6:$B$45,0)),"Not a hitting drill ID"))</f>
        <v/>
      </c>
      <c r="H126" s="27"/>
      <c r="I126" s="27"/>
      <c r="J126" s="27"/>
      <c r="K126" s="27"/>
      <c r="L126" s="27"/>
      <c r="M126" s="27"/>
      <c r="N126" s="27"/>
      <c r="O126" s="27"/>
      <c r="P126" s="27"/>
      <c r="Q126" s="27"/>
      <c r="R126" s="27"/>
      <c r="S126" s="29" t="str">
        <f aca="false">IF(OR(B126="",C126=""),"",IF(COUNTIFS($B$5:B126,B126,$C$5:C126,C126)=1,1,0))</f>
        <v/>
      </c>
      <c r="T126" s="29" t="str">
        <f aca="false">IF(OR(B126="",C126="",E126=""),"",IF(COUNTIFS($B$5:B126,B126,$C$5:C126,C126,$E$5:E126,E126)=1,1,0))</f>
        <v/>
      </c>
      <c r="U126" s="28" t="str">
        <f aca="false">IF(COUNTA(B126:C126,E126:F126,H126:P126)=0,"",IF(OR(B126="",C126="",E126=""),"Check: date, player, and context required",IF(AND(ISNUMBER(J126),ISNUMBER(I126),J126&gt;I126),"Check: solid contacts &gt; swings",IF(AND(ISNUMBER(L126),ISNUMBER(K126),L126&gt;K126),"Check: correct &gt; assessed decisions",IF(AND(ISNUMBER(N126),ISNUMBER(M126),N126&gt;M126),"Check: intended &gt; assessed landings",IF(AND(ISNUMBER(J126),I126=""),"Check: solid contacts without swings","OK"))))))</f>
        <v/>
      </c>
    </row>
    <row r="127" customFormat="false" ht="15" hidden="false" customHeight="false" outlineLevel="0" collapsed="false">
      <c r="B127" s="26"/>
      <c r="C127" s="27"/>
      <c r="D127" s="28" t="str">
        <f aca="false">IF(C127="","",IFERROR(INDEX(Players!$C$5:$C$104,MATCH(C127,Players!$B$5:$B$104,0)),"ID not found"))</f>
        <v/>
      </c>
      <c r="E127" s="27"/>
      <c r="F127" s="27"/>
      <c r="G127" s="28" t="str">
        <f aca="false">IF(F127="","",IFERROR(INDEX('Hitting Drills'!$D$6:$D$45,MATCH(F127,'Hitting Drills'!$B$6:$B$45,0)),"Not a hitting drill ID"))</f>
        <v/>
      </c>
      <c r="H127" s="27"/>
      <c r="I127" s="27"/>
      <c r="J127" s="27"/>
      <c r="K127" s="27"/>
      <c r="L127" s="27"/>
      <c r="M127" s="27"/>
      <c r="N127" s="27"/>
      <c r="O127" s="27"/>
      <c r="P127" s="27"/>
      <c r="Q127" s="27"/>
      <c r="R127" s="27"/>
      <c r="S127" s="29" t="str">
        <f aca="false">IF(OR(B127="",C127=""),"",IF(COUNTIFS($B$5:B127,B127,$C$5:C127,C127)=1,1,0))</f>
        <v/>
      </c>
      <c r="T127" s="29" t="str">
        <f aca="false">IF(OR(B127="",C127="",E127=""),"",IF(COUNTIFS($B$5:B127,B127,$C$5:C127,C127,$E$5:E127,E127)=1,1,0))</f>
        <v/>
      </c>
      <c r="U127" s="28" t="str">
        <f aca="false">IF(COUNTA(B127:C127,E127:F127,H127:P127)=0,"",IF(OR(B127="",C127="",E127=""),"Check: date, player, and context required",IF(AND(ISNUMBER(J127),ISNUMBER(I127),J127&gt;I127),"Check: solid contacts &gt; swings",IF(AND(ISNUMBER(L127),ISNUMBER(K127),L127&gt;K127),"Check: correct &gt; assessed decisions",IF(AND(ISNUMBER(N127),ISNUMBER(M127),N127&gt;M127),"Check: intended &gt; assessed landings",IF(AND(ISNUMBER(J127),I127=""),"Check: solid contacts without swings","OK"))))))</f>
        <v/>
      </c>
    </row>
    <row r="128" customFormat="false" ht="15" hidden="false" customHeight="false" outlineLevel="0" collapsed="false">
      <c r="B128" s="26"/>
      <c r="C128" s="27"/>
      <c r="D128" s="28" t="str">
        <f aca="false">IF(C128="","",IFERROR(INDEX(Players!$C$5:$C$104,MATCH(C128,Players!$B$5:$B$104,0)),"ID not found"))</f>
        <v/>
      </c>
      <c r="E128" s="27"/>
      <c r="F128" s="27"/>
      <c r="G128" s="28" t="str">
        <f aca="false">IF(F128="","",IFERROR(INDEX('Hitting Drills'!$D$6:$D$45,MATCH(F128,'Hitting Drills'!$B$6:$B$45,0)),"Not a hitting drill ID"))</f>
        <v/>
      </c>
      <c r="H128" s="27"/>
      <c r="I128" s="27"/>
      <c r="J128" s="27"/>
      <c r="K128" s="27"/>
      <c r="L128" s="27"/>
      <c r="M128" s="27"/>
      <c r="N128" s="27"/>
      <c r="O128" s="27"/>
      <c r="P128" s="27"/>
      <c r="Q128" s="27"/>
      <c r="R128" s="27"/>
      <c r="S128" s="29" t="str">
        <f aca="false">IF(OR(B128="",C128=""),"",IF(COUNTIFS($B$5:B128,B128,$C$5:C128,C128)=1,1,0))</f>
        <v/>
      </c>
      <c r="T128" s="29" t="str">
        <f aca="false">IF(OR(B128="",C128="",E128=""),"",IF(COUNTIFS($B$5:B128,B128,$C$5:C128,C128,$E$5:E128,E128)=1,1,0))</f>
        <v/>
      </c>
      <c r="U128" s="28" t="str">
        <f aca="false">IF(COUNTA(B128:C128,E128:F128,H128:P128)=0,"",IF(OR(B128="",C128="",E128=""),"Check: date, player, and context required",IF(AND(ISNUMBER(J128),ISNUMBER(I128),J128&gt;I128),"Check: solid contacts &gt; swings",IF(AND(ISNUMBER(L128),ISNUMBER(K128),L128&gt;K128),"Check: correct &gt; assessed decisions",IF(AND(ISNUMBER(N128),ISNUMBER(M128),N128&gt;M128),"Check: intended &gt; assessed landings",IF(AND(ISNUMBER(J128),I128=""),"Check: solid contacts without swings","OK"))))))</f>
        <v/>
      </c>
    </row>
    <row r="129" customFormat="false" ht="15" hidden="false" customHeight="false" outlineLevel="0" collapsed="false">
      <c r="B129" s="26"/>
      <c r="C129" s="27"/>
      <c r="D129" s="28" t="str">
        <f aca="false">IF(C129="","",IFERROR(INDEX(Players!$C$5:$C$104,MATCH(C129,Players!$B$5:$B$104,0)),"ID not found"))</f>
        <v/>
      </c>
      <c r="E129" s="27"/>
      <c r="F129" s="27"/>
      <c r="G129" s="28" t="str">
        <f aca="false">IF(F129="","",IFERROR(INDEX('Hitting Drills'!$D$6:$D$45,MATCH(F129,'Hitting Drills'!$B$6:$B$45,0)),"Not a hitting drill ID"))</f>
        <v/>
      </c>
      <c r="H129" s="27"/>
      <c r="I129" s="27"/>
      <c r="J129" s="27"/>
      <c r="K129" s="27"/>
      <c r="L129" s="27"/>
      <c r="M129" s="27"/>
      <c r="N129" s="27"/>
      <c r="O129" s="27"/>
      <c r="P129" s="27"/>
      <c r="Q129" s="27"/>
      <c r="R129" s="27"/>
      <c r="S129" s="29" t="str">
        <f aca="false">IF(OR(B129="",C129=""),"",IF(COUNTIFS($B$5:B129,B129,$C$5:C129,C129)=1,1,0))</f>
        <v/>
      </c>
      <c r="T129" s="29" t="str">
        <f aca="false">IF(OR(B129="",C129="",E129=""),"",IF(COUNTIFS($B$5:B129,B129,$C$5:C129,C129,$E$5:E129,E129)=1,1,0))</f>
        <v/>
      </c>
      <c r="U129" s="28" t="str">
        <f aca="false">IF(COUNTA(B129:C129,E129:F129,H129:P129)=0,"",IF(OR(B129="",C129="",E129=""),"Check: date, player, and context required",IF(AND(ISNUMBER(J129),ISNUMBER(I129),J129&gt;I129),"Check: solid contacts &gt; swings",IF(AND(ISNUMBER(L129),ISNUMBER(K129),L129&gt;K129),"Check: correct &gt; assessed decisions",IF(AND(ISNUMBER(N129),ISNUMBER(M129),N129&gt;M129),"Check: intended &gt; assessed landings",IF(AND(ISNUMBER(J129),I129=""),"Check: solid contacts without swings","OK"))))))</f>
        <v/>
      </c>
    </row>
    <row r="130" customFormat="false" ht="15" hidden="false" customHeight="false" outlineLevel="0" collapsed="false">
      <c r="B130" s="26"/>
      <c r="C130" s="27"/>
      <c r="D130" s="28" t="str">
        <f aca="false">IF(C130="","",IFERROR(INDEX(Players!$C$5:$C$104,MATCH(C130,Players!$B$5:$B$104,0)),"ID not found"))</f>
        <v/>
      </c>
      <c r="E130" s="27"/>
      <c r="F130" s="27"/>
      <c r="G130" s="28" t="str">
        <f aca="false">IF(F130="","",IFERROR(INDEX('Hitting Drills'!$D$6:$D$45,MATCH(F130,'Hitting Drills'!$B$6:$B$45,0)),"Not a hitting drill ID"))</f>
        <v/>
      </c>
      <c r="H130" s="27"/>
      <c r="I130" s="27"/>
      <c r="J130" s="27"/>
      <c r="K130" s="27"/>
      <c r="L130" s="27"/>
      <c r="M130" s="27"/>
      <c r="N130" s="27"/>
      <c r="O130" s="27"/>
      <c r="P130" s="27"/>
      <c r="Q130" s="27"/>
      <c r="R130" s="27"/>
      <c r="S130" s="29" t="str">
        <f aca="false">IF(OR(B130="",C130=""),"",IF(COUNTIFS($B$5:B130,B130,$C$5:C130,C130)=1,1,0))</f>
        <v/>
      </c>
      <c r="T130" s="29" t="str">
        <f aca="false">IF(OR(B130="",C130="",E130=""),"",IF(COUNTIFS($B$5:B130,B130,$C$5:C130,C130,$E$5:E130,E130)=1,1,0))</f>
        <v/>
      </c>
      <c r="U130" s="28" t="str">
        <f aca="false">IF(COUNTA(B130:C130,E130:F130,H130:P130)=0,"",IF(OR(B130="",C130="",E130=""),"Check: date, player, and context required",IF(AND(ISNUMBER(J130),ISNUMBER(I130),J130&gt;I130),"Check: solid contacts &gt; swings",IF(AND(ISNUMBER(L130),ISNUMBER(K130),L130&gt;K130),"Check: correct &gt; assessed decisions",IF(AND(ISNUMBER(N130),ISNUMBER(M130),N130&gt;M130),"Check: intended &gt; assessed landings",IF(AND(ISNUMBER(J130),I130=""),"Check: solid contacts without swings","OK"))))))</f>
        <v/>
      </c>
    </row>
    <row r="131" customFormat="false" ht="15" hidden="false" customHeight="false" outlineLevel="0" collapsed="false">
      <c r="B131" s="26"/>
      <c r="C131" s="27"/>
      <c r="D131" s="28" t="str">
        <f aca="false">IF(C131="","",IFERROR(INDEX(Players!$C$5:$C$104,MATCH(C131,Players!$B$5:$B$104,0)),"ID not found"))</f>
        <v/>
      </c>
      <c r="E131" s="27"/>
      <c r="F131" s="27"/>
      <c r="G131" s="28" t="str">
        <f aca="false">IF(F131="","",IFERROR(INDEX('Hitting Drills'!$D$6:$D$45,MATCH(F131,'Hitting Drills'!$B$6:$B$45,0)),"Not a hitting drill ID"))</f>
        <v/>
      </c>
      <c r="H131" s="27"/>
      <c r="I131" s="27"/>
      <c r="J131" s="27"/>
      <c r="K131" s="27"/>
      <c r="L131" s="27"/>
      <c r="M131" s="27"/>
      <c r="N131" s="27"/>
      <c r="O131" s="27"/>
      <c r="P131" s="27"/>
      <c r="Q131" s="27"/>
      <c r="R131" s="27"/>
      <c r="S131" s="29" t="str">
        <f aca="false">IF(OR(B131="",C131=""),"",IF(COUNTIFS($B$5:B131,B131,$C$5:C131,C131)=1,1,0))</f>
        <v/>
      </c>
      <c r="T131" s="29" t="str">
        <f aca="false">IF(OR(B131="",C131="",E131=""),"",IF(COUNTIFS($B$5:B131,B131,$C$5:C131,C131,$E$5:E131,E131)=1,1,0))</f>
        <v/>
      </c>
      <c r="U131" s="28" t="str">
        <f aca="false">IF(COUNTA(B131:C131,E131:F131,H131:P131)=0,"",IF(OR(B131="",C131="",E131=""),"Check: date, player, and context required",IF(AND(ISNUMBER(J131),ISNUMBER(I131),J131&gt;I131),"Check: solid contacts &gt; swings",IF(AND(ISNUMBER(L131),ISNUMBER(K131),L131&gt;K131),"Check: correct &gt; assessed decisions",IF(AND(ISNUMBER(N131),ISNUMBER(M131),N131&gt;M131),"Check: intended &gt; assessed landings",IF(AND(ISNUMBER(J131),I131=""),"Check: solid contacts without swings","OK"))))))</f>
        <v/>
      </c>
    </row>
    <row r="132" customFormat="false" ht="15" hidden="false" customHeight="false" outlineLevel="0" collapsed="false">
      <c r="B132" s="26"/>
      <c r="C132" s="27"/>
      <c r="D132" s="28" t="str">
        <f aca="false">IF(C132="","",IFERROR(INDEX(Players!$C$5:$C$104,MATCH(C132,Players!$B$5:$B$104,0)),"ID not found"))</f>
        <v/>
      </c>
      <c r="E132" s="27"/>
      <c r="F132" s="27"/>
      <c r="G132" s="28" t="str">
        <f aca="false">IF(F132="","",IFERROR(INDEX('Hitting Drills'!$D$6:$D$45,MATCH(F132,'Hitting Drills'!$B$6:$B$45,0)),"Not a hitting drill ID"))</f>
        <v/>
      </c>
      <c r="H132" s="27"/>
      <c r="I132" s="27"/>
      <c r="J132" s="27"/>
      <c r="K132" s="27"/>
      <c r="L132" s="27"/>
      <c r="M132" s="27"/>
      <c r="N132" s="27"/>
      <c r="O132" s="27"/>
      <c r="P132" s="27"/>
      <c r="Q132" s="27"/>
      <c r="R132" s="27"/>
      <c r="S132" s="29" t="str">
        <f aca="false">IF(OR(B132="",C132=""),"",IF(COUNTIFS($B$5:B132,B132,$C$5:C132,C132)=1,1,0))</f>
        <v/>
      </c>
      <c r="T132" s="29" t="str">
        <f aca="false">IF(OR(B132="",C132="",E132=""),"",IF(COUNTIFS($B$5:B132,B132,$C$5:C132,C132,$E$5:E132,E132)=1,1,0))</f>
        <v/>
      </c>
      <c r="U132" s="28" t="str">
        <f aca="false">IF(COUNTA(B132:C132,E132:F132,H132:P132)=0,"",IF(OR(B132="",C132="",E132=""),"Check: date, player, and context required",IF(AND(ISNUMBER(J132),ISNUMBER(I132),J132&gt;I132),"Check: solid contacts &gt; swings",IF(AND(ISNUMBER(L132),ISNUMBER(K132),L132&gt;K132),"Check: correct &gt; assessed decisions",IF(AND(ISNUMBER(N132),ISNUMBER(M132),N132&gt;M132),"Check: intended &gt; assessed landings",IF(AND(ISNUMBER(J132),I132=""),"Check: solid contacts without swings","OK"))))))</f>
        <v/>
      </c>
    </row>
    <row r="133" customFormat="false" ht="15" hidden="false" customHeight="false" outlineLevel="0" collapsed="false">
      <c r="B133" s="26"/>
      <c r="C133" s="27"/>
      <c r="D133" s="28" t="str">
        <f aca="false">IF(C133="","",IFERROR(INDEX(Players!$C$5:$C$104,MATCH(C133,Players!$B$5:$B$104,0)),"ID not found"))</f>
        <v/>
      </c>
      <c r="E133" s="27"/>
      <c r="F133" s="27"/>
      <c r="G133" s="28" t="str">
        <f aca="false">IF(F133="","",IFERROR(INDEX('Hitting Drills'!$D$6:$D$45,MATCH(F133,'Hitting Drills'!$B$6:$B$45,0)),"Not a hitting drill ID"))</f>
        <v/>
      </c>
      <c r="H133" s="27"/>
      <c r="I133" s="27"/>
      <c r="J133" s="27"/>
      <c r="K133" s="27"/>
      <c r="L133" s="27"/>
      <c r="M133" s="27"/>
      <c r="N133" s="27"/>
      <c r="O133" s="27"/>
      <c r="P133" s="27"/>
      <c r="Q133" s="27"/>
      <c r="R133" s="27"/>
      <c r="S133" s="29" t="str">
        <f aca="false">IF(OR(B133="",C133=""),"",IF(COUNTIFS($B$5:B133,B133,$C$5:C133,C133)=1,1,0))</f>
        <v/>
      </c>
      <c r="T133" s="29" t="str">
        <f aca="false">IF(OR(B133="",C133="",E133=""),"",IF(COUNTIFS($B$5:B133,B133,$C$5:C133,C133,$E$5:E133,E133)=1,1,0))</f>
        <v/>
      </c>
      <c r="U133" s="28" t="str">
        <f aca="false">IF(COUNTA(B133:C133,E133:F133,H133:P133)=0,"",IF(OR(B133="",C133="",E133=""),"Check: date, player, and context required",IF(AND(ISNUMBER(J133),ISNUMBER(I133),J133&gt;I133),"Check: solid contacts &gt; swings",IF(AND(ISNUMBER(L133),ISNUMBER(K133),L133&gt;K133),"Check: correct &gt; assessed decisions",IF(AND(ISNUMBER(N133),ISNUMBER(M133),N133&gt;M133),"Check: intended &gt; assessed landings",IF(AND(ISNUMBER(J133),I133=""),"Check: solid contacts without swings","OK"))))))</f>
        <v/>
      </c>
    </row>
    <row r="134" customFormat="false" ht="15" hidden="false" customHeight="false" outlineLevel="0" collapsed="false">
      <c r="B134" s="26"/>
      <c r="C134" s="27"/>
      <c r="D134" s="28" t="str">
        <f aca="false">IF(C134="","",IFERROR(INDEX(Players!$C$5:$C$104,MATCH(C134,Players!$B$5:$B$104,0)),"ID not found"))</f>
        <v/>
      </c>
      <c r="E134" s="27"/>
      <c r="F134" s="27"/>
      <c r="G134" s="28" t="str">
        <f aca="false">IF(F134="","",IFERROR(INDEX('Hitting Drills'!$D$6:$D$45,MATCH(F134,'Hitting Drills'!$B$6:$B$45,0)),"Not a hitting drill ID"))</f>
        <v/>
      </c>
      <c r="H134" s="27"/>
      <c r="I134" s="27"/>
      <c r="J134" s="27"/>
      <c r="K134" s="27"/>
      <c r="L134" s="27"/>
      <c r="M134" s="27"/>
      <c r="N134" s="27"/>
      <c r="O134" s="27"/>
      <c r="P134" s="27"/>
      <c r="Q134" s="27"/>
      <c r="R134" s="27"/>
      <c r="S134" s="29" t="str">
        <f aca="false">IF(OR(B134="",C134=""),"",IF(COUNTIFS($B$5:B134,B134,$C$5:C134,C134)=1,1,0))</f>
        <v/>
      </c>
      <c r="T134" s="29" t="str">
        <f aca="false">IF(OR(B134="",C134="",E134=""),"",IF(COUNTIFS($B$5:B134,B134,$C$5:C134,C134,$E$5:E134,E134)=1,1,0))</f>
        <v/>
      </c>
      <c r="U134" s="28" t="str">
        <f aca="false">IF(COUNTA(B134:C134,E134:F134,H134:P134)=0,"",IF(OR(B134="",C134="",E134=""),"Check: date, player, and context required",IF(AND(ISNUMBER(J134),ISNUMBER(I134),J134&gt;I134),"Check: solid contacts &gt; swings",IF(AND(ISNUMBER(L134),ISNUMBER(K134),L134&gt;K134),"Check: correct &gt; assessed decisions",IF(AND(ISNUMBER(N134),ISNUMBER(M134),N134&gt;M134),"Check: intended &gt; assessed landings",IF(AND(ISNUMBER(J134),I134=""),"Check: solid contacts without swings","OK"))))))</f>
        <v/>
      </c>
    </row>
    <row r="135" customFormat="false" ht="15" hidden="false" customHeight="false" outlineLevel="0" collapsed="false">
      <c r="B135" s="26"/>
      <c r="C135" s="27"/>
      <c r="D135" s="28" t="str">
        <f aca="false">IF(C135="","",IFERROR(INDEX(Players!$C$5:$C$104,MATCH(C135,Players!$B$5:$B$104,0)),"ID not found"))</f>
        <v/>
      </c>
      <c r="E135" s="27"/>
      <c r="F135" s="27"/>
      <c r="G135" s="28" t="str">
        <f aca="false">IF(F135="","",IFERROR(INDEX('Hitting Drills'!$D$6:$D$45,MATCH(F135,'Hitting Drills'!$B$6:$B$45,0)),"Not a hitting drill ID"))</f>
        <v/>
      </c>
      <c r="H135" s="27"/>
      <c r="I135" s="27"/>
      <c r="J135" s="27"/>
      <c r="K135" s="27"/>
      <c r="L135" s="27"/>
      <c r="M135" s="27"/>
      <c r="N135" s="27"/>
      <c r="O135" s="27"/>
      <c r="P135" s="27"/>
      <c r="Q135" s="27"/>
      <c r="R135" s="27"/>
      <c r="S135" s="29" t="str">
        <f aca="false">IF(OR(B135="",C135=""),"",IF(COUNTIFS($B$5:B135,B135,$C$5:C135,C135)=1,1,0))</f>
        <v/>
      </c>
      <c r="T135" s="29" t="str">
        <f aca="false">IF(OR(B135="",C135="",E135=""),"",IF(COUNTIFS($B$5:B135,B135,$C$5:C135,C135,$E$5:E135,E135)=1,1,0))</f>
        <v/>
      </c>
      <c r="U135" s="28" t="str">
        <f aca="false">IF(COUNTA(B135:C135,E135:F135,H135:P135)=0,"",IF(OR(B135="",C135="",E135=""),"Check: date, player, and context required",IF(AND(ISNUMBER(J135),ISNUMBER(I135),J135&gt;I135),"Check: solid contacts &gt; swings",IF(AND(ISNUMBER(L135),ISNUMBER(K135),L135&gt;K135),"Check: correct &gt; assessed decisions",IF(AND(ISNUMBER(N135),ISNUMBER(M135),N135&gt;M135),"Check: intended &gt; assessed landings",IF(AND(ISNUMBER(J135),I135=""),"Check: solid contacts without swings","OK"))))))</f>
        <v/>
      </c>
    </row>
    <row r="136" customFormat="false" ht="15" hidden="false" customHeight="false" outlineLevel="0" collapsed="false">
      <c r="B136" s="26"/>
      <c r="C136" s="27"/>
      <c r="D136" s="28" t="str">
        <f aca="false">IF(C136="","",IFERROR(INDEX(Players!$C$5:$C$104,MATCH(C136,Players!$B$5:$B$104,0)),"ID not found"))</f>
        <v/>
      </c>
      <c r="E136" s="27"/>
      <c r="F136" s="27"/>
      <c r="G136" s="28" t="str">
        <f aca="false">IF(F136="","",IFERROR(INDEX('Hitting Drills'!$D$6:$D$45,MATCH(F136,'Hitting Drills'!$B$6:$B$45,0)),"Not a hitting drill ID"))</f>
        <v/>
      </c>
      <c r="H136" s="27"/>
      <c r="I136" s="27"/>
      <c r="J136" s="27"/>
      <c r="K136" s="27"/>
      <c r="L136" s="27"/>
      <c r="M136" s="27"/>
      <c r="N136" s="27"/>
      <c r="O136" s="27"/>
      <c r="P136" s="27"/>
      <c r="Q136" s="27"/>
      <c r="R136" s="27"/>
      <c r="S136" s="29" t="str">
        <f aca="false">IF(OR(B136="",C136=""),"",IF(COUNTIFS($B$5:B136,B136,$C$5:C136,C136)=1,1,0))</f>
        <v/>
      </c>
      <c r="T136" s="29" t="str">
        <f aca="false">IF(OR(B136="",C136="",E136=""),"",IF(COUNTIFS($B$5:B136,B136,$C$5:C136,C136,$E$5:E136,E136)=1,1,0))</f>
        <v/>
      </c>
      <c r="U136" s="28" t="str">
        <f aca="false">IF(COUNTA(B136:C136,E136:F136,H136:P136)=0,"",IF(OR(B136="",C136="",E136=""),"Check: date, player, and context required",IF(AND(ISNUMBER(J136),ISNUMBER(I136),J136&gt;I136),"Check: solid contacts &gt; swings",IF(AND(ISNUMBER(L136),ISNUMBER(K136),L136&gt;K136),"Check: correct &gt; assessed decisions",IF(AND(ISNUMBER(N136),ISNUMBER(M136),N136&gt;M136),"Check: intended &gt; assessed landings",IF(AND(ISNUMBER(J136),I136=""),"Check: solid contacts without swings","OK"))))))</f>
        <v/>
      </c>
    </row>
    <row r="137" customFormat="false" ht="15" hidden="false" customHeight="false" outlineLevel="0" collapsed="false">
      <c r="B137" s="26"/>
      <c r="C137" s="27"/>
      <c r="D137" s="28" t="str">
        <f aca="false">IF(C137="","",IFERROR(INDEX(Players!$C$5:$C$104,MATCH(C137,Players!$B$5:$B$104,0)),"ID not found"))</f>
        <v/>
      </c>
      <c r="E137" s="27"/>
      <c r="F137" s="27"/>
      <c r="G137" s="28" t="str">
        <f aca="false">IF(F137="","",IFERROR(INDEX('Hitting Drills'!$D$6:$D$45,MATCH(F137,'Hitting Drills'!$B$6:$B$45,0)),"Not a hitting drill ID"))</f>
        <v/>
      </c>
      <c r="H137" s="27"/>
      <c r="I137" s="27"/>
      <c r="J137" s="27"/>
      <c r="K137" s="27"/>
      <c r="L137" s="27"/>
      <c r="M137" s="27"/>
      <c r="N137" s="27"/>
      <c r="O137" s="27"/>
      <c r="P137" s="27"/>
      <c r="Q137" s="27"/>
      <c r="R137" s="27"/>
      <c r="S137" s="29" t="str">
        <f aca="false">IF(OR(B137="",C137=""),"",IF(COUNTIFS($B$5:B137,B137,$C$5:C137,C137)=1,1,0))</f>
        <v/>
      </c>
      <c r="T137" s="29" t="str">
        <f aca="false">IF(OR(B137="",C137="",E137=""),"",IF(COUNTIFS($B$5:B137,B137,$C$5:C137,C137,$E$5:E137,E137)=1,1,0))</f>
        <v/>
      </c>
      <c r="U137" s="28" t="str">
        <f aca="false">IF(COUNTA(B137:C137,E137:F137,H137:P137)=0,"",IF(OR(B137="",C137="",E137=""),"Check: date, player, and context required",IF(AND(ISNUMBER(J137),ISNUMBER(I137),J137&gt;I137),"Check: solid contacts &gt; swings",IF(AND(ISNUMBER(L137),ISNUMBER(K137),L137&gt;K137),"Check: correct &gt; assessed decisions",IF(AND(ISNUMBER(N137),ISNUMBER(M137),N137&gt;M137),"Check: intended &gt; assessed landings",IF(AND(ISNUMBER(J137),I137=""),"Check: solid contacts without swings","OK"))))))</f>
        <v/>
      </c>
    </row>
    <row r="138" customFormat="false" ht="15" hidden="false" customHeight="false" outlineLevel="0" collapsed="false">
      <c r="B138" s="26"/>
      <c r="C138" s="27"/>
      <c r="D138" s="28" t="str">
        <f aca="false">IF(C138="","",IFERROR(INDEX(Players!$C$5:$C$104,MATCH(C138,Players!$B$5:$B$104,0)),"ID not found"))</f>
        <v/>
      </c>
      <c r="E138" s="27"/>
      <c r="F138" s="27"/>
      <c r="G138" s="28" t="str">
        <f aca="false">IF(F138="","",IFERROR(INDEX('Hitting Drills'!$D$6:$D$45,MATCH(F138,'Hitting Drills'!$B$6:$B$45,0)),"Not a hitting drill ID"))</f>
        <v/>
      </c>
      <c r="H138" s="27"/>
      <c r="I138" s="27"/>
      <c r="J138" s="27"/>
      <c r="K138" s="27"/>
      <c r="L138" s="27"/>
      <c r="M138" s="27"/>
      <c r="N138" s="27"/>
      <c r="O138" s="27"/>
      <c r="P138" s="27"/>
      <c r="Q138" s="27"/>
      <c r="R138" s="27"/>
      <c r="S138" s="29" t="str">
        <f aca="false">IF(OR(B138="",C138=""),"",IF(COUNTIFS($B$5:B138,B138,$C$5:C138,C138)=1,1,0))</f>
        <v/>
      </c>
      <c r="T138" s="29" t="str">
        <f aca="false">IF(OR(B138="",C138="",E138=""),"",IF(COUNTIFS($B$5:B138,B138,$C$5:C138,C138,$E$5:E138,E138)=1,1,0))</f>
        <v/>
      </c>
      <c r="U138" s="28" t="str">
        <f aca="false">IF(COUNTA(B138:C138,E138:F138,H138:P138)=0,"",IF(OR(B138="",C138="",E138=""),"Check: date, player, and context required",IF(AND(ISNUMBER(J138),ISNUMBER(I138),J138&gt;I138),"Check: solid contacts &gt; swings",IF(AND(ISNUMBER(L138),ISNUMBER(K138),L138&gt;K138),"Check: correct &gt; assessed decisions",IF(AND(ISNUMBER(N138),ISNUMBER(M138),N138&gt;M138),"Check: intended &gt; assessed landings",IF(AND(ISNUMBER(J138),I138=""),"Check: solid contacts without swings","OK"))))))</f>
        <v/>
      </c>
    </row>
    <row r="139" customFormat="false" ht="15" hidden="false" customHeight="false" outlineLevel="0" collapsed="false">
      <c r="B139" s="26"/>
      <c r="C139" s="27"/>
      <c r="D139" s="28" t="str">
        <f aca="false">IF(C139="","",IFERROR(INDEX(Players!$C$5:$C$104,MATCH(C139,Players!$B$5:$B$104,0)),"ID not found"))</f>
        <v/>
      </c>
      <c r="E139" s="27"/>
      <c r="F139" s="27"/>
      <c r="G139" s="28" t="str">
        <f aca="false">IF(F139="","",IFERROR(INDEX('Hitting Drills'!$D$6:$D$45,MATCH(F139,'Hitting Drills'!$B$6:$B$45,0)),"Not a hitting drill ID"))</f>
        <v/>
      </c>
      <c r="H139" s="27"/>
      <c r="I139" s="27"/>
      <c r="J139" s="27"/>
      <c r="K139" s="27"/>
      <c r="L139" s="27"/>
      <c r="M139" s="27"/>
      <c r="N139" s="27"/>
      <c r="O139" s="27"/>
      <c r="P139" s="27"/>
      <c r="Q139" s="27"/>
      <c r="R139" s="27"/>
      <c r="S139" s="29" t="str">
        <f aca="false">IF(OR(B139="",C139=""),"",IF(COUNTIFS($B$5:B139,B139,$C$5:C139,C139)=1,1,0))</f>
        <v/>
      </c>
      <c r="T139" s="29" t="str">
        <f aca="false">IF(OR(B139="",C139="",E139=""),"",IF(COUNTIFS($B$5:B139,B139,$C$5:C139,C139,$E$5:E139,E139)=1,1,0))</f>
        <v/>
      </c>
      <c r="U139" s="28" t="str">
        <f aca="false">IF(COUNTA(B139:C139,E139:F139,H139:P139)=0,"",IF(OR(B139="",C139="",E139=""),"Check: date, player, and context required",IF(AND(ISNUMBER(J139),ISNUMBER(I139),J139&gt;I139),"Check: solid contacts &gt; swings",IF(AND(ISNUMBER(L139),ISNUMBER(K139),L139&gt;K139),"Check: correct &gt; assessed decisions",IF(AND(ISNUMBER(N139),ISNUMBER(M139),N139&gt;M139),"Check: intended &gt; assessed landings",IF(AND(ISNUMBER(J139),I139=""),"Check: solid contacts without swings","OK"))))))</f>
        <v/>
      </c>
    </row>
    <row r="140" customFormat="false" ht="15" hidden="false" customHeight="false" outlineLevel="0" collapsed="false">
      <c r="B140" s="26"/>
      <c r="C140" s="27"/>
      <c r="D140" s="28" t="str">
        <f aca="false">IF(C140="","",IFERROR(INDEX(Players!$C$5:$C$104,MATCH(C140,Players!$B$5:$B$104,0)),"ID not found"))</f>
        <v/>
      </c>
      <c r="E140" s="27"/>
      <c r="F140" s="27"/>
      <c r="G140" s="28" t="str">
        <f aca="false">IF(F140="","",IFERROR(INDEX('Hitting Drills'!$D$6:$D$45,MATCH(F140,'Hitting Drills'!$B$6:$B$45,0)),"Not a hitting drill ID"))</f>
        <v/>
      </c>
      <c r="H140" s="27"/>
      <c r="I140" s="27"/>
      <c r="J140" s="27"/>
      <c r="K140" s="27"/>
      <c r="L140" s="27"/>
      <c r="M140" s="27"/>
      <c r="N140" s="27"/>
      <c r="O140" s="27"/>
      <c r="P140" s="27"/>
      <c r="Q140" s="27"/>
      <c r="R140" s="27"/>
      <c r="S140" s="29" t="str">
        <f aca="false">IF(OR(B140="",C140=""),"",IF(COUNTIFS($B$5:B140,B140,$C$5:C140,C140)=1,1,0))</f>
        <v/>
      </c>
      <c r="T140" s="29" t="str">
        <f aca="false">IF(OR(B140="",C140="",E140=""),"",IF(COUNTIFS($B$5:B140,B140,$C$5:C140,C140,$E$5:E140,E140)=1,1,0))</f>
        <v/>
      </c>
      <c r="U140" s="28" t="str">
        <f aca="false">IF(COUNTA(B140:C140,E140:F140,H140:P140)=0,"",IF(OR(B140="",C140="",E140=""),"Check: date, player, and context required",IF(AND(ISNUMBER(J140),ISNUMBER(I140),J140&gt;I140),"Check: solid contacts &gt; swings",IF(AND(ISNUMBER(L140),ISNUMBER(K140),L140&gt;K140),"Check: correct &gt; assessed decisions",IF(AND(ISNUMBER(N140),ISNUMBER(M140),N140&gt;M140),"Check: intended &gt; assessed landings",IF(AND(ISNUMBER(J140),I140=""),"Check: solid contacts without swings","OK"))))))</f>
        <v/>
      </c>
    </row>
    <row r="141" customFormat="false" ht="15" hidden="false" customHeight="false" outlineLevel="0" collapsed="false">
      <c r="B141" s="26"/>
      <c r="C141" s="27"/>
      <c r="D141" s="28" t="str">
        <f aca="false">IF(C141="","",IFERROR(INDEX(Players!$C$5:$C$104,MATCH(C141,Players!$B$5:$B$104,0)),"ID not found"))</f>
        <v/>
      </c>
      <c r="E141" s="27"/>
      <c r="F141" s="27"/>
      <c r="G141" s="28" t="str">
        <f aca="false">IF(F141="","",IFERROR(INDEX('Hitting Drills'!$D$6:$D$45,MATCH(F141,'Hitting Drills'!$B$6:$B$45,0)),"Not a hitting drill ID"))</f>
        <v/>
      </c>
      <c r="H141" s="27"/>
      <c r="I141" s="27"/>
      <c r="J141" s="27"/>
      <c r="K141" s="27"/>
      <c r="L141" s="27"/>
      <c r="M141" s="27"/>
      <c r="N141" s="27"/>
      <c r="O141" s="27"/>
      <c r="P141" s="27"/>
      <c r="Q141" s="27"/>
      <c r="R141" s="27"/>
      <c r="S141" s="29" t="str">
        <f aca="false">IF(OR(B141="",C141=""),"",IF(COUNTIFS($B$5:B141,B141,$C$5:C141,C141)=1,1,0))</f>
        <v/>
      </c>
      <c r="T141" s="29" t="str">
        <f aca="false">IF(OR(B141="",C141="",E141=""),"",IF(COUNTIFS($B$5:B141,B141,$C$5:C141,C141,$E$5:E141,E141)=1,1,0))</f>
        <v/>
      </c>
      <c r="U141" s="28" t="str">
        <f aca="false">IF(COUNTA(B141:C141,E141:F141,H141:P141)=0,"",IF(OR(B141="",C141="",E141=""),"Check: date, player, and context required",IF(AND(ISNUMBER(J141),ISNUMBER(I141),J141&gt;I141),"Check: solid contacts &gt; swings",IF(AND(ISNUMBER(L141),ISNUMBER(K141),L141&gt;K141),"Check: correct &gt; assessed decisions",IF(AND(ISNUMBER(N141),ISNUMBER(M141),N141&gt;M141),"Check: intended &gt; assessed landings",IF(AND(ISNUMBER(J141),I141=""),"Check: solid contacts without swings","OK"))))))</f>
        <v/>
      </c>
    </row>
    <row r="142" customFormat="false" ht="15" hidden="false" customHeight="false" outlineLevel="0" collapsed="false">
      <c r="B142" s="26"/>
      <c r="C142" s="27"/>
      <c r="D142" s="28" t="str">
        <f aca="false">IF(C142="","",IFERROR(INDEX(Players!$C$5:$C$104,MATCH(C142,Players!$B$5:$B$104,0)),"ID not found"))</f>
        <v/>
      </c>
      <c r="E142" s="27"/>
      <c r="F142" s="27"/>
      <c r="G142" s="28" t="str">
        <f aca="false">IF(F142="","",IFERROR(INDEX('Hitting Drills'!$D$6:$D$45,MATCH(F142,'Hitting Drills'!$B$6:$B$45,0)),"Not a hitting drill ID"))</f>
        <v/>
      </c>
      <c r="H142" s="27"/>
      <c r="I142" s="27"/>
      <c r="J142" s="27"/>
      <c r="K142" s="27"/>
      <c r="L142" s="27"/>
      <c r="M142" s="27"/>
      <c r="N142" s="27"/>
      <c r="O142" s="27"/>
      <c r="P142" s="27"/>
      <c r="Q142" s="27"/>
      <c r="R142" s="27"/>
      <c r="S142" s="29" t="str">
        <f aca="false">IF(OR(B142="",C142=""),"",IF(COUNTIFS($B$5:B142,B142,$C$5:C142,C142)=1,1,0))</f>
        <v/>
      </c>
      <c r="T142" s="29" t="str">
        <f aca="false">IF(OR(B142="",C142="",E142=""),"",IF(COUNTIFS($B$5:B142,B142,$C$5:C142,C142,$E$5:E142,E142)=1,1,0))</f>
        <v/>
      </c>
      <c r="U142" s="28" t="str">
        <f aca="false">IF(COUNTA(B142:C142,E142:F142,H142:P142)=0,"",IF(OR(B142="",C142="",E142=""),"Check: date, player, and context required",IF(AND(ISNUMBER(J142),ISNUMBER(I142),J142&gt;I142),"Check: solid contacts &gt; swings",IF(AND(ISNUMBER(L142),ISNUMBER(K142),L142&gt;K142),"Check: correct &gt; assessed decisions",IF(AND(ISNUMBER(N142),ISNUMBER(M142),N142&gt;M142),"Check: intended &gt; assessed landings",IF(AND(ISNUMBER(J142),I142=""),"Check: solid contacts without swings","OK"))))))</f>
        <v/>
      </c>
    </row>
    <row r="143" customFormat="false" ht="15" hidden="false" customHeight="false" outlineLevel="0" collapsed="false">
      <c r="B143" s="26"/>
      <c r="C143" s="27"/>
      <c r="D143" s="28" t="str">
        <f aca="false">IF(C143="","",IFERROR(INDEX(Players!$C$5:$C$104,MATCH(C143,Players!$B$5:$B$104,0)),"ID not found"))</f>
        <v/>
      </c>
      <c r="E143" s="27"/>
      <c r="F143" s="27"/>
      <c r="G143" s="28" t="str">
        <f aca="false">IF(F143="","",IFERROR(INDEX('Hitting Drills'!$D$6:$D$45,MATCH(F143,'Hitting Drills'!$B$6:$B$45,0)),"Not a hitting drill ID"))</f>
        <v/>
      </c>
      <c r="H143" s="27"/>
      <c r="I143" s="27"/>
      <c r="J143" s="27"/>
      <c r="K143" s="27"/>
      <c r="L143" s="27"/>
      <c r="M143" s="27"/>
      <c r="N143" s="27"/>
      <c r="O143" s="27"/>
      <c r="P143" s="27"/>
      <c r="Q143" s="27"/>
      <c r="R143" s="27"/>
      <c r="S143" s="29" t="str">
        <f aca="false">IF(OR(B143="",C143=""),"",IF(COUNTIFS($B$5:B143,B143,$C$5:C143,C143)=1,1,0))</f>
        <v/>
      </c>
      <c r="T143" s="29" t="str">
        <f aca="false">IF(OR(B143="",C143="",E143=""),"",IF(COUNTIFS($B$5:B143,B143,$C$5:C143,C143,$E$5:E143,E143)=1,1,0))</f>
        <v/>
      </c>
      <c r="U143" s="28" t="str">
        <f aca="false">IF(COUNTA(B143:C143,E143:F143,H143:P143)=0,"",IF(OR(B143="",C143="",E143=""),"Check: date, player, and context required",IF(AND(ISNUMBER(J143),ISNUMBER(I143),J143&gt;I143),"Check: solid contacts &gt; swings",IF(AND(ISNUMBER(L143),ISNUMBER(K143),L143&gt;K143),"Check: correct &gt; assessed decisions",IF(AND(ISNUMBER(N143),ISNUMBER(M143),N143&gt;M143),"Check: intended &gt; assessed landings",IF(AND(ISNUMBER(J143),I143=""),"Check: solid contacts without swings","OK"))))))</f>
        <v/>
      </c>
    </row>
    <row r="144" customFormat="false" ht="15" hidden="false" customHeight="false" outlineLevel="0" collapsed="false">
      <c r="B144" s="26"/>
      <c r="C144" s="27"/>
      <c r="D144" s="28" t="str">
        <f aca="false">IF(C144="","",IFERROR(INDEX(Players!$C$5:$C$104,MATCH(C144,Players!$B$5:$B$104,0)),"ID not found"))</f>
        <v/>
      </c>
      <c r="E144" s="27"/>
      <c r="F144" s="27"/>
      <c r="G144" s="28" t="str">
        <f aca="false">IF(F144="","",IFERROR(INDEX('Hitting Drills'!$D$6:$D$45,MATCH(F144,'Hitting Drills'!$B$6:$B$45,0)),"Not a hitting drill ID"))</f>
        <v/>
      </c>
      <c r="H144" s="27"/>
      <c r="I144" s="27"/>
      <c r="J144" s="27"/>
      <c r="K144" s="27"/>
      <c r="L144" s="27"/>
      <c r="M144" s="27"/>
      <c r="N144" s="27"/>
      <c r="O144" s="27"/>
      <c r="P144" s="27"/>
      <c r="Q144" s="27"/>
      <c r="R144" s="27"/>
      <c r="S144" s="29" t="str">
        <f aca="false">IF(OR(B144="",C144=""),"",IF(COUNTIFS($B$5:B144,B144,$C$5:C144,C144)=1,1,0))</f>
        <v/>
      </c>
      <c r="T144" s="29" t="str">
        <f aca="false">IF(OR(B144="",C144="",E144=""),"",IF(COUNTIFS($B$5:B144,B144,$C$5:C144,C144,$E$5:E144,E144)=1,1,0))</f>
        <v/>
      </c>
      <c r="U144" s="28" t="str">
        <f aca="false">IF(COUNTA(B144:C144,E144:F144,H144:P144)=0,"",IF(OR(B144="",C144="",E144=""),"Check: date, player, and context required",IF(AND(ISNUMBER(J144),ISNUMBER(I144),J144&gt;I144),"Check: solid contacts &gt; swings",IF(AND(ISNUMBER(L144),ISNUMBER(K144),L144&gt;K144),"Check: correct &gt; assessed decisions",IF(AND(ISNUMBER(N144),ISNUMBER(M144),N144&gt;M144),"Check: intended &gt; assessed landings",IF(AND(ISNUMBER(J144),I144=""),"Check: solid contacts without swings","OK"))))))</f>
        <v/>
      </c>
    </row>
    <row r="145" customFormat="false" ht="15" hidden="false" customHeight="false" outlineLevel="0" collapsed="false">
      <c r="B145" s="26"/>
      <c r="C145" s="27"/>
      <c r="D145" s="28" t="str">
        <f aca="false">IF(C145="","",IFERROR(INDEX(Players!$C$5:$C$104,MATCH(C145,Players!$B$5:$B$104,0)),"ID not found"))</f>
        <v/>
      </c>
      <c r="E145" s="27"/>
      <c r="F145" s="27"/>
      <c r="G145" s="28" t="str">
        <f aca="false">IF(F145="","",IFERROR(INDEX('Hitting Drills'!$D$6:$D$45,MATCH(F145,'Hitting Drills'!$B$6:$B$45,0)),"Not a hitting drill ID"))</f>
        <v/>
      </c>
      <c r="H145" s="27"/>
      <c r="I145" s="27"/>
      <c r="J145" s="27"/>
      <c r="K145" s="27"/>
      <c r="L145" s="27"/>
      <c r="M145" s="27"/>
      <c r="N145" s="27"/>
      <c r="O145" s="27"/>
      <c r="P145" s="27"/>
      <c r="Q145" s="27"/>
      <c r="R145" s="27"/>
      <c r="S145" s="29" t="str">
        <f aca="false">IF(OR(B145="",C145=""),"",IF(COUNTIFS($B$5:B145,B145,$C$5:C145,C145)=1,1,0))</f>
        <v/>
      </c>
      <c r="T145" s="29" t="str">
        <f aca="false">IF(OR(B145="",C145="",E145=""),"",IF(COUNTIFS($B$5:B145,B145,$C$5:C145,C145,$E$5:E145,E145)=1,1,0))</f>
        <v/>
      </c>
      <c r="U145" s="28" t="str">
        <f aca="false">IF(COUNTA(B145:C145,E145:F145,H145:P145)=0,"",IF(OR(B145="",C145="",E145=""),"Check: date, player, and context required",IF(AND(ISNUMBER(J145),ISNUMBER(I145),J145&gt;I145),"Check: solid contacts &gt; swings",IF(AND(ISNUMBER(L145),ISNUMBER(K145),L145&gt;K145),"Check: correct &gt; assessed decisions",IF(AND(ISNUMBER(N145),ISNUMBER(M145),N145&gt;M145),"Check: intended &gt; assessed landings",IF(AND(ISNUMBER(J145),I145=""),"Check: solid contacts without swings","OK"))))))</f>
        <v/>
      </c>
    </row>
    <row r="146" customFormat="false" ht="15" hidden="false" customHeight="false" outlineLevel="0" collapsed="false">
      <c r="B146" s="26"/>
      <c r="C146" s="27"/>
      <c r="D146" s="28" t="str">
        <f aca="false">IF(C146="","",IFERROR(INDEX(Players!$C$5:$C$104,MATCH(C146,Players!$B$5:$B$104,0)),"ID not found"))</f>
        <v/>
      </c>
      <c r="E146" s="27"/>
      <c r="F146" s="27"/>
      <c r="G146" s="28" t="str">
        <f aca="false">IF(F146="","",IFERROR(INDEX('Hitting Drills'!$D$6:$D$45,MATCH(F146,'Hitting Drills'!$B$6:$B$45,0)),"Not a hitting drill ID"))</f>
        <v/>
      </c>
      <c r="H146" s="27"/>
      <c r="I146" s="27"/>
      <c r="J146" s="27"/>
      <c r="K146" s="27"/>
      <c r="L146" s="27"/>
      <c r="M146" s="27"/>
      <c r="N146" s="27"/>
      <c r="O146" s="27"/>
      <c r="P146" s="27"/>
      <c r="Q146" s="27"/>
      <c r="R146" s="27"/>
      <c r="S146" s="29" t="str">
        <f aca="false">IF(OR(B146="",C146=""),"",IF(COUNTIFS($B$5:B146,B146,$C$5:C146,C146)=1,1,0))</f>
        <v/>
      </c>
      <c r="T146" s="29" t="str">
        <f aca="false">IF(OR(B146="",C146="",E146=""),"",IF(COUNTIFS($B$5:B146,B146,$C$5:C146,C146,$E$5:E146,E146)=1,1,0))</f>
        <v/>
      </c>
      <c r="U146" s="28" t="str">
        <f aca="false">IF(COUNTA(B146:C146,E146:F146,H146:P146)=0,"",IF(OR(B146="",C146="",E146=""),"Check: date, player, and context required",IF(AND(ISNUMBER(J146),ISNUMBER(I146),J146&gt;I146),"Check: solid contacts &gt; swings",IF(AND(ISNUMBER(L146),ISNUMBER(K146),L146&gt;K146),"Check: correct &gt; assessed decisions",IF(AND(ISNUMBER(N146),ISNUMBER(M146),N146&gt;M146),"Check: intended &gt; assessed landings",IF(AND(ISNUMBER(J146),I146=""),"Check: solid contacts without swings","OK"))))))</f>
        <v/>
      </c>
    </row>
    <row r="147" customFormat="false" ht="15" hidden="false" customHeight="false" outlineLevel="0" collapsed="false">
      <c r="B147" s="26"/>
      <c r="C147" s="27"/>
      <c r="D147" s="28" t="str">
        <f aca="false">IF(C147="","",IFERROR(INDEX(Players!$C$5:$C$104,MATCH(C147,Players!$B$5:$B$104,0)),"ID not found"))</f>
        <v/>
      </c>
      <c r="E147" s="27"/>
      <c r="F147" s="27"/>
      <c r="G147" s="28" t="str">
        <f aca="false">IF(F147="","",IFERROR(INDEX('Hitting Drills'!$D$6:$D$45,MATCH(F147,'Hitting Drills'!$B$6:$B$45,0)),"Not a hitting drill ID"))</f>
        <v/>
      </c>
      <c r="H147" s="27"/>
      <c r="I147" s="27"/>
      <c r="J147" s="27"/>
      <c r="K147" s="27"/>
      <c r="L147" s="27"/>
      <c r="M147" s="27"/>
      <c r="N147" s="27"/>
      <c r="O147" s="27"/>
      <c r="P147" s="27"/>
      <c r="Q147" s="27"/>
      <c r="R147" s="27"/>
      <c r="S147" s="29" t="str">
        <f aca="false">IF(OR(B147="",C147=""),"",IF(COUNTIFS($B$5:B147,B147,$C$5:C147,C147)=1,1,0))</f>
        <v/>
      </c>
      <c r="T147" s="29" t="str">
        <f aca="false">IF(OR(B147="",C147="",E147=""),"",IF(COUNTIFS($B$5:B147,B147,$C$5:C147,C147,$E$5:E147,E147)=1,1,0))</f>
        <v/>
      </c>
      <c r="U147" s="28" t="str">
        <f aca="false">IF(COUNTA(B147:C147,E147:F147,H147:P147)=0,"",IF(OR(B147="",C147="",E147=""),"Check: date, player, and context required",IF(AND(ISNUMBER(J147),ISNUMBER(I147),J147&gt;I147),"Check: solid contacts &gt; swings",IF(AND(ISNUMBER(L147),ISNUMBER(K147),L147&gt;K147),"Check: correct &gt; assessed decisions",IF(AND(ISNUMBER(N147),ISNUMBER(M147),N147&gt;M147),"Check: intended &gt; assessed landings",IF(AND(ISNUMBER(J147),I147=""),"Check: solid contacts without swings","OK"))))))</f>
        <v/>
      </c>
    </row>
    <row r="148" customFormat="false" ht="15" hidden="false" customHeight="false" outlineLevel="0" collapsed="false">
      <c r="B148" s="26"/>
      <c r="C148" s="27"/>
      <c r="D148" s="28" t="str">
        <f aca="false">IF(C148="","",IFERROR(INDEX(Players!$C$5:$C$104,MATCH(C148,Players!$B$5:$B$104,0)),"ID not found"))</f>
        <v/>
      </c>
      <c r="E148" s="27"/>
      <c r="F148" s="27"/>
      <c r="G148" s="28" t="str">
        <f aca="false">IF(F148="","",IFERROR(INDEX('Hitting Drills'!$D$6:$D$45,MATCH(F148,'Hitting Drills'!$B$6:$B$45,0)),"Not a hitting drill ID"))</f>
        <v/>
      </c>
      <c r="H148" s="27"/>
      <c r="I148" s="27"/>
      <c r="J148" s="27"/>
      <c r="K148" s="27"/>
      <c r="L148" s="27"/>
      <c r="M148" s="27"/>
      <c r="N148" s="27"/>
      <c r="O148" s="27"/>
      <c r="P148" s="27"/>
      <c r="Q148" s="27"/>
      <c r="R148" s="27"/>
      <c r="S148" s="29" t="str">
        <f aca="false">IF(OR(B148="",C148=""),"",IF(COUNTIFS($B$5:B148,B148,$C$5:C148,C148)=1,1,0))</f>
        <v/>
      </c>
      <c r="T148" s="29" t="str">
        <f aca="false">IF(OR(B148="",C148="",E148=""),"",IF(COUNTIFS($B$5:B148,B148,$C$5:C148,C148,$E$5:E148,E148)=1,1,0))</f>
        <v/>
      </c>
      <c r="U148" s="28" t="str">
        <f aca="false">IF(COUNTA(B148:C148,E148:F148,H148:P148)=0,"",IF(OR(B148="",C148="",E148=""),"Check: date, player, and context required",IF(AND(ISNUMBER(J148),ISNUMBER(I148),J148&gt;I148),"Check: solid contacts &gt; swings",IF(AND(ISNUMBER(L148),ISNUMBER(K148),L148&gt;K148),"Check: correct &gt; assessed decisions",IF(AND(ISNUMBER(N148),ISNUMBER(M148),N148&gt;M148),"Check: intended &gt; assessed landings",IF(AND(ISNUMBER(J148),I148=""),"Check: solid contacts without swings","OK"))))))</f>
        <v/>
      </c>
    </row>
    <row r="149" customFormat="false" ht="15" hidden="false" customHeight="false" outlineLevel="0" collapsed="false">
      <c r="B149" s="26"/>
      <c r="C149" s="27"/>
      <c r="D149" s="28" t="str">
        <f aca="false">IF(C149="","",IFERROR(INDEX(Players!$C$5:$C$104,MATCH(C149,Players!$B$5:$B$104,0)),"ID not found"))</f>
        <v/>
      </c>
      <c r="E149" s="27"/>
      <c r="F149" s="27"/>
      <c r="G149" s="28" t="str">
        <f aca="false">IF(F149="","",IFERROR(INDEX('Hitting Drills'!$D$6:$D$45,MATCH(F149,'Hitting Drills'!$B$6:$B$45,0)),"Not a hitting drill ID"))</f>
        <v/>
      </c>
      <c r="H149" s="27"/>
      <c r="I149" s="27"/>
      <c r="J149" s="27"/>
      <c r="K149" s="27"/>
      <c r="L149" s="27"/>
      <c r="M149" s="27"/>
      <c r="N149" s="27"/>
      <c r="O149" s="27"/>
      <c r="P149" s="27"/>
      <c r="Q149" s="27"/>
      <c r="R149" s="27"/>
      <c r="S149" s="29" t="str">
        <f aca="false">IF(OR(B149="",C149=""),"",IF(COUNTIFS($B$5:B149,B149,$C$5:C149,C149)=1,1,0))</f>
        <v/>
      </c>
      <c r="T149" s="29" t="str">
        <f aca="false">IF(OR(B149="",C149="",E149=""),"",IF(COUNTIFS($B$5:B149,B149,$C$5:C149,C149,$E$5:E149,E149)=1,1,0))</f>
        <v/>
      </c>
      <c r="U149" s="28" t="str">
        <f aca="false">IF(COUNTA(B149:C149,E149:F149,H149:P149)=0,"",IF(OR(B149="",C149="",E149=""),"Check: date, player, and context required",IF(AND(ISNUMBER(J149),ISNUMBER(I149),J149&gt;I149),"Check: solid contacts &gt; swings",IF(AND(ISNUMBER(L149),ISNUMBER(K149),L149&gt;K149),"Check: correct &gt; assessed decisions",IF(AND(ISNUMBER(N149),ISNUMBER(M149),N149&gt;M149),"Check: intended &gt; assessed landings",IF(AND(ISNUMBER(J149),I149=""),"Check: solid contacts without swings","OK"))))))</f>
        <v/>
      </c>
    </row>
    <row r="150" customFormat="false" ht="15" hidden="false" customHeight="false" outlineLevel="0" collapsed="false">
      <c r="B150" s="26"/>
      <c r="C150" s="27"/>
      <c r="D150" s="28" t="str">
        <f aca="false">IF(C150="","",IFERROR(INDEX(Players!$C$5:$C$104,MATCH(C150,Players!$B$5:$B$104,0)),"ID not found"))</f>
        <v/>
      </c>
      <c r="E150" s="27"/>
      <c r="F150" s="27"/>
      <c r="G150" s="28" t="str">
        <f aca="false">IF(F150="","",IFERROR(INDEX('Hitting Drills'!$D$6:$D$45,MATCH(F150,'Hitting Drills'!$B$6:$B$45,0)),"Not a hitting drill ID"))</f>
        <v/>
      </c>
      <c r="H150" s="27"/>
      <c r="I150" s="27"/>
      <c r="J150" s="27"/>
      <c r="K150" s="27"/>
      <c r="L150" s="27"/>
      <c r="M150" s="27"/>
      <c r="N150" s="27"/>
      <c r="O150" s="27"/>
      <c r="P150" s="27"/>
      <c r="Q150" s="27"/>
      <c r="R150" s="27"/>
      <c r="S150" s="29" t="str">
        <f aca="false">IF(OR(B150="",C150=""),"",IF(COUNTIFS($B$5:B150,B150,$C$5:C150,C150)=1,1,0))</f>
        <v/>
      </c>
      <c r="T150" s="29" t="str">
        <f aca="false">IF(OR(B150="",C150="",E150=""),"",IF(COUNTIFS($B$5:B150,B150,$C$5:C150,C150,$E$5:E150,E150)=1,1,0))</f>
        <v/>
      </c>
      <c r="U150" s="28" t="str">
        <f aca="false">IF(COUNTA(B150:C150,E150:F150,H150:P150)=0,"",IF(OR(B150="",C150="",E150=""),"Check: date, player, and context required",IF(AND(ISNUMBER(J150),ISNUMBER(I150),J150&gt;I150),"Check: solid contacts &gt; swings",IF(AND(ISNUMBER(L150),ISNUMBER(K150),L150&gt;K150),"Check: correct &gt; assessed decisions",IF(AND(ISNUMBER(N150),ISNUMBER(M150),N150&gt;M150),"Check: intended &gt; assessed landings",IF(AND(ISNUMBER(J150),I150=""),"Check: solid contacts without swings","OK"))))))</f>
        <v/>
      </c>
    </row>
    <row r="151" customFormat="false" ht="15" hidden="false" customHeight="false" outlineLevel="0" collapsed="false">
      <c r="B151" s="26"/>
      <c r="C151" s="27"/>
      <c r="D151" s="28" t="str">
        <f aca="false">IF(C151="","",IFERROR(INDEX(Players!$C$5:$C$104,MATCH(C151,Players!$B$5:$B$104,0)),"ID not found"))</f>
        <v/>
      </c>
      <c r="E151" s="27"/>
      <c r="F151" s="27"/>
      <c r="G151" s="28" t="str">
        <f aca="false">IF(F151="","",IFERROR(INDEX('Hitting Drills'!$D$6:$D$45,MATCH(F151,'Hitting Drills'!$B$6:$B$45,0)),"Not a hitting drill ID"))</f>
        <v/>
      </c>
      <c r="H151" s="27"/>
      <c r="I151" s="27"/>
      <c r="J151" s="27"/>
      <c r="K151" s="27"/>
      <c r="L151" s="27"/>
      <c r="M151" s="27"/>
      <c r="N151" s="27"/>
      <c r="O151" s="27"/>
      <c r="P151" s="27"/>
      <c r="Q151" s="27"/>
      <c r="R151" s="27"/>
      <c r="S151" s="29" t="str">
        <f aca="false">IF(OR(B151="",C151=""),"",IF(COUNTIFS($B$5:B151,B151,$C$5:C151,C151)=1,1,0))</f>
        <v/>
      </c>
      <c r="T151" s="29" t="str">
        <f aca="false">IF(OR(B151="",C151="",E151=""),"",IF(COUNTIFS($B$5:B151,B151,$C$5:C151,C151,$E$5:E151,E151)=1,1,0))</f>
        <v/>
      </c>
      <c r="U151" s="28" t="str">
        <f aca="false">IF(COUNTA(B151:C151,E151:F151,H151:P151)=0,"",IF(OR(B151="",C151="",E151=""),"Check: date, player, and context required",IF(AND(ISNUMBER(J151),ISNUMBER(I151),J151&gt;I151),"Check: solid contacts &gt; swings",IF(AND(ISNUMBER(L151),ISNUMBER(K151),L151&gt;K151),"Check: correct &gt; assessed decisions",IF(AND(ISNUMBER(N151),ISNUMBER(M151),N151&gt;M151),"Check: intended &gt; assessed landings",IF(AND(ISNUMBER(J151),I151=""),"Check: solid contacts without swings","OK"))))))</f>
        <v/>
      </c>
    </row>
    <row r="152" customFormat="false" ht="15" hidden="false" customHeight="false" outlineLevel="0" collapsed="false">
      <c r="B152" s="26"/>
      <c r="C152" s="27"/>
      <c r="D152" s="28" t="str">
        <f aca="false">IF(C152="","",IFERROR(INDEX(Players!$C$5:$C$104,MATCH(C152,Players!$B$5:$B$104,0)),"ID not found"))</f>
        <v/>
      </c>
      <c r="E152" s="27"/>
      <c r="F152" s="27"/>
      <c r="G152" s="28" t="str">
        <f aca="false">IF(F152="","",IFERROR(INDEX('Hitting Drills'!$D$6:$D$45,MATCH(F152,'Hitting Drills'!$B$6:$B$45,0)),"Not a hitting drill ID"))</f>
        <v/>
      </c>
      <c r="H152" s="27"/>
      <c r="I152" s="27"/>
      <c r="J152" s="27"/>
      <c r="K152" s="27"/>
      <c r="L152" s="27"/>
      <c r="M152" s="27"/>
      <c r="N152" s="27"/>
      <c r="O152" s="27"/>
      <c r="P152" s="27"/>
      <c r="Q152" s="27"/>
      <c r="R152" s="27"/>
      <c r="S152" s="29" t="str">
        <f aca="false">IF(OR(B152="",C152=""),"",IF(COUNTIFS($B$5:B152,B152,$C$5:C152,C152)=1,1,0))</f>
        <v/>
      </c>
      <c r="T152" s="29" t="str">
        <f aca="false">IF(OR(B152="",C152="",E152=""),"",IF(COUNTIFS($B$5:B152,B152,$C$5:C152,C152,$E$5:E152,E152)=1,1,0))</f>
        <v/>
      </c>
      <c r="U152" s="28" t="str">
        <f aca="false">IF(COUNTA(B152:C152,E152:F152,H152:P152)=0,"",IF(OR(B152="",C152="",E152=""),"Check: date, player, and context required",IF(AND(ISNUMBER(J152),ISNUMBER(I152),J152&gt;I152),"Check: solid contacts &gt; swings",IF(AND(ISNUMBER(L152),ISNUMBER(K152),L152&gt;K152),"Check: correct &gt; assessed decisions",IF(AND(ISNUMBER(N152),ISNUMBER(M152),N152&gt;M152),"Check: intended &gt; assessed landings",IF(AND(ISNUMBER(J152),I152=""),"Check: solid contacts without swings","OK"))))))</f>
        <v/>
      </c>
    </row>
    <row r="153" customFormat="false" ht="15" hidden="false" customHeight="false" outlineLevel="0" collapsed="false">
      <c r="B153" s="26"/>
      <c r="C153" s="27"/>
      <c r="D153" s="28" t="str">
        <f aca="false">IF(C153="","",IFERROR(INDEX(Players!$C$5:$C$104,MATCH(C153,Players!$B$5:$B$104,0)),"ID not found"))</f>
        <v/>
      </c>
      <c r="E153" s="27"/>
      <c r="F153" s="27"/>
      <c r="G153" s="28" t="str">
        <f aca="false">IF(F153="","",IFERROR(INDEX('Hitting Drills'!$D$6:$D$45,MATCH(F153,'Hitting Drills'!$B$6:$B$45,0)),"Not a hitting drill ID"))</f>
        <v/>
      </c>
      <c r="H153" s="27"/>
      <c r="I153" s="27"/>
      <c r="J153" s="27"/>
      <c r="K153" s="27"/>
      <c r="L153" s="27"/>
      <c r="M153" s="27"/>
      <c r="N153" s="27"/>
      <c r="O153" s="27"/>
      <c r="P153" s="27"/>
      <c r="Q153" s="27"/>
      <c r="R153" s="27"/>
      <c r="S153" s="29" t="str">
        <f aca="false">IF(OR(B153="",C153=""),"",IF(COUNTIFS($B$5:B153,B153,$C$5:C153,C153)=1,1,0))</f>
        <v/>
      </c>
      <c r="T153" s="29" t="str">
        <f aca="false">IF(OR(B153="",C153="",E153=""),"",IF(COUNTIFS($B$5:B153,B153,$C$5:C153,C153,$E$5:E153,E153)=1,1,0))</f>
        <v/>
      </c>
      <c r="U153" s="28" t="str">
        <f aca="false">IF(COUNTA(B153:C153,E153:F153,H153:P153)=0,"",IF(OR(B153="",C153="",E153=""),"Check: date, player, and context required",IF(AND(ISNUMBER(J153),ISNUMBER(I153),J153&gt;I153),"Check: solid contacts &gt; swings",IF(AND(ISNUMBER(L153),ISNUMBER(K153),L153&gt;K153),"Check: correct &gt; assessed decisions",IF(AND(ISNUMBER(N153),ISNUMBER(M153),N153&gt;M153),"Check: intended &gt; assessed landings",IF(AND(ISNUMBER(J153),I153=""),"Check: solid contacts without swings","OK"))))))</f>
        <v/>
      </c>
    </row>
    <row r="154" customFormat="false" ht="15" hidden="false" customHeight="false" outlineLevel="0" collapsed="false">
      <c r="B154" s="26"/>
      <c r="C154" s="27"/>
      <c r="D154" s="28" t="str">
        <f aca="false">IF(C154="","",IFERROR(INDEX(Players!$C$5:$C$104,MATCH(C154,Players!$B$5:$B$104,0)),"ID not found"))</f>
        <v/>
      </c>
      <c r="E154" s="27"/>
      <c r="F154" s="27"/>
      <c r="G154" s="28" t="str">
        <f aca="false">IF(F154="","",IFERROR(INDEX('Hitting Drills'!$D$6:$D$45,MATCH(F154,'Hitting Drills'!$B$6:$B$45,0)),"Not a hitting drill ID"))</f>
        <v/>
      </c>
      <c r="H154" s="27"/>
      <c r="I154" s="27"/>
      <c r="J154" s="27"/>
      <c r="K154" s="27"/>
      <c r="L154" s="27"/>
      <c r="M154" s="27"/>
      <c r="N154" s="27"/>
      <c r="O154" s="27"/>
      <c r="P154" s="27"/>
      <c r="Q154" s="27"/>
      <c r="R154" s="27"/>
      <c r="S154" s="29" t="str">
        <f aca="false">IF(OR(B154="",C154=""),"",IF(COUNTIFS($B$5:B154,B154,$C$5:C154,C154)=1,1,0))</f>
        <v/>
      </c>
      <c r="T154" s="29" t="str">
        <f aca="false">IF(OR(B154="",C154="",E154=""),"",IF(COUNTIFS($B$5:B154,B154,$C$5:C154,C154,$E$5:E154,E154)=1,1,0))</f>
        <v/>
      </c>
      <c r="U154" s="28" t="str">
        <f aca="false">IF(COUNTA(B154:C154,E154:F154,H154:P154)=0,"",IF(OR(B154="",C154="",E154=""),"Check: date, player, and context required",IF(AND(ISNUMBER(J154),ISNUMBER(I154),J154&gt;I154),"Check: solid contacts &gt; swings",IF(AND(ISNUMBER(L154),ISNUMBER(K154),L154&gt;K154),"Check: correct &gt; assessed decisions",IF(AND(ISNUMBER(N154),ISNUMBER(M154),N154&gt;M154),"Check: intended &gt; assessed landings",IF(AND(ISNUMBER(J154),I154=""),"Check: solid contacts without swings","OK"))))))</f>
        <v/>
      </c>
    </row>
    <row r="155" customFormat="false" ht="15" hidden="false" customHeight="false" outlineLevel="0" collapsed="false">
      <c r="B155" s="26"/>
      <c r="C155" s="27"/>
      <c r="D155" s="28" t="str">
        <f aca="false">IF(C155="","",IFERROR(INDEX(Players!$C$5:$C$104,MATCH(C155,Players!$B$5:$B$104,0)),"ID not found"))</f>
        <v/>
      </c>
      <c r="E155" s="27"/>
      <c r="F155" s="27"/>
      <c r="G155" s="28" t="str">
        <f aca="false">IF(F155="","",IFERROR(INDEX('Hitting Drills'!$D$6:$D$45,MATCH(F155,'Hitting Drills'!$B$6:$B$45,0)),"Not a hitting drill ID"))</f>
        <v/>
      </c>
      <c r="H155" s="27"/>
      <c r="I155" s="27"/>
      <c r="J155" s="27"/>
      <c r="K155" s="27"/>
      <c r="L155" s="27"/>
      <c r="M155" s="27"/>
      <c r="N155" s="27"/>
      <c r="O155" s="27"/>
      <c r="P155" s="27"/>
      <c r="Q155" s="27"/>
      <c r="R155" s="27"/>
      <c r="S155" s="29" t="str">
        <f aca="false">IF(OR(B155="",C155=""),"",IF(COUNTIFS($B$5:B155,B155,$C$5:C155,C155)=1,1,0))</f>
        <v/>
      </c>
      <c r="T155" s="29" t="str">
        <f aca="false">IF(OR(B155="",C155="",E155=""),"",IF(COUNTIFS($B$5:B155,B155,$C$5:C155,C155,$E$5:E155,E155)=1,1,0))</f>
        <v/>
      </c>
      <c r="U155" s="28" t="str">
        <f aca="false">IF(COUNTA(B155:C155,E155:F155,H155:P155)=0,"",IF(OR(B155="",C155="",E155=""),"Check: date, player, and context required",IF(AND(ISNUMBER(J155),ISNUMBER(I155),J155&gt;I155),"Check: solid contacts &gt; swings",IF(AND(ISNUMBER(L155),ISNUMBER(K155),L155&gt;K155),"Check: correct &gt; assessed decisions",IF(AND(ISNUMBER(N155),ISNUMBER(M155),N155&gt;M155),"Check: intended &gt; assessed landings",IF(AND(ISNUMBER(J155),I155=""),"Check: solid contacts without swings","OK"))))))</f>
        <v/>
      </c>
    </row>
    <row r="156" customFormat="false" ht="15" hidden="false" customHeight="false" outlineLevel="0" collapsed="false">
      <c r="B156" s="26"/>
      <c r="C156" s="27"/>
      <c r="D156" s="28" t="str">
        <f aca="false">IF(C156="","",IFERROR(INDEX(Players!$C$5:$C$104,MATCH(C156,Players!$B$5:$B$104,0)),"ID not found"))</f>
        <v/>
      </c>
      <c r="E156" s="27"/>
      <c r="F156" s="27"/>
      <c r="G156" s="28" t="str">
        <f aca="false">IF(F156="","",IFERROR(INDEX('Hitting Drills'!$D$6:$D$45,MATCH(F156,'Hitting Drills'!$B$6:$B$45,0)),"Not a hitting drill ID"))</f>
        <v/>
      </c>
      <c r="H156" s="27"/>
      <c r="I156" s="27"/>
      <c r="J156" s="27"/>
      <c r="K156" s="27"/>
      <c r="L156" s="27"/>
      <c r="M156" s="27"/>
      <c r="N156" s="27"/>
      <c r="O156" s="27"/>
      <c r="P156" s="27"/>
      <c r="Q156" s="27"/>
      <c r="R156" s="27"/>
      <c r="S156" s="29" t="str">
        <f aca="false">IF(OR(B156="",C156=""),"",IF(COUNTIFS($B$5:B156,B156,$C$5:C156,C156)=1,1,0))</f>
        <v/>
      </c>
      <c r="T156" s="29" t="str">
        <f aca="false">IF(OR(B156="",C156="",E156=""),"",IF(COUNTIFS($B$5:B156,B156,$C$5:C156,C156,$E$5:E156,E156)=1,1,0))</f>
        <v/>
      </c>
      <c r="U156" s="28" t="str">
        <f aca="false">IF(COUNTA(B156:C156,E156:F156,H156:P156)=0,"",IF(OR(B156="",C156="",E156=""),"Check: date, player, and context required",IF(AND(ISNUMBER(J156),ISNUMBER(I156),J156&gt;I156),"Check: solid contacts &gt; swings",IF(AND(ISNUMBER(L156),ISNUMBER(K156),L156&gt;K156),"Check: correct &gt; assessed decisions",IF(AND(ISNUMBER(N156),ISNUMBER(M156),N156&gt;M156),"Check: intended &gt; assessed landings",IF(AND(ISNUMBER(J156),I156=""),"Check: solid contacts without swings","OK"))))))</f>
        <v/>
      </c>
    </row>
    <row r="157" customFormat="false" ht="15" hidden="false" customHeight="false" outlineLevel="0" collapsed="false">
      <c r="B157" s="26"/>
      <c r="C157" s="27"/>
      <c r="D157" s="28" t="str">
        <f aca="false">IF(C157="","",IFERROR(INDEX(Players!$C$5:$C$104,MATCH(C157,Players!$B$5:$B$104,0)),"ID not found"))</f>
        <v/>
      </c>
      <c r="E157" s="27"/>
      <c r="F157" s="27"/>
      <c r="G157" s="28" t="str">
        <f aca="false">IF(F157="","",IFERROR(INDEX('Hitting Drills'!$D$6:$D$45,MATCH(F157,'Hitting Drills'!$B$6:$B$45,0)),"Not a hitting drill ID"))</f>
        <v/>
      </c>
      <c r="H157" s="27"/>
      <c r="I157" s="27"/>
      <c r="J157" s="27"/>
      <c r="K157" s="27"/>
      <c r="L157" s="27"/>
      <c r="M157" s="27"/>
      <c r="N157" s="27"/>
      <c r="O157" s="27"/>
      <c r="P157" s="27"/>
      <c r="Q157" s="27"/>
      <c r="R157" s="27"/>
      <c r="S157" s="29" t="str">
        <f aca="false">IF(OR(B157="",C157=""),"",IF(COUNTIFS($B$5:B157,B157,$C$5:C157,C157)=1,1,0))</f>
        <v/>
      </c>
      <c r="T157" s="29" t="str">
        <f aca="false">IF(OR(B157="",C157="",E157=""),"",IF(COUNTIFS($B$5:B157,B157,$C$5:C157,C157,$E$5:E157,E157)=1,1,0))</f>
        <v/>
      </c>
      <c r="U157" s="28" t="str">
        <f aca="false">IF(COUNTA(B157:C157,E157:F157,H157:P157)=0,"",IF(OR(B157="",C157="",E157=""),"Check: date, player, and context required",IF(AND(ISNUMBER(J157),ISNUMBER(I157),J157&gt;I157),"Check: solid contacts &gt; swings",IF(AND(ISNUMBER(L157),ISNUMBER(K157),L157&gt;K157),"Check: correct &gt; assessed decisions",IF(AND(ISNUMBER(N157),ISNUMBER(M157),N157&gt;M157),"Check: intended &gt; assessed landings",IF(AND(ISNUMBER(J157),I157=""),"Check: solid contacts without swings","OK"))))))</f>
        <v/>
      </c>
    </row>
    <row r="158" customFormat="false" ht="15" hidden="false" customHeight="false" outlineLevel="0" collapsed="false">
      <c r="B158" s="26"/>
      <c r="C158" s="27"/>
      <c r="D158" s="28" t="str">
        <f aca="false">IF(C158="","",IFERROR(INDEX(Players!$C$5:$C$104,MATCH(C158,Players!$B$5:$B$104,0)),"ID not found"))</f>
        <v/>
      </c>
      <c r="E158" s="27"/>
      <c r="F158" s="27"/>
      <c r="G158" s="28" t="str">
        <f aca="false">IF(F158="","",IFERROR(INDEX('Hitting Drills'!$D$6:$D$45,MATCH(F158,'Hitting Drills'!$B$6:$B$45,0)),"Not a hitting drill ID"))</f>
        <v/>
      </c>
      <c r="H158" s="27"/>
      <c r="I158" s="27"/>
      <c r="J158" s="27"/>
      <c r="K158" s="27"/>
      <c r="L158" s="27"/>
      <c r="M158" s="27"/>
      <c r="N158" s="27"/>
      <c r="O158" s="27"/>
      <c r="P158" s="27"/>
      <c r="Q158" s="27"/>
      <c r="R158" s="27"/>
      <c r="S158" s="29" t="str">
        <f aca="false">IF(OR(B158="",C158=""),"",IF(COUNTIFS($B$5:B158,B158,$C$5:C158,C158)=1,1,0))</f>
        <v/>
      </c>
      <c r="T158" s="29" t="str">
        <f aca="false">IF(OR(B158="",C158="",E158=""),"",IF(COUNTIFS($B$5:B158,B158,$C$5:C158,C158,$E$5:E158,E158)=1,1,0))</f>
        <v/>
      </c>
      <c r="U158" s="28" t="str">
        <f aca="false">IF(COUNTA(B158:C158,E158:F158,H158:P158)=0,"",IF(OR(B158="",C158="",E158=""),"Check: date, player, and context required",IF(AND(ISNUMBER(J158),ISNUMBER(I158),J158&gt;I158),"Check: solid contacts &gt; swings",IF(AND(ISNUMBER(L158),ISNUMBER(K158),L158&gt;K158),"Check: correct &gt; assessed decisions",IF(AND(ISNUMBER(N158),ISNUMBER(M158),N158&gt;M158),"Check: intended &gt; assessed landings",IF(AND(ISNUMBER(J158),I158=""),"Check: solid contacts without swings","OK"))))))</f>
        <v/>
      </c>
    </row>
    <row r="159" customFormat="false" ht="15" hidden="false" customHeight="false" outlineLevel="0" collapsed="false">
      <c r="B159" s="26"/>
      <c r="C159" s="27"/>
      <c r="D159" s="28" t="str">
        <f aca="false">IF(C159="","",IFERROR(INDEX(Players!$C$5:$C$104,MATCH(C159,Players!$B$5:$B$104,0)),"ID not found"))</f>
        <v/>
      </c>
      <c r="E159" s="27"/>
      <c r="F159" s="27"/>
      <c r="G159" s="28" t="str">
        <f aca="false">IF(F159="","",IFERROR(INDEX('Hitting Drills'!$D$6:$D$45,MATCH(F159,'Hitting Drills'!$B$6:$B$45,0)),"Not a hitting drill ID"))</f>
        <v/>
      </c>
      <c r="H159" s="27"/>
      <c r="I159" s="27"/>
      <c r="J159" s="27"/>
      <c r="K159" s="27"/>
      <c r="L159" s="27"/>
      <c r="M159" s="27"/>
      <c r="N159" s="27"/>
      <c r="O159" s="27"/>
      <c r="P159" s="27"/>
      <c r="Q159" s="27"/>
      <c r="R159" s="27"/>
      <c r="S159" s="29" t="str">
        <f aca="false">IF(OR(B159="",C159=""),"",IF(COUNTIFS($B$5:B159,B159,$C$5:C159,C159)=1,1,0))</f>
        <v/>
      </c>
      <c r="T159" s="29" t="str">
        <f aca="false">IF(OR(B159="",C159="",E159=""),"",IF(COUNTIFS($B$5:B159,B159,$C$5:C159,C159,$E$5:E159,E159)=1,1,0))</f>
        <v/>
      </c>
      <c r="U159" s="28" t="str">
        <f aca="false">IF(COUNTA(B159:C159,E159:F159,H159:P159)=0,"",IF(OR(B159="",C159="",E159=""),"Check: date, player, and context required",IF(AND(ISNUMBER(J159),ISNUMBER(I159),J159&gt;I159),"Check: solid contacts &gt; swings",IF(AND(ISNUMBER(L159),ISNUMBER(K159),L159&gt;K159),"Check: correct &gt; assessed decisions",IF(AND(ISNUMBER(N159),ISNUMBER(M159),N159&gt;M159),"Check: intended &gt; assessed landings",IF(AND(ISNUMBER(J159),I159=""),"Check: solid contacts without swings","OK"))))))</f>
        <v/>
      </c>
    </row>
    <row r="160" customFormat="false" ht="15" hidden="false" customHeight="false" outlineLevel="0" collapsed="false">
      <c r="B160" s="26"/>
      <c r="C160" s="27"/>
      <c r="D160" s="28" t="str">
        <f aca="false">IF(C160="","",IFERROR(INDEX(Players!$C$5:$C$104,MATCH(C160,Players!$B$5:$B$104,0)),"ID not found"))</f>
        <v/>
      </c>
      <c r="E160" s="27"/>
      <c r="F160" s="27"/>
      <c r="G160" s="28" t="str">
        <f aca="false">IF(F160="","",IFERROR(INDEX('Hitting Drills'!$D$6:$D$45,MATCH(F160,'Hitting Drills'!$B$6:$B$45,0)),"Not a hitting drill ID"))</f>
        <v/>
      </c>
      <c r="H160" s="27"/>
      <c r="I160" s="27"/>
      <c r="J160" s="27"/>
      <c r="K160" s="27"/>
      <c r="L160" s="27"/>
      <c r="M160" s="27"/>
      <c r="N160" s="27"/>
      <c r="O160" s="27"/>
      <c r="P160" s="27"/>
      <c r="Q160" s="27"/>
      <c r="R160" s="27"/>
      <c r="S160" s="29" t="str">
        <f aca="false">IF(OR(B160="",C160=""),"",IF(COUNTIFS($B$5:B160,B160,$C$5:C160,C160)=1,1,0))</f>
        <v/>
      </c>
      <c r="T160" s="29" t="str">
        <f aca="false">IF(OR(B160="",C160="",E160=""),"",IF(COUNTIFS($B$5:B160,B160,$C$5:C160,C160,$E$5:E160,E160)=1,1,0))</f>
        <v/>
      </c>
      <c r="U160" s="28" t="str">
        <f aca="false">IF(COUNTA(B160:C160,E160:F160,H160:P160)=0,"",IF(OR(B160="",C160="",E160=""),"Check: date, player, and context required",IF(AND(ISNUMBER(J160),ISNUMBER(I160),J160&gt;I160),"Check: solid contacts &gt; swings",IF(AND(ISNUMBER(L160),ISNUMBER(K160),L160&gt;K160),"Check: correct &gt; assessed decisions",IF(AND(ISNUMBER(N160),ISNUMBER(M160),N160&gt;M160),"Check: intended &gt; assessed landings",IF(AND(ISNUMBER(J160),I160=""),"Check: solid contacts without swings","OK"))))))</f>
        <v/>
      </c>
    </row>
    <row r="161" customFormat="false" ht="15" hidden="false" customHeight="false" outlineLevel="0" collapsed="false">
      <c r="B161" s="26"/>
      <c r="C161" s="27"/>
      <c r="D161" s="28" t="str">
        <f aca="false">IF(C161="","",IFERROR(INDEX(Players!$C$5:$C$104,MATCH(C161,Players!$B$5:$B$104,0)),"ID not found"))</f>
        <v/>
      </c>
      <c r="E161" s="27"/>
      <c r="F161" s="27"/>
      <c r="G161" s="28" t="str">
        <f aca="false">IF(F161="","",IFERROR(INDEX('Hitting Drills'!$D$6:$D$45,MATCH(F161,'Hitting Drills'!$B$6:$B$45,0)),"Not a hitting drill ID"))</f>
        <v/>
      </c>
      <c r="H161" s="27"/>
      <c r="I161" s="27"/>
      <c r="J161" s="27"/>
      <c r="K161" s="27"/>
      <c r="L161" s="27"/>
      <c r="M161" s="27"/>
      <c r="N161" s="27"/>
      <c r="O161" s="27"/>
      <c r="P161" s="27"/>
      <c r="Q161" s="27"/>
      <c r="R161" s="27"/>
      <c r="S161" s="29" t="str">
        <f aca="false">IF(OR(B161="",C161=""),"",IF(COUNTIFS($B$5:B161,B161,$C$5:C161,C161)=1,1,0))</f>
        <v/>
      </c>
      <c r="T161" s="29" t="str">
        <f aca="false">IF(OR(B161="",C161="",E161=""),"",IF(COUNTIFS($B$5:B161,B161,$C$5:C161,C161,$E$5:E161,E161)=1,1,0))</f>
        <v/>
      </c>
      <c r="U161" s="28" t="str">
        <f aca="false">IF(COUNTA(B161:C161,E161:F161,H161:P161)=0,"",IF(OR(B161="",C161="",E161=""),"Check: date, player, and context required",IF(AND(ISNUMBER(J161),ISNUMBER(I161),J161&gt;I161),"Check: solid contacts &gt; swings",IF(AND(ISNUMBER(L161),ISNUMBER(K161),L161&gt;K161),"Check: correct &gt; assessed decisions",IF(AND(ISNUMBER(N161),ISNUMBER(M161),N161&gt;M161),"Check: intended &gt; assessed landings",IF(AND(ISNUMBER(J161),I161=""),"Check: solid contacts without swings","OK"))))))</f>
        <v/>
      </c>
    </row>
    <row r="162" customFormat="false" ht="15" hidden="false" customHeight="false" outlineLevel="0" collapsed="false">
      <c r="B162" s="26"/>
      <c r="C162" s="27"/>
      <c r="D162" s="28" t="str">
        <f aca="false">IF(C162="","",IFERROR(INDEX(Players!$C$5:$C$104,MATCH(C162,Players!$B$5:$B$104,0)),"ID not found"))</f>
        <v/>
      </c>
      <c r="E162" s="27"/>
      <c r="F162" s="27"/>
      <c r="G162" s="28" t="str">
        <f aca="false">IF(F162="","",IFERROR(INDEX('Hitting Drills'!$D$6:$D$45,MATCH(F162,'Hitting Drills'!$B$6:$B$45,0)),"Not a hitting drill ID"))</f>
        <v/>
      </c>
      <c r="H162" s="27"/>
      <c r="I162" s="27"/>
      <c r="J162" s="27"/>
      <c r="K162" s="27"/>
      <c r="L162" s="27"/>
      <c r="M162" s="27"/>
      <c r="N162" s="27"/>
      <c r="O162" s="27"/>
      <c r="P162" s="27"/>
      <c r="Q162" s="27"/>
      <c r="R162" s="27"/>
      <c r="S162" s="29" t="str">
        <f aca="false">IF(OR(B162="",C162=""),"",IF(COUNTIFS($B$5:B162,B162,$C$5:C162,C162)=1,1,0))</f>
        <v/>
      </c>
      <c r="T162" s="29" t="str">
        <f aca="false">IF(OR(B162="",C162="",E162=""),"",IF(COUNTIFS($B$5:B162,B162,$C$5:C162,C162,$E$5:E162,E162)=1,1,0))</f>
        <v/>
      </c>
      <c r="U162" s="28" t="str">
        <f aca="false">IF(COUNTA(B162:C162,E162:F162,H162:P162)=0,"",IF(OR(B162="",C162="",E162=""),"Check: date, player, and context required",IF(AND(ISNUMBER(J162),ISNUMBER(I162),J162&gt;I162),"Check: solid contacts &gt; swings",IF(AND(ISNUMBER(L162),ISNUMBER(K162),L162&gt;K162),"Check: correct &gt; assessed decisions",IF(AND(ISNUMBER(N162),ISNUMBER(M162),N162&gt;M162),"Check: intended &gt; assessed landings",IF(AND(ISNUMBER(J162),I162=""),"Check: solid contacts without swings","OK"))))))</f>
        <v/>
      </c>
    </row>
    <row r="163" customFormat="false" ht="15" hidden="false" customHeight="false" outlineLevel="0" collapsed="false">
      <c r="B163" s="26"/>
      <c r="C163" s="27"/>
      <c r="D163" s="28" t="str">
        <f aca="false">IF(C163="","",IFERROR(INDEX(Players!$C$5:$C$104,MATCH(C163,Players!$B$5:$B$104,0)),"ID not found"))</f>
        <v/>
      </c>
      <c r="E163" s="27"/>
      <c r="F163" s="27"/>
      <c r="G163" s="28" t="str">
        <f aca="false">IF(F163="","",IFERROR(INDEX('Hitting Drills'!$D$6:$D$45,MATCH(F163,'Hitting Drills'!$B$6:$B$45,0)),"Not a hitting drill ID"))</f>
        <v/>
      </c>
      <c r="H163" s="27"/>
      <c r="I163" s="27"/>
      <c r="J163" s="27"/>
      <c r="K163" s="27"/>
      <c r="L163" s="27"/>
      <c r="M163" s="27"/>
      <c r="N163" s="27"/>
      <c r="O163" s="27"/>
      <c r="P163" s="27"/>
      <c r="Q163" s="27"/>
      <c r="R163" s="27"/>
      <c r="S163" s="29" t="str">
        <f aca="false">IF(OR(B163="",C163=""),"",IF(COUNTIFS($B$5:B163,B163,$C$5:C163,C163)=1,1,0))</f>
        <v/>
      </c>
      <c r="T163" s="29" t="str">
        <f aca="false">IF(OR(B163="",C163="",E163=""),"",IF(COUNTIFS($B$5:B163,B163,$C$5:C163,C163,$E$5:E163,E163)=1,1,0))</f>
        <v/>
      </c>
      <c r="U163" s="28" t="str">
        <f aca="false">IF(COUNTA(B163:C163,E163:F163,H163:P163)=0,"",IF(OR(B163="",C163="",E163=""),"Check: date, player, and context required",IF(AND(ISNUMBER(J163),ISNUMBER(I163),J163&gt;I163),"Check: solid contacts &gt; swings",IF(AND(ISNUMBER(L163),ISNUMBER(K163),L163&gt;K163),"Check: correct &gt; assessed decisions",IF(AND(ISNUMBER(N163),ISNUMBER(M163),N163&gt;M163),"Check: intended &gt; assessed landings",IF(AND(ISNUMBER(J163),I163=""),"Check: solid contacts without swings","OK"))))))</f>
        <v/>
      </c>
    </row>
    <row r="164" customFormat="false" ht="15" hidden="false" customHeight="false" outlineLevel="0" collapsed="false">
      <c r="B164" s="26"/>
      <c r="C164" s="27"/>
      <c r="D164" s="28" t="str">
        <f aca="false">IF(C164="","",IFERROR(INDEX(Players!$C$5:$C$104,MATCH(C164,Players!$B$5:$B$104,0)),"ID not found"))</f>
        <v/>
      </c>
      <c r="E164" s="27"/>
      <c r="F164" s="27"/>
      <c r="G164" s="28" t="str">
        <f aca="false">IF(F164="","",IFERROR(INDEX('Hitting Drills'!$D$6:$D$45,MATCH(F164,'Hitting Drills'!$B$6:$B$45,0)),"Not a hitting drill ID"))</f>
        <v/>
      </c>
      <c r="H164" s="27"/>
      <c r="I164" s="27"/>
      <c r="J164" s="27"/>
      <c r="K164" s="27"/>
      <c r="L164" s="27"/>
      <c r="M164" s="27"/>
      <c r="N164" s="27"/>
      <c r="O164" s="27"/>
      <c r="P164" s="27"/>
      <c r="Q164" s="27"/>
      <c r="R164" s="27"/>
      <c r="S164" s="29" t="str">
        <f aca="false">IF(OR(B164="",C164=""),"",IF(COUNTIFS($B$5:B164,B164,$C$5:C164,C164)=1,1,0))</f>
        <v/>
      </c>
      <c r="T164" s="29" t="str">
        <f aca="false">IF(OR(B164="",C164="",E164=""),"",IF(COUNTIFS($B$5:B164,B164,$C$5:C164,C164,$E$5:E164,E164)=1,1,0))</f>
        <v/>
      </c>
      <c r="U164" s="28" t="str">
        <f aca="false">IF(COUNTA(B164:C164,E164:F164,H164:P164)=0,"",IF(OR(B164="",C164="",E164=""),"Check: date, player, and context required",IF(AND(ISNUMBER(J164),ISNUMBER(I164),J164&gt;I164),"Check: solid contacts &gt; swings",IF(AND(ISNUMBER(L164),ISNUMBER(K164),L164&gt;K164),"Check: correct &gt; assessed decisions",IF(AND(ISNUMBER(N164),ISNUMBER(M164),N164&gt;M164),"Check: intended &gt; assessed landings",IF(AND(ISNUMBER(J164),I164=""),"Check: solid contacts without swings","OK"))))))</f>
        <v/>
      </c>
    </row>
    <row r="165" customFormat="false" ht="15" hidden="false" customHeight="false" outlineLevel="0" collapsed="false">
      <c r="B165" s="26"/>
      <c r="C165" s="27"/>
      <c r="D165" s="28" t="str">
        <f aca="false">IF(C165="","",IFERROR(INDEX(Players!$C$5:$C$104,MATCH(C165,Players!$B$5:$B$104,0)),"ID not found"))</f>
        <v/>
      </c>
      <c r="E165" s="27"/>
      <c r="F165" s="27"/>
      <c r="G165" s="28" t="str">
        <f aca="false">IF(F165="","",IFERROR(INDEX('Hitting Drills'!$D$6:$D$45,MATCH(F165,'Hitting Drills'!$B$6:$B$45,0)),"Not a hitting drill ID"))</f>
        <v/>
      </c>
      <c r="H165" s="27"/>
      <c r="I165" s="27"/>
      <c r="J165" s="27"/>
      <c r="K165" s="27"/>
      <c r="L165" s="27"/>
      <c r="M165" s="27"/>
      <c r="N165" s="27"/>
      <c r="O165" s="27"/>
      <c r="P165" s="27"/>
      <c r="Q165" s="27"/>
      <c r="R165" s="27"/>
      <c r="S165" s="29" t="str">
        <f aca="false">IF(OR(B165="",C165=""),"",IF(COUNTIFS($B$5:B165,B165,$C$5:C165,C165)=1,1,0))</f>
        <v/>
      </c>
      <c r="T165" s="29" t="str">
        <f aca="false">IF(OR(B165="",C165="",E165=""),"",IF(COUNTIFS($B$5:B165,B165,$C$5:C165,C165,$E$5:E165,E165)=1,1,0))</f>
        <v/>
      </c>
      <c r="U165" s="28" t="str">
        <f aca="false">IF(COUNTA(B165:C165,E165:F165,H165:P165)=0,"",IF(OR(B165="",C165="",E165=""),"Check: date, player, and context required",IF(AND(ISNUMBER(J165),ISNUMBER(I165),J165&gt;I165),"Check: solid contacts &gt; swings",IF(AND(ISNUMBER(L165),ISNUMBER(K165),L165&gt;K165),"Check: correct &gt; assessed decisions",IF(AND(ISNUMBER(N165),ISNUMBER(M165),N165&gt;M165),"Check: intended &gt; assessed landings",IF(AND(ISNUMBER(J165),I165=""),"Check: solid contacts without swings","OK"))))))</f>
        <v/>
      </c>
    </row>
    <row r="166" customFormat="false" ht="15" hidden="false" customHeight="false" outlineLevel="0" collapsed="false">
      <c r="B166" s="26"/>
      <c r="C166" s="27"/>
      <c r="D166" s="28" t="str">
        <f aca="false">IF(C166="","",IFERROR(INDEX(Players!$C$5:$C$104,MATCH(C166,Players!$B$5:$B$104,0)),"ID not found"))</f>
        <v/>
      </c>
      <c r="E166" s="27"/>
      <c r="F166" s="27"/>
      <c r="G166" s="28" t="str">
        <f aca="false">IF(F166="","",IFERROR(INDEX('Hitting Drills'!$D$6:$D$45,MATCH(F166,'Hitting Drills'!$B$6:$B$45,0)),"Not a hitting drill ID"))</f>
        <v/>
      </c>
      <c r="H166" s="27"/>
      <c r="I166" s="27"/>
      <c r="J166" s="27"/>
      <c r="K166" s="27"/>
      <c r="L166" s="27"/>
      <c r="M166" s="27"/>
      <c r="N166" s="27"/>
      <c r="O166" s="27"/>
      <c r="P166" s="27"/>
      <c r="Q166" s="27"/>
      <c r="R166" s="27"/>
      <c r="S166" s="29" t="str">
        <f aca="false">IF(OR(B166="",C166=""),"",IF(COUNTIFS($B$5:B166,B166,$C$5:C166,C166)=1,1,0))</f>
        <v/>
      </c>
      <c r="T166" s="29" t="str">
        <f aca="false">IF(OR(B166="",C166="",E166=""),"",IF(COUNTIFS($B$5:B166,B166,$C$5:C166,C166,$E$5:E166,E166)=1,1,0))</f>
        <v/>
      </c>
      <c r="U166" s="28" t="str">
        <f aca="false">IF(COUNTA(B166:C166,E166:F166,H166:P166)=0,"",IF(OR(B166="",C166="",E166=""),"Check: date, player, and context required",IF(AND(ISNUMBER(J166),ISNUMBER(I166),J166&gt;I166),"Check: solid contacts &gt; swings",IF(AND(ISNUMBER(L166),ISNUMBER(K166),L166&gt;K166),"Check: correct &gt; assessed decisions",IF(AND(ISNUMBER(N166),ISNUMBER(M166),N166&gt;M166),"Check: intended &gt; assessed landings",IF(AND(ISNUMBER(J166),I166=""),"Check: solid contacts without swings","OK"))))))</f>
        <v/>
      </c>
    </row>
    <row r="167" customFormat="false" ht="15" hidden="false" customHeight="false" outlineLevel="0" collapsed="false">
      <c r="B167" s="26"/>
      <c r="C167" s="27"/>
      <c r="D167" s="28" t="str">
        <f aca="false">IF(C167="","",IFERROR(INDEX(Players!$C$5:$C$104,MATCH(C167,Players!$B$5:$B$104,0)),"ID not found"))</f>
        <v/>
      </c>
      <c r="E167" s="27"/>
      <c r="F167" s="27"/>
      <c r="G167" s="28" t="str">
        <f aca="false">IF(F167="","",IFERROR(INDEX('Hitting Drills'!$D$6:$D$45,MATCH(F167,'Hitting Drills'!$B$6:$B$45,0)),"Not a hitting drill ID"))</f>
        <v/>
      </c>
      <c r="H167" s="27"/>
      <c r="I167" s="27"/>
      <c r="J167" s="27"/>
      <c r="K167" s="27"/>
      <c r="L167" s="27"/>
      <c r="M167" s="27"/>
      <c r="N167" s="27"/>
      <c r="O167" s="27"/>
      <c r="P167" s="27"/>
      <c r="Q167" s="27"/>
      <c r="R167" s="27"/>
      <c r="S167" s="29" t="str">
        <f aca="false">IF(OR(B167="",C167=""),"",IF(COUNTIFS($B$5:B167,B167,$C$5:C167,C167)=1,1,0))</f>
        <v/>
      </c>
      <c r="T167" s="29" t="str">
        <f aca="false">IF(OR(B167="",C167="",E167=""),"",IF(COUNTIFS($B$5:B167,B167,$C$5:C167,C167,$E$5:E167,E167)=1,1,0))</f>
        <v/>
      </c>
      <c r="U167" s="28" t="str">
        <f aca="false">IF(COUNTA(B167:C167,E167:F167,H167:P167)=0,"",IF(OR(B167="",C167="",E167=""),"Check: date, player, and context required",IF(AND(ISNUMBER(J167),ISNUMBER(I167),J167&gt;I167),"Check: solid contacts &gt; swings",IF(AND(ISNUMBER(L167),ISNUMBER(K167),L167&gt;K167),"Check: correct &gt; assessed decisions",IF(AND(ISNUMBER(N167),ISNUMBER(M167),N167&gt;M167),"Check: intended &gt; assessed landings",IF(AND(ISNUMBER(J167),I167=""),"Check: solid contacts without swings","OK"))))))</f>
        <v/>
      </c>
    </row>
    <row r="168" customFormat="false" ht="15" hidden="false" customHeight="false" outlineLevel="0" collapsed="false">
      <c r="B168" s="26"/>
      <c r="C168" s="27"/>
      <c r="D168" s="28" t="str">
        <f aca="false">IF(C168="","",IFERROR(INDEX(Players!$C$5:$C$104,MATCH(C168,Players!$B$5:$B$104,0)),"ID not found"))</f>
        <v/>
      </c>
      <c r="E168" s="27"/>
      <c r="F168" s="27"/>
      <c r="G168" s="28" t="str">
        <f aca="false">IF(F168="","",IFERROR(INDEX('Hitting Drills'!$D$6:$D$45,MATCH(F168,'Hitting Drills'!$B$6:$B$45,0)),"Not a hitting drill ID"))</f>
        <v/>
      </c>
      <c r="H168" s="27"/>
      <c r="I168" s="27"/>
      <c r="J168" s="27"/>
      <c r="K168" s="27"/>
      <c r="L168" s="27"/>
      <c r="M168" s="27"/>
      <c r="N168" s="27"/>
      <c r="O168" s="27"/>
      <c r="P168" s="27"/>
      <c r="Q168" s="27"/>
      <c r="R168" s="27"/>
      <c r="S168" s="29" t="str">
        <f aca="false">IF(OR(B168="",C168=""),"",IF(COUNTIFS($B$5:B168,B168,$C$5:C168,C168)=1,1,0))</f>
        <v/>
      </c>
      <c r="T168" s="29" t="str">
        <f aca="false">IF(OR(B168="",C168="",E168=""),"",IF(COUNTIFS($B$5:B168,B168,$C$5:C168,C168,$E$5:E168,E168)=1,1,0))</f>
        <v/>
      </c>
      <c r="U168" s="28" t="str">
        <f aca="false">IF(COUNTA(B168:C168,E168:F168,H168:P168)=0,"",IF(OR(B168="",C168="",E168=""),"Check: date, player, and context required",IF(AND(ISNUMBER(J168),ISNUMBER(I168),J168&gt;I168),"Check: solid contacts &gt; swings",IF(AND(ISNUMBER(L168),ISNUMBER(K168),L168&gt;K168),"Check: correct &gt; assessed decisions",IF(AND(ISNUMBER(N168),ISNUMBER(M168),N168&gt;M168),"Check: intended &gt; assessed landings",IF(AND(ISNUMBER(J168),I168=""),"Check: solid contacts without swings","OK"))))))</f>
        <v/>
      </c>
    </row>
    <row r="169" customFormat="false" ht="15" hidden="false" customHeight="false" outlineLevel="0" collapsed="false">
      <c r="B169" s="26"/>
      <c r="C169" s="27"/>
      <c r="D169" s="28" t="str">
        <f aca="false">IF(C169="","",IFERROR(INDEX(Players!$C$5:$C$104,MATCH(C169,Players!$B$5:$B$104,0)),"ID not found"))</f>
        <v/>
      </c>
      <c r="E169" s="27"/>
      <c r="F169" s="27"/>
      <c r="G169" s="28" t="str">
        <f aca="false">IF(F169="","",IFERROR(INDEX('Hitting Drills'!$D$6:$D$45,MATCH(F169,'Hitting Drills'!$B$6:$B$45,0)),"Not a hitting drill ID"))</f>
        <v/>
      </c>
      <c r="H169" s="27"/>
      <c r="I169" s="27"/>
      <c r="J169" s="27"/>
      <c r="K169" s="27"/>
      <c r="L169" s="27"/>
      <c r="M169" s="27"/>
      <c r="N169" s="27"/>
      <c r="O169" s="27"/>
      <c r="P169" s="27"/>
      <c r="Q169" s="27"/>
      <c r="R169" s="27"/>
      <c r="S169" s="29" t="str">
        <f aca="false">IF(OR(B169="",C169=""),"",IF(COUNTIFS($B$5:B169,B169,$C$5:C169,C169)=1,1,0))</f>
        <v/>
      </c>
      <c r="T169" s="29" t="str">
        <f aca="false">IF(OR(B169="",C169="",E169=""),"",IF(COUNTIFS($B$5:B169,B169,$C$5:C169,C169,$E$5:E169,E169)=1,1,0))</f>
        <v/>
      </c>
      <c r="U169" s="28" t="str">
        <f aca="false">IF(COUNTA(B169:C169,E169:F169,H169:P169)=0,"",IF(OR(B169="",C169="",E169=""),"Check: date, player, and context required",IF(AND(ISNUMBER(J169),ISNUMBER(I169),J169&gt;I169),"Check: solid contacts &gt; swings",IF(AND(ISNUMBER(L169),ISNUMBER(K169),L169&gt;K169),"Check: correct &gt; assessed decisions",IF(AND(ISNUMBER(N169),ISNUMBER(M169),N169&gt;M169),"Check: intended &gt; assessed landings",IF(AND(ISNUMBER(J169),I169=""),"Check: solid contacts without swings","OK"))))))</f>
        <v/>
      </c>
    </row>
    <row r="170" customFormat="false" ht="15" hidden="false" customHeight="false" outlineLevel="0" collapsed="false">
      <c r="B170" s="26"/>
      <c r="C170" s="27"/>
      <c r="D170" s="28" t="str">
        <f aca="false">IF(C170="","",IFERROR(INDEX(Players!$C$5:$C$104,MATCH(C170,Players!$B$5:$B$104,0)),"ID not found"))</f>
        <v/>
      </c>
      <c r="E170" s="27"/>
      <c r="F170" s="27"/>
      <c r="G170" s="28" t="str">
        <f aca="false">IF(F170="","",IFERROR(INDEX('Hitting Drills'!$D$6:$D$45,MATCH(F170,'Hitting Drills'!$B$6:$B$45,0)),"Not a hitting drill ID"))</f>
        <v/>
      </c>
      <c r="H170" s="27"/>
      <c r="I170" s="27"/>
      <c r="J170" s="27"/>
      <c r="K170" s="27"/>
      <c r="L170" s="27"/>
      <c r="M170" s="27"/>
      <c r="N170" s="27"/>
      <c r="O170" s="27"/>
      <c r="P170" s="27"/>
      <c r="Q170" s="27"/>
      <c r="R170" s="27"/>
      <c r="S170" s="29" t="str">
        <f aca="false">IF(OR(B170="",C170=""),"",IF(COUNTIFS($B$5:B170,B170,$C$5:C170,C170)=1,1,0))</f>
        <v/>
      </c>
      <c r="T170" s="29" t="str">
        <f aca="false">IF(OR(B170="",C170="",E170=""),"",IF(COUNTIFS($B$5:B170,B170,$C$5:C170,C170,$E$5:E170,E170)=1,1,0))</f>
        <v/>
      </c>
      <c r="U170" s="28" t="str">
        <f aca="false">IF(COUNTA(B170:C170,E170:F170,H170:P170)=0,"",IF(OR(B170="",C170="",E170=""),"Check: date, player, and context required",IF(AND(ISNUMBER(J170),ISNUMBER(I170),J170&gt;I170),"Check: solid contacts &gt; swings",IF(AND(ISNUMBER(L170),ISNUMBER(K170),L170&gt;K170),"Check: correct &gt; assessed decisions",IF(AND(ISNUMBER(N170),ISNUMBER(M170),N170&gt;M170),"Check: intended &gt; assessed landings",IF(AND(ISNUMBER(J170),I170=""),"Check: solid contacts without swings","OK"))))))</f>
        <v/>
      </c>
    </row>
    <row r="171" customFormat="false" ht="15" hidden="false" customHeight="false" outlineLevel="0" collapsed="false">
      <c r="B171" s="26"/>
      <c r="C171" s="27"/>
      <c r="D171" s="28" t="str">
        <f aca="false">IF(C171="","",IFERROR(INDEX(Players!$C$5:$C$104,MATCH(C171,Players!$B$5:$B$104,0)),"ID not found"))</f>
        <v/>
      </c>
      <c r="E171" s="27"/>
      <c r="F171" s="27"/>
      <c r="G171" s="28" t="str">
        <f aca="false">IF(F171="","",IFERROR(INDEX('Hitting Drills'!$D$6:$D$45,MATCH(F171,'Hitting Drills'!$B$6:$B$45,0)),"Not a hitting drill ID"))</f>
        <v/>
      </c>
      <c r="H171" s="27"/>
      <c r="I171" s="27"/>
      <c r="J171" s="27"/>
      <c r="K171" s="27"/>
      <c r="L171" s="27"/>
      <c r="M171" s="27"/>
      <c r="N171" s="27"/>
      <c r="O171" s="27"/>
      <c r="P171" s="27"/>
      <c r="Q171" s="27"/>
      <c r="R171" s="27"/>
      <c r="S171" s="29" t="str">
        <f aca="false">IF(OR(B171="",C171=""),"",IF(COUNTIFS($B$5:B171,B171,$C$5:C171,C171)=1,1,0))</f>
        <v/>
      </c>
      <c r="T171" s="29" t="str">
        <f aca="false">IF(OR(B171="",C171="",E171=""),"",IF(COUNTIFS($B$5:B171,B171,$C$5:C171,C171,$E$5:E171,E171)=1,1,0))</f>
        <v/>
      </c>
      <c r="U171" s="28" t="str">
        <f aca="false">IF(COUNTA(B171:C171,E171:F171,H171:P171)=0,"",IF(OR(B171="",C171="",E171=""),"Check: date, player, and context required",IF(AND(ISNUMBER(J171),ISNUMBER(I171),J171&gt;I171),"Check: solid contacts &gt; swings",IF(AND(ISNUMBER(L171),ISNUMBER(K171),L171&gt;K171),"Check: correct &gt; assessed decisions",IF(AND(ISNUMBER(N171),ISNUMBER(M171),N171&gt;M171),"Check: intended &gt; assessed landings",IF(AND(ISNUMBER(J171),I171=""),"Check: solid contacts without swings","OK"))))))</f>
        <v/>
      </c>
    </row>
    <row r="172" customFormat="false" ht="15" hidden="false" customHeight="false" outlineLevel="0" collapsed="false">
      <c r="B172" s="26"/>
      <c r="C172" s="27"/>
      <c r="D172" s="28" t="str">
        <f aca="false">IF(C172="","",IFERROR(INDEX(Players!$C$5:$C$104,MATCH(C172,Players!$B$5:$B$104,0)),"ID not found"))</f>
        <v/>
      </c>
      <c r="E172" s="27"/>
      <c r="F172" s="27"/>
      <c r="G172" s="28" t="str">
        <f aca="false">IF(F172="","",IFERROR(INDEX('Hitting Drills'!$D$6:$D$45,MATCH(F172,'Hitting Drills'!$B$6:$B$45,0)),"Not a hitting drill ID"))</f>
        <v/>
      </c>
      <c r="H172" s="27"/>
      <c r="I172" s="27"/>
      <c r="J172" s="27"/>
      <c r="K172" s="27"/>
      <c r="L172" s="27"/>
      <c r="M172" s="27"/>
      <c r="N172" s="27"/>
      <c r="O172" s="27"/>
      <c r="P172" s="27"/>
      <c r="Q172" s="27"/>
      <c r="R172" s="27"/>
      <c r="S172" s="29" t="str">
        <f aca="false">IF(OR(B172="",C172=""),"",IF(COUNTIFS($B$5:B172,B172,$C$5:C172,C172)=1,1,0))</f>
        <v/>
      </c>
      <c r="T172" s="29" t="str">
        <f aca="false">IF(OR(B172="",C172="",E172=""),"",IF(COUNTIFS($B$5:B172,B172,$C$5:C172,C172,$E$5:E172,E172)=1,1,0))</f>
        <v/>
      </c>
      <c r="U172" s="28" t="str">
        <f aca="false">IF(COUNTA(B172:C172,E172:F172,H172:P172)=0,"",IF(OR(B172="",C172="",E172=""),"Check: date, player, and context required",IF(AND(ISNUMBER(J172),ISNUMBER(I172),J172&gt;I172),"Check: solid contacts &gt; swings",IF(AND(ISNUMBER(L172),ISNUMBER(K172),L172&gt;K172),"Check: correct &gt; assessed decisions",IF(AND(ISNUMBER(N172),ISNUMBER(M172),N172&gt;M172),"Check: intended &gt; assessed landings",IF(AND(ISNUMBER(J172),I172=""),"Check: solid contacts without swings","OK"))))))</f>
        <v/>
      </c>
    </row>
    <row r="173" customFormat="false" ht="15" hidden="false" customHeight="false" outlineLevel="0" collapsed="false">
      <c r="B173" s="26"/>
      <c r="C173" s="27"/>
      <c r="D173" s="28" t="str">
        <f aca="false">IF(C173="","",IFERROR(INDEX(Players!$C$5:$C$104,MATCH(C173,Players!$B$5:$B$104,0)),"ID not found"))</f>
        <v/>
      </c>
      <c r="E173" s="27"/>
      <c r="F173" s="27"/>
      <c r="G173" s="28" t="str">
        <f aca="false">IF(F173="","",IFERROR(INDEX('Hitting Drills'!$D$6:$D$45,MATCH(F173,'Hitting Drills'!$B$6:$B$45,0)),"Not a hitting drill ID"))</f>
        <v/>
      </c>
      <c r="H173" s="27"/>
      <c r="I173" s="27"/>
      <c r="J173" s="27"/>
      <c r="K173" s="27"/>
      <c r="L173" s="27"/>
      <c r="M173" s="27"/>
      <c r="N173" s="27"/>
      <c r="O173" s="27"/>
      <c r="P173" s="27"/>
      <c r="Q173" s="27"/>
      <c r="R173" s="27"/>
      <c r="S173" s="29" t="str">
        <f aca="false">IF(OR(B173="",C173=""),"",IF(COUNTIFS($B$5:B173,B173,$C$5:C173,C173)=1,1,0))</f>
        <v/>
      </c>
      <c r="T173" s="29" t="str">
        <f aca="false">IF(OR(B173="",C173="",E173=""),"",IF(COUNTIFS($B$5:B173,B173,$C$5:C173,C173,$E$5:E173,E173)=1,1,0))</f>
        <v/>
      </c>
      <c r="U173" s="28" t="str">
        <f aca="false">IF(COUNTA(B173:C173,E173:F173,H173:P173)=0,"",IF(OR(B173="",C173="",E173=""),"Check: date, player, and context required",IF(AND(ISNUMBER(J173),ISNUMBER(I173),J173&gt;I173),"Check: solid contacts &gt; swings",IF(AND(ISNUMBER(L173),ISNUMBER(K173),L173&gt;K173),"Check: correct &gt; assessed decisions",IF(AND(ISNUMBER(N173),ISNUMBER(M173),N173&gt;M173),"Check: intended &gt; assessed landings",IF(AND(ISNUMBER(J173),I173=""),"Check: solid contacts without swings","OK"))))))</f>
        <v/>
      </c>
    </row>
    <row r="174" customFormat="false" ht="15" hidden="false" customHeight="false" outlineLevel="0" collapsed="false">
      <c r="B174" s="26"/>
      <c r="C174" s="27"/>
      <c r="D174" s="28" t="str">
        <f aca="false">IF(C174="","",IFERROR(INDEX(Players!$C$5:$C$104,MATCH(C174,Players!$B$5:$B$104,0)),"ID not found"))</f>
        <v/>
      </c>
      <c r="E174" s="27"/>
      <c r="F174" s="27"/>
      <c r="G174" s="28" t="str">
        <f aca="false">IF(F174="","",IFERROR(INDEX('Hitting Drills'!$D$6:$D$45,MATCH(F174,'Hitting Drills'!$B$6:$B$45,0)),"Not a hitting drill ID"))</f>
        <v/>
      </c>
      <c r="H174" s="27"/>
      <c r="I174" s="27"/>
      <c r="J174" s="27"/>
      <c r="K174" s="27"/>
      <c r="L174" s="27"/>
      <c r="M174" s="27"/>
      <c r="N174" s="27"/>
      <c r="O174" s="27"/>
      <c r="P174" s="27"/>
      <c r="Q174" s="27"/>
      <c r="R174" s="27"/>
      <c r="S174" s="29" t="str">
        <f aca="false">IF(OR(B174="",C174=""),"",IF(COUNTIFS($B$5:B174,B174,$C$5:C174,C174)=1,1,0))</f>
        <v/>
      </c>
      <c r="T174" s="29" t="str">
        <f aca="false">IF(OR(B174="",C174="",E174=""),"",IF(COUNTIFS($B$5:B174,B174,$C$5:C174,C174,$E$5:E174,E174)=1,1,0))</f>
        <v/>
      </c>
      <c r="U174" s="28" t="str">
        <f aca="false">IF(COUNTA(B174:C174,E174:F174,H174:P174)=0,"",IF(OR(B174="",C174="",E174=""),"Check: date, player, and context required",IF(AND(ISNUMBER(J174),ISNUMBER(I174),J174&gt;I174),"Check: solid contacts &gt; swings",IF(AND(ISNUMBER(L174),ISNUMBER(K174),L174&gt;K174),"Check: correct &gt; assessed decisions",IF(AND(ISNUMBER(N174),ISNUMBER(M174),N174&gt;M174),"Check: intended &gt; assessed landings",IF(AND(ISNUMBER(J174),I174=""),"Check: solid contacts without swings","OK"))))))</f>
        <v/>
      </c>
    </row>
    <row r="175" customFormat="false" ht="15" hidden="false" customHeight="false" outlineLevel="0" collapsed="false">
      <c r="B175" s="26"/>
      <c r="C175" s="27"/>
      <c r="D175" s="28" t="str">
        <f aca="false">IF(C175="","",IFERROR(INDEX(Players!$C$5:$C$104,MATCH(C175,Players!$B$5:$B$104,0)),"ID not found"))</f>
        <v/>
      </c>
      <c r="E175" s="27"/>
      <c r="F175" s="27"/>
      <c r="G175" s="28" t="str">
        <f aca="false">IF(F175="","",IFERROR(INDEX('Hitting Drills'!$D$6:$D$45,MATCH(F175,'Hitting Drills'!$B$6:$B$45,0)),"Not a hitting drill ID"))</f>
        <v/>
      </c>
      <c r="H175" s="27"/>
      <c r="I175" s="27"/>
      <c r="J175" s="27"/>
      <c r="K175" s="27"/>
      <c r="L175" s="27"/>
      <c r="M175" s="27"/>
      <c r="N175" s="27"/>
      <c r="O175" s="27"/>
      <c r="P175" s="27"/>
      <c r="Q175" s="27"/>
      <c r="R175" s="27"/>
      <c r="S175" s="29" t="str">
        <f aca="false">IF(OR(B175="",C175=""),"",IF(COUNTIFS($B$5:B175,B175,$C$5:C175,C175)=1,1,0))</f>
        <v/>
      </c>
      <c r="T175" s="29" t="str">
        <f aca="false">IF(OR(B175="",C175="",E175=""),"",IF(COUNTIFS($B$5:B175,B175,$C$5:C175,C175,$E$5:E175,E175)=1,1,0))</f>
        <v/>
      </c>
      <c r="U175" s="28" t="str">
        <f aca="false">IF(COUNTA(B175:C175,E175:F175,H175:P175)=0,"",IF(OR(B175="",C175="",E175=""),"Check: date, player, and context required",IF(AND(ISNUMBER(J175),ISNUMBER(I175),J175&gt;I175),"Check: solid contacts &gt; swings",IF(AND(ISNUMBER(L175),ISNUMBER(K175),L175&gt;K175),"Check: correct &gt; assessed decisions",IF(AND(ISNUMBER(N175),ISNUMBER(M175),N175&gt;M175),"Check: intended &gt; assessed landings",IF(AND(ISNUMBER(J175),I175=""),"Check: solid contacts without swings","OK"))))))</f>
        <v/>
      </c>
    </row>
    <row r="176" customFormat="false" ht="15" hidden="false" customHeight="false" outlineLevel="0" collapsed="false">
      <c r="B176" s="26"/>
      <c r="C176" s="27"/>
      <c r="D176" s="28" t="str">
        <f aca="false">IF(C176="","",IFERROR(INDEX(Players!$C$5:$C$104,MATCH(C176,Players!$B$5:$B$104,0)),"ID not found"))</f>
        <v/>
      </c>
      <c r="E176" s="27"/>
      <c r="F176" s="27"/>
      <c r="G176" s="28" t="str">
        <f aca="false">IF(F176="","",IFERROR(INDEX('Hitting Drills'!$D$6:$D$45,MATCH(F176,'Hitting Drills'!$B$6:$B$45,0)),"Not a hitting drill ID"))</f>
        <v/>
      </c>
      <c r="H176" s="27"/>
      <c r="I176" s="27"/>
      <c r="J176" s="27"/>
      <c r="K176" s="27"/>
      <c r="L176" s="27"/>
      <c r="M176" s="27"/>
      <c r="N176" s="27"/>
      <c r="O176" s="27"/>
      <c r="P176" s="27"/>
      <c r="Q176" s="27"/>
      <c r="R176" s="27"/>
      <c r="S176" s="29" t="str">
        <f aca="false">IF(OR(B176="",C176=""),"",IF(COUNTIFS($B$5:B176,B176,$C$5:C176,C176)=1,1,0))</f>
        <v/>
      </c>
      <c r="T176" s="29" t="str">
        <f aca="false">IF(OR(B176="",C176="",E176=""),"",IF(COUNTIFS($B$5:B176,B176,$C$5:C176,C176,$E$5:E176,E176)=1,1,0))</f>
        <v/>
      </c>
      <c r="U176" s="28" t="str">
        <f aca="false">IF(COUNTA(B176:C176,E176:F176,H176:P176)=0,"",IF(OR(B176="",C176="",E176=""),"Check: date, player, and context required",IF(AND(ISNUMBER(J176),ISNUMBER(I176),J176&gt;I176),"Check: solid contacts &gt; swings",IF(AND(ISNUMBER(L176),ISNUMBER(K176),L176&gt;K176),"Check: correct &gt; assessed decisions",IF(AND(ISNUMBER(N176),ISNUMBER(M176),N176&gt;M176),"Check: intended &gt; assessed landings",IF(AND(ISNUMBER(J176),I176=""),"Check: solid contacts without swings","OK"))))))</f>
        <v/>
      </c>
    </row>
    <row r="177" customFormat="false" ht="15" hidden="false" customHeight="false" outlineLevel="0" collapsed="false">
      <c r="B177" s="26"/>
      <c r="C177" s="27"/>
      <c r="D177" s="28" t="str">
        <f aca="false">IF(C177="","",IFERROR(INDEX(Players!$C$5:$C$104,MATCH(C177,Players!$B$5:$B$104,0)),"ID not found"))</f>
        <v/>
      </c>
      <c r="E177" s="27"/>
      <c r="F177" s="27"/>
      <c r="G177" s="28" t="str">
        <f aca="false">IF(F177="","",IFERROR(INDEX('Hitting Drills'!$D$6:$D$45,MATCH(F177,'Hitting Drills'!$B$6:$B$45,0)),"Not a hitting drill ID"))</f>
        <v/>
      </c>
      <c r="H177" s="27"/>
      <c r="I177" s="27"/>
      <c r="J177" s="27"/>
      <c r="K177" s="27"/>
      <c r="L177" s="27"/>
      <c r="M177" s="27"/>
      <c r="N177" s="27"/>
      <c r="O177" s="27"/>
      <c r="P177" s="27"/>
      <c r="Q177" s="27"/>
      <c r="R177" s="27"/>
      <c r="S177" s="29" t="str">
        <f aca="false">IF(OR(B177="",C177=""),"",IF(COUNTIFS($B$5:B177,B177,$C$5:C177,C177)=1,1,0))</f>
        <v/>
      </c>
      <c r="T177" s="29" t="str">
        <f aca="false">IF(OR(B177="",C177="",E177=""),"",IF(COUNTIFS($B$5:B177,B177,$C$5:C177,C177,$E$5:E177,E177)=1,1,0))</f>
        <v/>
      </c>
      <c r="U177" s="28" t="str">
        <f aca="false">IF(COUNTA(B177:C177,E177:F177,H177:P177)=0,"",IF(OR(B177="",C177="",E177=""),"Check: date, player, and context required",IF(AND(ISNUMBER(J177),ISNUMBER(I177),J177&gt;I177),"Check: solid contacts &gt; swings",IF(AND(ISNUMBER(L177),ISNUMBER(K177),L177&gt;K177),"Check: correct &gt; assessed decisions",IF(AND(ISNUMBER(N177),ISNUMBER(M177),N177&gt;M177),"Check: intended &gt; assessed landings",IF(AND(ISNUMBER(J177),I177=""),"Check: solid contacts without swings","OK"))))))</f>
        <v/>
      </c>
    </row>
    <row r="178" customFormat="false" ht="15" hidden="false" customHeight="false" outlineLevel="0" collapsed="false">
      <c r="B178" s="26"/>
      <c r="C178" s="27"/>
      <c r="D178" s="28" t="str">
        <f aca="false">IF(C178="","",IFERROR(INDEX(Players!$C$5:$C$104,MATCH(C178,Players!$B$5:$B$104,0)),"ID not found"))</f>
        <v/>
      </c>
      <c r="E178" s="27"/>
      <c r="F178" s="27"/>
      <c r="G178" s="28" t="str">
        <f aca="false">IF(F178="","",IFERROR(INDEX('Hitting Drills'!$D$6:$D$45,MATCH(F178,'Hitting Drills'!$B$6:$B$45,0)),"Not a hitting drill ID"))</f>
        <v/>
      </c>
      <c r="H178" s="27"/>
      <c r="I178" s="27"/>
      <c r="J178" s="27"/>
      <c r="K178" s="27"/>
      <c r="L178" s="27"/>
      <c r="M178" s="27"/>
      <c r="N178" s="27"/>
      <c r="O178" s="27"/>
      <c r="P178" s="27"/>
      <c r="Q178" s="27"/>
      <c r="R178" s="27"/>
      <c r="S178" s="29" t="str">
        <f aca="false">IF(OR(B178="",C178=""),"",IF(COUNTIFS($B$5:B178,B178,$C$5:C178,C178)=1,1,0))</f>
        <v/>
      </c>
      <c r="T178" s="29" t="str">
        <f aca="false">IF(OR(B178="",C178="",E178=""),"",IF(COUNTIFS($B$5:B178,B178,$C$5:C178,C178,$E$5:E178,E178)=1,1,0))</f>
        <v/>
      </c>
      <c r="U178" s="28" t="str">
        <f aca="false">IF(COUNTA(B178:C178,E178:F178,H178:P178)=0,"",IF(OR(B178="",C178="",E178=""),"Check: date, player, and context required",IF(AND(ISNUMBER(J178),ISNUMBER(I178),J178&gt;I178),"Check: solid contacts &gt; swings",IF(AND(ISNUMBER(L178),ISNUMBER(K178),L178&gt;K178),"Check: correct &gt; assessed decisions",IF(AND(ISNUMBER(N178),ISNUMBER(M178),N178&gt;M178),"Check: intended &gt; assessed landings",IF(AND(ISNUMBER(J178),I178=""),"Check: solid contacts without swings","OK"))))))</f>
        <v/>
      </c>
    </row>
    <row r="179" customFormat="false" ht="15" hidden="false" customHeight="false" outlineLevel="0" collapsed="false">
      <c r="B179" s="26"/>
      <c r="C179" s="27"/>
      <c r="D179" s="28" t="str">
        <f aca="false">IF(C179="","",IFERROR(INDEX(Players!$C$5:$C$104,MATCH(C179,Players!$B$5:$B$104,0)),"ID not found"))</f>
        <v/>
      </c>
      <c r="E179" s="27"/>
      <c r="F179" s="27"/>
      <c r="G179" s="28" t="str">
        <f aca="false">IF(F179="","",IFERROR(INDEX('Hitting Drills'!$D$6:$D$45,MATCH(F179,'Hitting Drills'!$B$6:$B$45,0)),"Not a hitting drill ID"))</f>
        <v/>
      </c>
      <c r="H179" s="27"/>
      <c r="I179" s="27"/>
      <c r="J179" s="27"/>
      <c r="K179" s="27"/>
      <c r="L179" s="27"/>
      <c r="M179" s="27"/>
      <c r="N179" s="27"/>
      <c r="O179" s="27"/>
      <c r="P179" s="27"/>
      <c r="Q179" s="27"/>
      <c r="R179" s="27"/>
      <c r="S179" s="29" t="str">
        <f aca="false">IF(OR(B179="",C179=""),"",IF(COUNTIFS($B$5:B179,B179,$C$5:C179,C179)=1,1,0))</f>
        <v/>
      </c>
      <c r="T179" s="29" t="str">
        <f aca="false">IF(OR(B179="",C179="",E179=""),"",IF(COUNTIFS($B$5:B179,B179,$C$5:C179,C179,$E$5:E179,E179)=1,1,0))</f>
        <v/>
      </c>
      <c r="U179" s="28" t="str">
        <f aca="false">IF(COUNTA(B179:C179,E179:F179,H179:P179)=0,"",IF(OR(B179="",C179="",E179=""),"Check: date, player, and context required",IF(AND(ISNUMBER(J179),ISNUMBER(I179),J179&gt;I179),"Check: solid contacts &gt; swings",IF(AND(ISNUMBER(L179),ISNUMBER(K179),L179&gt;K179),"Check: correct &gt; assessed decisions",IF(AND(ISNUMBER(N179),ISNUMBER(M179),N179&gt;M179),"Check: intended &gt; assessed landings",IF(AND(ISNUMBER(J179),I179=""),"Check: solid contacts without swings","OK"))))))</f>
        <v/>
      </c>
    </row>
    <row r="180" customFormat="false" ht="15" hidden="false" customHeight="false" outlineLevel="0" collapsed="false">
      <c r="B180" s="26"/>
      <c r="C180" s="27"/>
      <c r="D180" s="28" t="str">
        <f aca="false">IF(C180="","",IFERROR(INDEX(Players!$C$5:$C$104,MATCH(C180,Players!$B$5:$B$104,0)),"ID not found"))</f>
        <v/>
      </c>
      <c r="E180" s="27"/>
      <c r="F180" s="27"/>
      <c r="G180" s="28" t="str">
        <f aca="false">IF(F180="","",IFERROR(INDEX('Hitting Drills'!$D$6:$D$45,MATCH(F180,'Hitting Drills'!$B$6:$B$45,0)),"Not a hitting drill ID"))</f>
        <v/>
      </c>
      <c r="H180" s="27"/>
      <c r="I180" s="27"/>
      <c r="J180" s="27"/>
      <c r="K180" s="27"/>
      <c r="L180" s="27"/>
      <c r="M180" s="27"/>
      <c r="N180" s="27"/>
      <c r="O180" s="27"/>
      <c r="P180" s="27"/>
      <c r="Q180" s="27"/>
      <c r="R180" s="27"/>
      <c r="S180" s="29" t="str">
        <f aca="false">IF(OR(B180="",C180=""),"",IF(COUNTIFS($B$5:B180,B180,$C$5:C180,C180)=1,1,0))</f>
        <v/>
      </c>
      <c r="T180" s="29" t="str">
        <f aca="false">IF(OR(B180="",C180="",E180=""),"",IF(COUNTIFS($B$5:B180,B180,$C$5:C180,C180,$E$5:E180,E180)=1,1,0))</f>
        <v/>
      </c>
      <c r="U180" s="28" t="str">
        <f aca="false">IF(COUNTA(B180:C180,E180:F180,H180:P180)=0,"",IF(OR(B180="",C180="",E180=""),"Check: date, player, and context required",IF(AND(ISNUMBER(J180),ISNUMBER(I180),J180&gt;I180),"Check: solid contacts &gt; swings",IF(AND(ISNUMBER(L180),ISNUMBER(K180),L180&gt;K180),"Check: correct &gt; assessed decisions",IF(AND(ISNUMBER(N180),ISNUMBER(M180),N180&gt;M180),"Check: intended &gt; assessed landings",IF(AND(ISNUMBER(J180),I180=""),"Check: solid contacts without swings","OK"))))))</f>
        <v/>
      </c>
    </row>
    <row r="181" customFormat="false" ht="15" hidden="false" customHeight="false" outlineLevel="0" collapsed="false">
      <c r="B181" s="26"/>
      <c r="C181" s="27"/>
      <c r="D181" s="28" t="str">
        <f aca="false">IF(C181="","",IFERROR(INDEX(Players!$C$5:$C$104,MATCH(C181,Players!$B$5:$B$104,0)),"ID not found"))</f>
        <v/>
      </c>
      <c r="E181" s="27"/>
      <c r="F181" s="27"/>
      <c r="G181" s="28" t="str">
        <f aca="false">IF(F181="","",IFERROR(INDEX('Hitting Drills'!$D$6:$D$45,MATCH(F181,'Hitting Drills'!$B$6:$B$45,0)),"Not a hitting drill ID"))</f>
        <v/>
      </c>
      <c r="H181" s="27"/>
      <c r="I181" s="27"/>
      <c r="J181" s="27"/>
      <c r="K181" s="27"/>
      <c r="L181" s="27"/>
      <c r="M181" s="27"/>
      <c r="N181" s="27"/>
      <c r="O181" s="27"/>
      <c r="P181" s="27"/>
      <c r="Q181" s="27"/>
      <c r="R181" s="27"/>
      <c r="S181" s="29" t="str">
        <f aca="false">IF(OR(B181="",C181=""),"",IF(COUNTIFS($B$5:B181,B181,$C$5:C181,C181)=1,1,0))</f>
        <v/>
      </c>
      <c r="T181" s="29" t="str">
        <f aca="false">IF(OR(B181="",C181="",E181=""),"",IF(COUNTIFS($B$5:B181,B181,$C$5:C181,C181,$E$5:E181,E181)=1,1,0))</f>
        <v/>
      </c>
      <c r="U181" s="28" t="str">
        <f aca="false">IF(COUNTA(B181:C181,E181:F181,H181:P181)=0,"",IF(OR(B181="",C181="",E181=""),"Check: date, player, and context required",IF(AND(ISNUMBER(J181),ISNUMBER(I181),J181&gt;I181),"Check: solid contacts &gt; swings",IF(AND(ISNUMBER(L181),ISNUMBER(K181),L181&gt;K181),"Check: correct &gt; assessed decisions",IF(AND(ISNUMBER(N181),ISNUMBER(M181),N181&gt;M181),"Check: intended &gt; assessed landings",IF(AND(ISNUMBER(J181),I181=""),"Check: solid contacts without swings","OK"))))))</f>
        <v/>
      </c>
    </row>
    <row r="182" customFormat="false" ht="15" hidden="false" customHeight="false" outlineLevel="0" collapsed="false">
      <c r="B182" s="26"/>
      <c r="C182" s="27"/>
      <c r="D182" s="28" t="str">
        <f aca="false">IF(C182="","",IFERROR(INDEX(Players!$C$5:$C$104,MATCH(C182,Players!$B$5:$B$104,0)),"ID not found"))</f>
        <v/>
      </c>
      <c r="E182" s="27"/>
      <c r="F182" s="27"/>
      <c r="G182" s="28" t="str">
        <f aca="false">IF(F182="","",IFERROR(INDEX('Hitting Drills'!$D$6:$D$45,MATCH(F182,'Hitting Drills'!$B$6:$B$45,0)),"Not a hitting drill ID"))</f>
        <v/>
      </c>
      <c r="H182" s="27"/>
      <c r="I182" s="27"/>
      <c r="J182" s="27"/>
      <c r="K182" s="27"/>
      <c r="L182" s="27"/>
      <c r="M182" s="27"/>
      <c r="N182" s="27"/>
      <c r="O182" s="27"/>
      <c r="P182" s="27"/>
      <c r="Q182" s="27"/>
      <c r="R182" s="27"/>
      <c r="S182" s="29" t="str">
        <f aca="false">IF(OR(B182="",C182=""),"",IF(COUNTIFS($B$5:B182,B182,$C$5:C182,C182)=1,1,0))</f>
        <v/>
      </c>
      <c r="T182" s="29" t="str">
        <f aca="false">IF(OR(B182="",C182="",E182=""),"",IF(COUNTIFS($B$5:B182,B182,$C$5:C182,C182,$E$5:E182,E182)=1,1,0))</f>
        <v/>
      </c>
      <c r="U182" s="28" t="str">
        <f aca="false">IF(COUNTA(B182:C182,E182:F182,H182:P182)=0,"",IF(OR(B182="",C182="",E182=""),"Check: date, player, and context required",IF(AND(ISNUMBER(J182),ISNUMBER(I182),J182&gt;I182),"Check: solid contacts &gt; swings",IF(AND(ISNUMBER(L182),ISNUMBER(K182),L182&gt;K182),"Check: correct &gt; assessed decisions",IF(AND(ISNUMBER(N182),ISNUMBER(M182),N182&gt;M182),"Check: intended &gt; assessed landings",IF(AND(ISNUMBER(J182),I182=""),"Check: solid contacts without swings","OK"))))))</f>
        <v/>
      </c>
    </row>
    <row r="183" customFormat="false" ht="15" hidden="false" customHeight="false" outlineLevel="0" collapsed="false">
      <c r="B183" s="26"/>
      <c r="C183" s="27"/>
      <c r="D183" s="28" t="str">
        <f aca="false">IF(C183="","",IFERROR(INDEX(Players!$C$5:$C$104,MATCH(C183,Players!$B$5:$B$104,0)),"ID not found"))</f>
        <v/>
      </c>
      <c r="E183" s="27"/>
      <c r="F183" s="27"/>
      <c r="G183" s="28" t="str">
        <f aca="false">IF(F183="","",IFERROR(INDEX('Hitting Drills'!$D$6:$D$45,MATCH(F183,'Hitting Drills'!$B$6:$B$45,0)),"Not a hitting drill ID"))</f>
        <v/>
      </c>
      <c r="H183" s="27"/>
      <c r="I183" s="27"/>
      <c r="J183" s="27"/>
      <c r="K183" s="27"/>
      <c r="L183" s="27"/>
      <c r="M183" s="27"/>
      <c r="N183" s="27"/>
      <c r="O183" s="27"/>
      <c r="P183" s="27"/>
      <c r="Q183" s="27"/>
      <c r="R183" s="27"/>
      <c r="S183" s="29" t="str">
        <f aca="false">IF(OR(B183="",C183=""),"",IF(COUNTIFS($B$5:B183,B183,$C$5:C183,C183)=1,1,0))</f>
        <v/>
      </c>
      <c r="T183" s="29" t="str">
        <f aca="false">IF(OR(B183="",C183="",E183=""),"",IF(COUNTIFS($B$5:B183,B183,$C$5:C183,C183,$E$5:E183,E183)=1,1,0))</f>
        <v/>
      </c>
      <c r="U183" s="28" t="str">
        <f aca="false">IF(COUNTA(B183:C183,E183:F183,H183:P183)=0,"",IF(OR(B183="",C183="",E183=""),"Check: date, player, and context required",IF(AND(ISNUMBER(J183),ISNUMBER(I183),J183&gt;I183),"Check: solid contacts &gt; swings",IF(AND(ISNUMBER(L183),ISNUMBER(K183),L183&gt;K183),"Check: correct &gt; assessed decisions",IF(AND(ISNUMBER(N183),ISNUMBER(M183),N183&gt;M183),"Check: intended &gt; assessed landings",IF(AND(ISNUMBER(J183),I183=""),"Check: solid contacts without swings","OK"))))))</f>
        <v/>
      </c>
    </row>
    <row r="184" customFormat="false" ht="15" hidden="false" customHeight="false" outlineLevel="0" collapsed="false">
      <c r="B184" s="26"/>
      <c r="C184" s="27"/>
      <c r="D184" s="28" t="str">
        <f aca="false">IF(C184="","",IFERROR(INDEX(Players!$C$5:$C$104,MATCH(C184,Players!$B$5:$B$104,0)),"ID not found"))</f>
        <v/>
      </c>
      <c r="E184" s="27"/>
      <c r="F184" s="27"/>
      <c r="G184" s="28" t="str">
        <f aca="false">IF(F184="","",IFERROR(INDEX('Hitting Drills'!$D$6:$D$45,MATCH(F184,'Hitting Drills'!$B$6:$B$45,0)),"Not a hitting drill ID"))</f>
        <v/>
      </c>
      <c r="H184" s="27"/>
      <c r="I184" s="27"/>
      <c r="J184" s="27"/>
      <c r="K184" s="27"/>
      <c r="L184" s="27"/>
      <c r="M184" s="27"/>
      <c r="N184" s="27"/>
      <c r="O184" s="27"/>
      <c r="P184" s="27"/>
      <c r="Q184" s="27"/>
      <c r="R184" s="27"/>
      <c r="S184" s="29" t="str">
        <f aca="false">IF(OR(B184="",C184=""),"",IF(COUNTIFS($B$5:B184,B184,$C$5:C184,C184)=1,1,0))</f>
        <v/>
      </c>
      <c r="T184" s="29" t="str">
        <f aca="false">IF(OR(B184="",C184="",E184=""),"",IF(COUNTIFS($B$5:B184,B184,$C$5:C184,C184,$E$5:E184,E184)=1,1,0))</f>
        <v/>
      </c>
      <c r="U184" s="28" t="str">
        <f aca="false">IF(COUNTA(B184:C184,E184:F184,H184:P184)=0,"",IF(OR(B184="",C184="",E184=""),"Check: date, player, and context required",IF(AND(ISNUMBER(J184),ISNUMBER(I184),J184&gt;I184),"Check: solid contacts &gt; swings",IF(AND(ISNUMBER(L184),ISNUMBER(K184),L184&gt;K184),"Check: correct &gt; assessed decisions",IF(AND(ISNUMBER(N184),ISNUMBER(M184),N184&gt;M184),"Check: intended &gt; assessed landings",IF(AND(ISNUMBER(J184),I184=""),"Check: solid contacts without swings","OK"))))))</f>
        <v/>
      </c>
    </row>
    <row r="185" customFormat="false" ht="15" hidden="false" customHeight="false" outlineLevel="0" collapsed="false">
      <c r="B185" s="26"/>
      <c r="C185" s="27"/>
      <c r="D185" s="28" t="str">
        <f aca="false">IF(C185="","",IFERROR(INDEX(Players!$C$5:$C$104,MATCH(C185,Players!$B$5:$B$104,0)),"ID not found"))</f>
        <v/>
      </c>
      <c r="E185" s="27"/>
      <c r="F185" s="27"/>
      <c r="G185" s="28" t="str">
        <f aca="false">IF(F185="","",IFERROR(INDEX('Hitting Drills'!$D$6:$D$45,MATCH(F185,'Hitting Drills'!$B$6:$B$45,0)),"Not a hitting drill ID"))</f>
        <v/>
      </c>
      <c r="H185" s="27"/>
      <c r="I185" s="27"/>
      <c r="J185" s="27"/>
      <c r="K185" s="27"/>
      <c r="L185" s="27"/>
      <c r="M185" s="27"/>
      <c r="N185" s="27"/>
      <c r="O185" s="27"/>
      <c r="P185" s="27"/>
      <c r="Q185" s="27"/>
      <c r="R185" s="27"/>
      <c r="S185" s="29" t="str">
        <f aca="false">IF(OR(B185="",C185=""),"",IF(COUNTIFS($B$5:B185,B185,$C$5:C185,C185)=1,1,0))</f>
        <v/>
      </c>
      <c r="T185" s="29" t="str">
        <f aca="false">IF(OR(B185="",C185="",E185=""),"",IF(COUNTIFS($B$5:B185,B185,$C$5:C185,C185,$E$5:E185,E185)=1,1,0))</f>
        <v/>
      </c>
      <c r="U185" s="28" t="str">
        <f aca="false">IF(COUNTA(B185:C185,E185:F185,H185:P185)=0,"",IF(OR(B185="",C185="",E185=""),"Check: date, player, and context required",IF(AND(ISNUMBER(J185),ISNUMBER(I185),J185&gt;I185),"Check: solid contacts &gt; swings",IF(AND(ISNUMBER(L185),ISNUMBER(K185),L185&gt;K185),"Check: correct &gt; assessed decisions",IF(AND(ISNUMBER(N185),ISNUMBER(M185),N185&gt;M185),"Check: intended &gt; assessed landings",IF(AND(ISNUMBER(J185),I185=""),"Check: solid contacts without swings","OK"))))))</f>
        <v/>
      </c>
    </row>
    <row r="186" customFormat="false" ht="15" hidden="false" customHeight="false" outlineLevel="0" collapsed="false">
      <c r="B186" s="26"/>
      <c r="C186" s="27"/>
      <c r="D186" s="28" t="str">
        <f aca="false">IF(C186="","",IFERROR(INDEX(Players!$C$5:$C$104,MATCH(C186,Players!$B$5:$B$104,0)),"ID not found"))</f>
        <v/>
      </c>
      <c r="E186" s="27"/>
      <c r="F186" s="27"/>
      <c r="G186" s="28" t="str">
        <f aca="false">IF(F186="","",IFERROR(INDEX('Hitting Drills'!$D$6:$D$45,MATCH(F186,'Hitting Drills'!$B$6:$B$45,0)),"Not a hitting drill ID"))</f>
        <v/>
      </c>
      <c r="H186" s="27"/>
      <c r="I186" s="27"/>
      <c r="J186" s="27"/>
      <c r="K186" s="27"/>
      <c r="L186" s="27"/>
      <c r="M186" s="27"/>
      <c r="N186" s="27"/>
      <c r="O186" s="27"/>
      <c r="P186" s="27"/>
      <c r="Q186" s="27"/>
      <c r="R186" s="27"/>
      <c r="S186" s="29" t="str">
        <f aca="false">IF(OR(B186="",C186=""),"",IF(COUNTIFS($B$5:B186,B186,$C$5:C186,C186)=1,1,0))</f>
        <v/>
      </c>
      <c r="T186" s="29" t="str">
        <f aca="false">IF(OR(B186="",C186="",E186=""),"",IF(COUNTIFS($B$5:B186,B186,$C$5:C186,C186,$E$5:E186,E186)=1,1,0))</f>
        <v/>
      </c>
      <c r="U186" s="28" t="str">
        <f aca="false">IF(COUNTA(B186:C186,E186:F186,H186:P186)=0,"",IF(OR(B186="",C186="",E186=""),"Check: date, player, and context required",IF(AND(ISNUMBER(J186),ISNUMBER(I186),J186&gt;I186),"Check: solid contacts &gt; swings",IF(AND(ISNUMBER(L186),ISNUMBER(K186),L186&gt;K186),"Check: correct &gt; assessed decisions",IF(AND(ISNUMBER(N186),ISNUMBER(M186),N186&gt;M186),"Check: intended &gt; assessed landings",IF(AND(ISNUMBER(J186),I186=""),"Check: solid contacts without swings","OK"))))))</f>
        <v/>
      </c>
    </row>
    <row r="187" customFormat="false" ht="15" hidden="false" customHeight="false" outlineLevel="0" collapsed="false">
      <c r="B187" s="26"/>
      <c r="C187" s="27"/>
      <c r="D187" s="28" t="str">
        <f aca="false">IF(C187="","",IFERROR(INDEX(Players!$C$5:$C$104,MATCH(C187,Players!$B$5:$B$104,0)),"ID not found"))</f>
        <v/>
      </c>
      <c r="E187" s="27"/>
      <c r="F187" s="27"/>
      <c r="G187" s="28" t="str">
        <f aca="false">IF(F187="","",IFERROR(INDEX('Hitting Drills'!$D$6:$D$45,MATCH(F187,'Hitting Drills'!$B$6:$B$45,0)),"Not a hitting drill ID"))</f>
        <v/>
      </c>
      <c r="H187" s="27"/>
      <c r="I187" s="27"/>
      <c r="J187" s="27"/>
      <c r="K187" s="27"/>
      <c r="L187" s="27"/>
      <c r="M187" s="27"/>
      <c r="N187" s="27"/>
      <c r="O187" s="27"/>
      <c r="P187" s="27"/>
      <c r="Q187" s="27"/>
      <c r="R187" s="27"/>
      <c r="S187" s="29" t="str">
        <f aca="false">IF(OR(B187="",C187=""),"",IF(COUNTIFS($B$5:B187,B187,$C$5:C187,C187)=1,1,0))</f>
        <v/>
      </c>
      <c r="T187" s="29" t="str">
        <f aca="false">IF(OR(B187="",C187="",E187=""),"",IF(COUNTIFS($B$5:B187,B187,$C$5:C187,C187,$E$5:E187,E187)=1,1,0))</f>
        <v/>
      </c>
      <c r="U187" s="28" t="str">
        <f aca="false">IF(COUNTA(B187:C187,E187:F187,H187:P187)=0,"",IF(OR(B187="",C187="",E187=""),"Check: date, player, and context required",IF(AND(ISNUMBER(J187),ISNUMBER(I187),J187&gt;I187),"Check: solid contacts &gt; swings",IF(AND(ISNUMBER(L187),ISNUMBER(K187),L187&gt;K187),"Check: correct &gt; assessed decisions",IF(AND(ISNUMBER(N187),ISNUMBER(M187),N187&gt;M187),"Check: intended &gt; assessed landings",IF(AND(ISNUMBER(J187),I187=""),"Check: solid contacts without swings","OK"))))))</f>
        <v/>
      </c>
    </row>
    <row r="188" customFormat="false" ht="15" hidden="false" customHeight="false" outlineLevel="0" collapsed="false">
      <c r="B188" s="26"/>
      <c r="C188" s="27"/>
      <c r="D188" s="28" t="str">
        <f aca="false">IF(C188="","",IFERROR(INDEX(Players!$C$5:$C$104,MATCH(C188,Players!$B$5:$B$104,0)),"ID not found"))</f>
        <v/>
      </c>
      <c r="E188" s="27"/>
      <c r="F188" s="27"/>
      <c r="G188" s="28" t="str">
        <f aca="false">IF(F188="","",IFERROR(INDEX('Hitting Drills'!$D$6:$D$45,MATCH(F188,'Hitting Drills'!$B$6:$B$45,0)),"Not a hitting drill ID"))</f>
        <v/>
      </c>
      <c r="H188" s="27"/>
      <c r="I188" s="27"/>
      <c r="J188" s="27"/>
      <c r="K188" s="27"/>
      <c r="L188" s="27"/>
      <c r="M188" s="27"/>
      <c r="N188" s="27"/>
      <c r="O188" s="27"/>
      <c r="P188" s="27"/>
      <c r="Q188" s="27"/>
      <c r="R188" s="27"/>
      <c r="S188" s="29" t="str">
        <f aca="false">IF(OR(B188="",C188=""),"",IF(COUNTIFS($B$5:B188,B188,$C$5:C188,C188)=1,1,0))</f>
        <v/>
      </c>
      <c r="T188" s="29" t="str">
        <f aca="false">IF(OR(B188="",C188="",E188=""),"",IF(COUNTIFS($B$5:B188,B188,$C$5:C188,C188,$E$5:E188,E188)=1,1,0))</f>
        <v/>
      </c>
      <c r="U188" s="28" t="str">
        <f aca="false">IF(COUNTA(B188:C188,E188:F188,H188:P188)=0,"",IF(OR(B188="",C188="",E188=""),"Check: date, player, and context required",IF(AND(ISNUMBER(J188),ISNUMBER(I188),J188&gt;I188),"Check: solid contacts &gt; swings",IF(AND(ISNUMBER(L188),ISNUMBER(K188),L188&gt;K188),"Check: correct &gt; assessed decisions",IF(AND(ISNUMBER(N188),ISNUMBER(M188),N188&gt;M188),"Check: intended &gt; assessed landings",IF(AND(ISNUMBER(J188),I188=""),"Check: solid contacts without swings","OK"))))))</f>
        <v/>
      </c>
    </row>
    <row r="189" customFormat="false" ht="15" hidden="false" customHeight="false" outlineLevel="0" collapsed="false">
      <c r="B189" s="26"/>
      <c r="C189" s="27"/>
      <c r="D189" s="28" t="str">
        <f aca="false">IF(C189="","",IFERROR(INDEX(Players!$C$5:$C$104,MATCH(C189,Players!$B$5:$B$104,0)),"ID not found"))</f>
        <v/>
      </c>
      <c r="E189" s="27"/>
      <c r="F189" s="27"/>
      <c r="G189" s="28" t="str">
        <f aca="false">IF(F189="","",IFERROR(INDEX('Hitting Drills'!$D$6:$D$45,MATCH(F189,'Hitting Drills'!$B$6:$B$45,0)),"Not a hitting drill ID"))</f>
        <v/>
      </c>
      <c r="H189" s="27"/>
      <c r="I189" s="27"/>
      <c r="J189" s="27"/>
      <c r="K189" s="27"/>
      <c r="L189" s="27"/>
      <c r="M189" s="27"/>
      <c r="N189" s="27"/>
      <c r="O189" s="27"/>
      <c r="P189" s="27"/>
      <c r="Q189" s="27"/>
      <c r="R189" s="27"/>
      <c r="S189" s="29" t="str">
        <f aca="false">IF(OR(B189="",C189=""),"",IF(COUNTIFS($B$5:B189,B189,$C$5:C189,C189)=1,1,0))</f>
        <v/>
      </c>
      <c r="T189" s="29" t="str">
        <f aca="false">IF(OR(B189="",C189="",E189=""),"",IF(COUNTIFS($B$5:B189,B189,$C$5:C189,C189,$E$5:E189,E189)=1,1,0))</f>
        <v/>
      </c>
      <c r="U189" s="28" t="str">
        <f aca="false">IF(COUNTA(B189:C189,E189:F189,H189:P189)=0,"",IF(OR(B189="",C189="",E189=""),"Check: date, player, and context required",IF(AND(ISNUMBER(J189),ISNUMBER(I189),J189&gt;I189),"Check: solid contacts &gt; swings",IF(AND(ISNUMBER(L189),ISNUMBER(K189),L189&gt;K189),"Check: correct &gt; assessed decisions",IF(AND(ISNUMBER(N189),ISNUMBER(M189),N189&gt;M189),"Check: intended &gt; assessed landings",IF(AND(ISNUMBER(J189),I189=""),"Check: solid contacts without swings","OK"))))))</f>
        <v/>
      </c>
    </row>
    <row r="190" customFormat="false" ht="15" hidden="false" customHeight="false" outlineLevel="0" collapsed="false">
      <c r="B190" s="26"/>
      <c r="C190" s="27"/>
      <c r="D190" s="28" t="str">
        <f aca="false">IF(C190="","",IFERROR(INDEX(Players!$C$5:$C$104,MATCH(C190,Players!$B$5:$B$104,0)),"ID not found"))</f>
        <v/>
      </c>
      <c r="E190" s="27"/>
      <c r="F190" s="27"/>
      <c r="G190" s="28" t="str">
        <f aca="false">IF(F190="","",IFERROR(INDEX('Hitting Drills'!$D$6:$D$45,MATCH(F190,'Hitting Drills'!$B$6:$B$45,0)),"Not a hitting drill ID"))</f>
        <v/>
      </c>
      <c r="H190" s="27"/>
      <c r="I190" s="27"/>
      <c r="J190" s="27"/>
      <c r="K190" s="27"/>
      <c r="L190" s="27"/>
      <c r="M190" s="27"/>
      <c r="N190" s="27"/>
      <c r="O190" s="27"/>
      <c r="P190" s="27"/>
      <c r="Q190" s="27"/>
      <c r="R190" s="27"/>
      <c r="S190" s="29" t="str">
        <f aca="false">IF(OR(B190="",C190=""),"",IF(COUNTIFS($B$5:B190,B190,$C$5:C190,C190)=1,1,0))</f>
        <v/>
      </c>
      <c r="T190" s="29" t="str">
        <f aca="false">IF(OR(B190="",C190="",E190=""),"",IF(COUNTIFS($B$5:B190,B190,$C$5:C190,C190,$E$5:E190,E190)=1,1,0))</f>
        <v/>
      </c>
      <c r="U190" s="28" t="str">
        <f aca="false">IF(COUNTA(B190:C190,E190:F190,H190:P190)=0,"",IF(OR(B190="",C190="",E190=""),"Check: date, player, and context required",IF(AND(ISNUMBER(J190),ISNUMBER(I190),J190&gt;I190),"Check: solid contacts &gt; swings",IF(AND(ISNUMBER(L190),ISNUMBER(K190),L190&gt;K190),"Check: correct &gt; assessed decisions",IF(AND(ISNUMBER(N190),ISNUMBER(M190),N190&gt;M190),"Check: intended &gt; assessed landings",IF(AND(ISNUMBER(J190),I190=""),"Check: solid contacts without swings","OK"))))))</f>
        <v/>
      </c>
    </row>
    <row r="191" customFormat="false" ht="15" hidden="false" customHeight="false" outlineLevel="0" collapsed="false">
      <c r="B191" s="26"/>
      <c r="C191" s="27"/>
      <c r="D191" s="28" t="str">
        <f aca="false">IF(C191="","",IFERROR(INDEX(Players!$C$5:$C$104,MATCH(C191,Players!$B$5:$B$104,0)),"ID not found"))</f>
        <v/>
      </c>
      <c r="E191" s="27"/>
      <c r="F191" s="27"/>
      <c r="G191" s="28" t="str">
        <f aca="false">IF(F191="","",IFERROR(INDEX('Hitting Drills'!$D$6:$D$45,MATCH(F191,'Hitting Drills'!$B$6:$B$45,0)),"Not a hitting drill ID"))</f>
        <v/>
      </c>
      <c r="H191" s="27"/>
      <c r="I191" s="27"/>
      <c r="J191" s="27"/>
      <c r="K191" s="27"/>
      <c r="L191" s="27"/>
      <c r="M191" s="27"/>
      <c r="N191" s="27"/>
      <c r="O191" s="27"/>
      <c r="P191" s="27"/>
      <c r="Q191" s="27"/>
      <c r="R191" s="27"/>
      <c r="S191" s="29" t="str">
        <f aca="false">IF(OR(B191="",C191=""),"",IF(COUNTIFS($B$5:B191,B191,$C$5:C191,C191)=1,1,0))</f>
        <v/>
      </c>
      <c r="T191" s="29" t="str">
        <f aca="false">IF(OR(B191="",C191="",E191=""),"",IF(COUNTIFS($B$5:B191,B191,$C$5:C191,C191,$E$5:E191,E191)=1,1,0))</f>
        <v/>
      </c>
      <c r="U191" s="28" t="str">
        <f aca="false">IF(COUNTA(B191:C191,E191:F191,H191:P191)=0,"",IF(OR(B191="",C191="",E191=""),"Check: date, player, and context required",IF(AND(ISNUMBER(J191),ISNUMBER(I191),J191&gt;I191),"Check: solid contacts &gt; swings",IF(AND(ISNUMBER(L191),ISNUMBER(K191),L191&gt;K191),"Check: correct &gt; assessed decisions",IF(AND(ISNUMBER(N191),ISNUMBER(M191),N191&gt;M191),"Check: intended &gt; assessed landings",IF(AND(ISNUMBER(J191),I191=""),"Check: solid contacts without swings","OK"))))))</f>
        <v/>
      </c>
    </row>
    <row r="192" customFormat="false" ht="15" hidden="false" customHeight="false" outlineLevel="0" collapsed="false">
      <c r="B192" s="26"/>
      <c r="C192" s="27"/>
      <c r="D192" s="28" t="str">
        <f aca="false">IF(C192="","",IFERROR(INDEX(Players!$C$5:$C$104,MATCH(C192,Players!$B$5:$B$104,0)),"ID not found"))</f>
        <v/>
      </c>
      <c r="E192" s="27"/>
      <c r="F192" s="27"/>
      <c r="G192" s="28" t="str">
        <f aca="false">IF(F192="","",IFERROR(INDEX('Hitting Drills'!$D$6:$D$45,MATCH(F192,'Hitting Drills'!$B$6:$B$45,0)),"Not a hitting drill ID"))</f>
        <v/>
      </c>
      <c r="H192" s="27"/>
      <c r="I192" s="27"/>
      <c r="J192" s="27"/>
      <c r="K192" s="27"/>
      <c r="L192" s="27"/>
      <c r="M192" s="27"/>
      <c r="N192" s="27"/>
      <c r="O192" s="27"/>
      <c r="P192" s="27"/>
      <c r="Q192" s="27"/>
      <c r="R192" s="27"/>
      <c r="S192" s="29" t="str">
        <f aca="false">IF(OR(B192="",C192=""),"",IF(COUNTIFS($B$5:B192,B192,$C$5:C192,C192)=1,1,0))</f>
        <v/>
      </c>
      <c r="T192" s="29" t="str">
        <f aca="false">IF(OR(B192="",C192="",E192=""),"",IF(COUNTIFS($B$5:B192,B192,$C$5:C192,C192,$E$5:E192,E192)=1,1,0))</f>
        <v/>
      </c>
      <c r="U192" s="28" t="str">
        <f aca="false">IF(COUNTA(B192:C192,E192:F192,H192:P192)=0,"",IF(OR(B192="",C192="",E192=""),"Check: date, player, and context required",IF(AND(ISNUMBER(J192),ISNUMBER(I192),J192&gt;I192),"Check: solid contacts &gt; swings",IF(AND(ISNUMBER(L192),ISNUMBER(K192),L192&gt;K192),"Check: correct &gt; assessed decisions",IF(AND(ISNUMBER(N192),ISNUMBER(M192),N192&gt;M192),"Check: intended &gt; assessed landings",IF(AND(ISNUMBER(J192),I192=""),"Check: solid contacts without swings","OK"))))))</f>
        <v/>
      </c>
    </row>
    <row r="193" customFormat="false" ht="15" hidden="false" customHeight="false" outlineLevel="0" collapsed="false">
      <c r="B193" s="26"/>
      <c r="C193" s="27"/>
      <c r="D193" s="28" t="str">
        <f aca="false">IF(C193="","",IFERROR(INDEX(Players!$C$5:$C$104,MATCH(C193,Players!$B$5:$B$104,0)),"ID not found"))</f>
        <v/>
      </c>
      <c r="E193" s="27"/>
      <c r="F193" s="27"/>
      <c r="G193" s="28" t="str">
        <f aca="false">IF(F193="","",IFERROR(INDEX('Hitting Drills'!$D$6:$D$45,MATCH(F193,'Hitting Drills'!$B$6:$B$45,0)),"Not a hitting drill ID"))</f>
        <v/>
      </c>
      <c r="H193" s="27"/>
      <c r="I193" s="27"/>
      <c r="J193" s="27"/>
      <c r="K193" s="27"/>
      <c r="L193" s="27"/>
      <c r="M193" s="27"/>
      <c r="N193" s="27"/>
      <c r="O193" s="27"/>
      <c r="P193" s="27"/>
      <c r="Q193" s="27"/>
      <c r="R193" s="27"/>
      <c r="S193" s="29" t="str">
        <f aca="false">IF(OR(B193="",C193=""),"",IF(COUNTIFS($B$5:B193,B193,$C$5:C193,C193)=1,1,0))</f>
        <v/>
      </c>
      <c r="T193" s="29" t="str">
        <f aca="false">IF(OR(B193="",C193="",E193=""),"",IF(COUNTIFS($B$5:B193,B193,$C$5:C193,C193,$E$5:E193,E193)=1,1,0))</f>
        <v/>
      </c>
      <c r="U193" s="28" t="str">
        <f aca="false">IF(COUNTA(B193:C193,E193:F193,H193:P193)=0,"",IF(OR(B193="",C193="",E193=""),"Check: date, player, and context required",IF(AND(ISNUMBER(J193),ISNUMBER(I193),J193&gt;I193),"Check: solid contacts &gt; swings",IF(AND(ISNUMBER(L193),ISNUMBER(K193),L193&gt;K193),"Check: correct &gt; assessed decisions",IF(AND(ISNUMBER(N193),ISNUMBER(M193),N193&gt;M193),"Check: intended &gt; assessed landings",IF(AND(ISNUMBER(J193),I193=""),"Check: solid contacts without swings","OK"))))))</f>
        <v/>
      </c>
    </row>
    <row r="194" customFormat="false" ht="15" hidden="false" customHeight="false" outlineLevel="0" collapsed="false">
      <c r="B194" s="26"/>
      <c r="C194" s="27"/>
      <c r="D194" s="28" t="str">
        <f aca="false">IF(C194="","",IFERROR(INDEX(Players!$C$5:$C$104,MATCH(C194,Players!$B$5:$B$104,0)),"ID not found"))</f>
        <v/>
      </c>
      <c r="E194" s="27"/>
      <c r="F194" s="27"/>
      <c r="G194" s="28" t="str">
        <f aca="false">IF(F194="","",IFERROR(INDEX('Hitting Drills'!$D$6:$D$45,MATCH(F194,'Hitting Drills'!$B$6:$B$45,0)),"Not a hitting drill ID"))</f>
        <v/>
      </c>
      <c r="H194" s="27"/>
      <c r="I194" s="27"/>
      <c r="J194" s="27"/>
      <c r="K194" s="27"/>
      <c r="L194" s="27"/>
      <c r="M194" s="27"/>
      <c r="N194" s="27"/>
      <c r="O194" s="27"/>
      <c r="P194" s="27"/>
      <c r="Q194" s="27"/>
      <c r="R194" s="27"/>
      <c r="S194" s="29" t="str">
        <f aca="false">IF(OR(B194="",C194=""),"",IF(COUNTIFS($B$5:B194,B194,$C$5:C194,C194)=1,1,0))</f>
        <v/>
      </c>
      <c r="T194" s="29" t="str">
        <f aca="false">IF(OR(B194="",C194="",E194=""),"",IF(COUNTIFS($B$5:B194,B194,$C$5:C194,C194,$E$5:E194,E194)=1,1,0))</f>
        <v/>
      </c>
      <c r="U194" s="28" t="str">
        <f aca="false">IF(COUNTA(B194:C194,E194:F194,H194:P194)=0,"",IF(OR(B194="",C194="",E194=""),"Check: date, player, and context required",IF(AND(ISNUMBER(J194),ISNUMBER(I194),J194&gt;I194),"Check: solid contacts &gt; swings",IF(AND(ISNUMBER(L194),ISNUMBER(K194),L194&gt;K194),"Check: correct &gt; assessed decisions",IF(AND(ISNUMBER(N194),ISNUMBER(M194),N194&gt;M194),"Check: intended &gt; assessed landings",IF(AND(ISNUMBER(J194),I194=""),"Check: solid contacts without swings","OK"))))))</f>
        <v/>
      </c>
    </row>
    <row r="195" customFormat="false" ht="15" hidden="false" customHeight="false" outlineLevel="0" collapsed="false">
      <c r="B195" s="26"/>
      <c r="C195" s="27"/>
      <c r="D195" s="28" t="str">
        <f aca="false">IF(C195="","",IFERROR(INDEX(Players!$C$5:$C$104,MATCH(C195,Players!$B$5:$B$104,0)),"ID not found"))</f>
        <v/>
      </c>
      <c r="E195" s="27"/>
      <c r="F195" s="27"/>
      <c r="G195" s="28" t="str">
        <f aca="false">IF(F195="","",IFERROR(INDEX('Hitting Drills'!$D$6:$D$45,MATCH(F195,'Hitting Drills'!$B$6:$B$45,0)),"Not a hitting drill ID"))</f>
        <v/>
      </c>
      <c r="H195" s="27"/>
      <c r="I195" s="27"/>
      <c r="J195" s="27"/>
      <c r="K195" s="27"/>
      <c r="L195" s="27"/>
      <c r="M195" s="27"/>
      <c r="N195" s="27"/>
      <c r="O195" s="27"/>
      <c r="P195" s="27"/>
      <c r="Q195" s="27"/>
      <c r="R195" s="27"/>
      <c r="S195" s="29" t="str">
        <f aca="false">IF(OR(B195="",C195=""),"",IF(COUNTIFS($B$5:B195,B195,$C$5:C195,C195)=1,1,0))</f>
        <v/>
      </c>
      <c r="T195" s="29" t="str">
        <f aca="false">IF(OR(B195="",C195="",E195=""),"",IF(COUNTIFS($B$5:B195,B195,$C$5:C195,C195,$E$5:E195,E195)=1,1,0))</f>
        <v/>
      </c>
      <c r="U195" s="28" t="str">
        <f aca="false">IF(COUNTA(B195:C195,E195:F195,H195:P195)=0,"",IF(OR(B195="",C195="",E195=""),"Check: date, player, and context required",IF(AND(ISNUMBER(J195),ISNUMBER(I195),J195&gt;I195),"Check: solid contacts &gt; swings",IF(AND(ISNUMBER(L195),ISNUMBER(K195),L195&gt;K195),"Check: correct &gt; assessed decisions",IF(AND(ISNUMBER(N195),ISNUMBER(M195),N195&gt;M195),"Check: intended &gt; assessed landings",IF(AND(ISNUMBER(J195),I195=""),"Check: solid contacts without swings","OK"))))))</f>
        <v/>
      </c>
    </row>
    <row r="196" customFormat="false" ht="15" hidden="false" customHeight="false" outlineLevel="0" collapsed="false">
      <c r="B196" s="26"/>
      <c r="C196" s="27"/>
      <c r="D196" s="28" t="str">
        <f aca="false">IF(C196="","",IFERROR(INDEX(Players!$C$5:$C$104,MATCH(C196,Players!$B$5:$B$104,0)),"ID not found"))</f>
        <v/>
      </c>
      <c r="E196" s="27"/>
      <c r="F196" s="27"/>
      <c r="G196" s="28" t="str">
        <f aca="false">IF(F196="","",IFERROR(INDEX('Hitting Drills'!$D$6:$D$45,MATCH(F196,'Hitting Drills'!$B$6:$B$45,0)),"Not a hitting drill ID"))</f>
        <v/>
      </c>
      <c r="H196" s="27"/>
      <c r="I196" s="27"/>
      <c r="J196" s="27"/>
      <c r="K196" s="27"/>
      <c r="L196" s="27"/>
      <c r="M196" s="27"/>
      <c r="N196" s="27"/>
      <c r="O196" s="27"/>
      <c r="P196" s="27"/>
      <c r="Q196" s="27"/>
      <c r="R196" s="27"/>
      <c r="S196" s="29" t="str">
        <f aca="false">IF(OR(B196="",C196=""),"",IF(COUNTIFS($B$5:B196,B196,$C$5:C196,C196)=1,1,0))</f>
        <v/>
      </c>
      <c r="T196" s="29" t="str">
        <f aca="false">IF(OR(B196="",C196="",E196=""),"",IF(COUNTIFS($B$5:B196,B196,$C$5:C196,C196,$E$5:E196,E196)=1,1,0))</f>
        <v/>
      </c>
      <c r="U196" s="28" t="str">
        <f aca="false">IF(COUNTA(B196:C196,E196:F196,H196:P196)=0,"",IF(OR(B196="",C196="",E196=""),"Check: date, player, and context required",IF(AND(ISNUMBER(J196),ISNUMBER(I196),J196&gt;I196),"Check: solid contacts &gt; swings",IF(AND(ISNUMBER(L196),ISNUMBER(K196),L196&gt;K196),"Check: correct &gt; assessed decisions",IF(AND(ISNUMBER(N196),ISNUMBER(M196),N196&gt;M196),"Check: intended &gt; assessed landings",IF(AND(ISNUMBER(J196),I196=""),"Check: solid contacts without swings","OK"))))))</f>
        <v/>
      </c>
    </row>
    <row r="197" customFormat="false" ht="15" hidden="false" customHeight="false" outlineLevel="0" collapsed="false">
      <c r="B197" s="26"/>
      <c r="C197" s="27"/>
      <c r="D197" s="28" t="str">
        <f aca="false">IF(C197="","",IFERROR(INDEX(Players!$C$5:$C$104,MATCH(C197,Players!$B$5:$B$104,0)),"ID not found"))</f>
        <v/>
      </c>
      <c r="E197" s="27"/>
      <c r="F197" s="27"/>
      <c r="G197" s="28" t="str">
        <f aca="false">IF(F197="","",IFERROR(INDEX('Hitting Drills'!$D$6:$D$45,MATCH(F197,'Hitting Drills'!$B$6:$B$45,0)),"Not a hitting drill ID"))</f>
        <v/>
      </c>
      <c r="H197" s="27"/>
      <c r="I197" s="27"/>
      <c r="J197" s="27"/>
      <c r="K197" s="27"/>
      <c r="L197" s="27"/>
      <c r="M197" s="27"/>
      <c r="N197" s="27"/>
      <c r="O197" s="27"/>
      <c r="P197" s="27"/>
      <c r="Q197" s="27"/>
      <c r="R197" s="27"/>
      <c r="S197" s="29" t="str">
        <f aca="false">IF(OR(B197="",C197=""),"",IF(COUNTIFS($B$5:B197,B197,$C$5:C197,C197)=1,1,0))</f>
        <v/>
      </c>
      <c r="T197" s="29" t="str">
        <f aca="false">IF(OR(B197="",C197="",E197=""),"",IF(COUNTIFS($B$5:B197,B197,$C$5:C197,C197,$E$5:E197,E197)=1,1,0))</f>
        <v/>
      </c>
      <c r="U197" s="28" t="str">
        <f aca="false">IF(COUNTA(B197:C197,E197:F197,H197:P197)=0,"",IF(OR(B197="",C197="",E197=""),"Check: date, player, and context required",IF(AND(ISNUMBER(J197),ISNUMBER(I197),J197&gt;I197),"Check: solid contacts &gt; swings",IF(AND(ISNUMBER(L197),ISNUMBER(K197),L197&gt;K197),"Check: correct &gt; assessed decisions",IF(AND(ISNUMBER(N197),ISNUMBER(M197),N197&gt;M197),"Check: intended &gt; assessed landings",IF(AND(ISNUMBER(J197),I197=""),"Check: solid contacts without swings","OK"))))))</f>
        <v/>
      </c>
    </row>
    <row r="198" customFormat="false" ht="15" hidden="false" customHeight="false" outlineLevel="0" collapsed="false">
      <c r="B198" s="26"/>
      <c r="C198" s="27"/>
      <c r="D198" s="28" t="str">
        <f aca="false">IF(C198="","",IFERROR(INDEX(Players!$C$5:$C$104,MATCH(C198,Players!$B$5:$B$104,0)),"ID not found"))</f>
        <v/>
      </c>
      <c r="E198" s="27"/>
      <c r="F198" s="27"/>
      <c r="G198" s="28" t="str">
        <f aca="false">IF(F198="","",IFERROR(INDEX('Hitting Drills'!$D$6:$D$45,MATCH(F198,'Hitting Drills'!$B$6:$B$45,0)),"Not a hitting drill ID"))</f>
        <v/>
      </c>
      <c r="H198" s="27"/>
      <c r="I198" s="27"/>
      <c r="J198" s="27"/>
      <c r="K198" s="27"/>
      <c r="L198" s="27"/>
      <c r="M198" s="27"/>
      <c r="N198" s="27"/>
      <c r="O198" s="27"/>
      <c r="P198" s="27"/>
      <c r="Q198" s="27"/>
      <c r="R198" s="27"/>
      <c r="S198" s="29" t="str">
        <f aca="false">IF(OR(B198="",C198=""),"",IF(COUNTIFS($B$5:B198,B198,$C$5:C198,C198)=1,1,0))</f>
        <v/>
      </c>
      <c r="T198" s="29" t="str">
        <f aca="false">IF(OR(B198="",C198="",E198=""),"",IF(COUNTIFS($B$5:B198,B198,$C$5:C198,C198,$E$5:E198,E198)=1,1,0))</f>
        <v/>
      </c>
      <c r="U198" s="28" t="str">
        <f aca="false">IF(COUNTA(B198:C198,E198:F198,H198:P198)=0,"",IF(OR(B198="",C198="",E198=""),"Check: date, player, and context required",IF(AND(ISNUMBER(J198),ISNUMBER(I198),J198&gt;I198),"Check: solid contacts &gt; swings",IF(AND(ISNUMBER(L198),ISNUMBER(K198),L198&gt;K198),"Check: correct &gt; assessed decisions",IF(AND(ISNUMBER(N198),ISNUMBER(M198),N198&gt;M198),"Check: intended &gt; assessed landings",IF(AND(ISNUMBER(J198),I198=""),"Check: solid contacts without swings","OK"))))))</f>
        <v/>
      </c>
    </row>
    <row r="199" customFormat="false" ht="15" hidden="false" customHeight="false" outlineLevel="0" collapsed="false">
      <c r="B199" s="26"/>
      <c r="C199" s="27"/>
      <c r="D199" s="28" t="str">
        <f aca="false">IF(C199="","",IFERROR(INDEX(Players!$C$5:$C$104,MATCH(C199,Players!$B$5:$B$104,0)),"ID not found"))</f>
        <v/>
      </c>
      <c r="E199" s="27"/>
      <c r="F199" s="27"/>
      <c r="G199" s="28" t="str">
        <f aca="false">IF(F199="","",IFERROR(INDEX('Hitting Drills'!$D$6:$D$45,MATCH(F199,'Hitting Drills'!$B$6:$B$45,0)),"Not a hitting drill ID"))</f>
        <v/>
      </c>
      <c r="H199" s="27"/>
      <c r="I199" s="27"/>
      <c r="J199" s="27"/>
      <c r="K199" s="27"/>
      <c r="L199" s="27"/>
      <c r="M199" s="27"/>
      <c r="N199" s="27"/>
      <c r="O199" s="27"/>
      <c r="P199" s="27"/>
      <c r="Q199" s="27"/>
      <c r="R199" s="27"/>
      <c r="S199" s="29" t="str">
        <f aca="false">IF(OR(B199="",C199=""),"",IF(COUNTIFS($B$5:B199,B199,$C$5:C199,C199)=1,1,0))</f>
        <v/>
      </c>
      <c r="T199" s="29" t="str">
        <f aca="false">IF(OR(B199="",C199="",E199=""),"",IF(COUNTIFS($B$5:B199,B199,$C$5:C199,C199,$E$5:E199,E199)=1,1,0))</f>
        <v/>
      </c>
      <c r="U199" s="28" t="str">
        <f aca="false">IF(COUNTA(B199:C199,E199:F199,H199:P199)=0,"",IF(OR(B199="",C199="",E199=""),"Check: date, player, and context required",IF(AND(ISNUMBER(J199),ISNUMBER(I199),J199&gt;I199),"Check: solid contacts &gt; swings",IF(AND(ISNUMBER(L199),ISNUMBER(K199),L199&gt;K199),"Check: correct &gt; assessed decisions",IF(AND(ISNUMBER(N199),ISNUMBER(M199),N199&gt;M199),"Check: intended &gt; assessed landings",IF(AND(ISNUMBER(J199),I199=""),"Check: solid contacts without swings","OK"))))))</f>
        <v/>
      </c>
    </row>
    <row r="200" customFormat="false" ht="15" hidden="false" customHeight="false" outlineLevel="0" collapsed="false">
      <c r="B200" s="26"/>
      <c r="C200" s="27"/>
      <c r="D200" s="28" t="str">
        <f aca="false">IF(C200="","",IFERROR(INDEX(Players!$C$5:$C$104,MATCH(C200,Players!$B$5:$B$104,0)),"ID not found"))</f>
        <v/>
      </c>
      <c r="E200" s="27"/>
      <c r="F200" s="27"/>
      <c r="G200" s="28" t="str">
        <f aca="false">IF(F200="","",IFERROR(INDEX('Hitting Drills'!$D$6:$D$45,MATCH(F200,'Hitting Drills'!$B$6:$B$45,0)),"Not a hitting drill ID"))</f>
        <v/>
      </c>
      <c r="H200" s="27"/>
      <c r="I200" s="27"/>
      <c r="J200" s="27"/>
      <c r="K200" s="27"/>
      <c r="L200" s="27"/>
      <c r="M200" s="27"/>
      <c r="N200" s="27"/>
      <c r="O200" s="27"/>
      <c r="P200" s="27"/>
      <c r="Q200" s="27"/>
      <c r="R200" s="27"/>
      <c r="S200" s="29" t="str">
        <f aca="false">IF(OR(B200="",C200=""),"",IF(COUNTIFS($B$5:B200,B200,$C$5:C200,C200)=1,1,0))</f>
        <v/>
      </c>
      <c r="T200" s="29" t="str">
        <f aca="false">IF(OR(B200="",C200="",E200=""),"",IF(COUNTIFS($B$5:B200,B200,$C$5:C200,C200,$E$5:E200,E200)=1,1,0))</f>
        <v/>
      </c>
      <c r="U200" s="28" t="str">
        <f aca="false">IF(COUNTA(B200:C200,E200:F200,H200:P200)=0,"",IF(OR(B200="",C200="",E200=""),"Check: date, player, and context required",IF(AND(ISNUMBER(J200),ISNUMBER(I200),J200&gt;I200),"Check: solid contacts &gt; swings",IF(AND(ISNUMBER(L200),ISNUMBER(K200),L200&gt;K200),"Check: correct &gt; assessed decisions",IF(AND(ISNUMBER(N200),ISNUMBER(M200),N200&gt;M200),"Check: intended &gt; assessed landings",IF(AND(ISNUMBER(J200),I200=""),"Check: solid contacts without swings","OK"))))))</f>
        <v/>
      </c>
    </row>
    <row r="201" customFormat="false" ht="15" hidden="false" customHeight="false" outlineLevel="0" collapsed="false">
      <c r="B201" s="26"/>
      <c r="C201" s="27"/>
      <c r="D201" s="28" t="str">
        <f aca="false">IF(C201="","",IFERROR(INDEX(Players!$C$5:$C$104,MATCH(C201,Players!$B$5:$B$104,0)),"ID not found"))</f>
        <v/>
      </c>
      <c r="E201" s="27"/>
      <c r="F201" s="27"/>
      <c r="G201" s="28" t="str">
        <f aca="false">IF(F201="","",IFERROR(INDEX('Hitting Drills'!$D$6:$D$45,MATCH(F201,'Hitting Drills'!$B$6:$B$45,0)),"Not a hitting drill ID"))</f>
        <v/>
      </c>
      <c r="H201" s="27"/>
      <c r="I201" s="27"/>
      <c r="J201" s="27"/>
      <c r="K201" s="27"/>
      <c r="L201" s="27"/>
      <c r="M201" s="27"/>
      <c r="N201" s="27"/>
      <c r="O201" s="27"/>
      <c r="P201" s="27"/>
      <c r="Q201" s="27"/>
      <c r="R201" s="27"/>
      <c r="S201" s="29" t="str">
        <f aca="false">IF(OR(B201="",C201=""),"",IF(COUNTIFS($B$5:B201,B201,$C$5:C201,C201)=1,1,0))</f>
        <v/>
      </c>
      <c r="T201" s="29" t="str">
        <f aca="false">IF(OR(B201="",C201="",E201=""),"",IF(COUNTIFS($B$5:B201,B201,$C$5:C201,C201,$E$5:E201,E201)=1,1,0))</f>
        <v/>
      </c>
      <c r="U201" s="28" t="str">
        <f aca="false">IF(COUNTA(B201:C201,E201:F201,H201:P201)=0,"",IF(OR(B201="",C201="",E201=""),"Check: date, player, and context required",IF(AND(ISNUMBER(J201),ISNUMBER(I201),J201&gt;I201),"Check: solid contacts &gt; swings",IF(AND(ISNUMBER(L201),ISNUMBER(K201),L201&gt;K201),"Check: correct &gt; assessed decisions",IF(AND(ISNUMBER(N201),ISNUMBER(M201),N201&gt;M201),"Check: intended &gt; assessed landings",IF(AND(ISNUMBER(J201),I201=""),"Check: solid contacts without swings","OK"))))))</f>
        <v/>
      </c>
    </row>
    <row r="202" customFormat="false" ht="15" hidden="false" customHeight="false" outlineLevel="0" collapsed="false">
      <c r="B202" s="26"/>
      <c r="C202" s="27"/>
      <c r="D202" s="28" t="str">
        <f aca="false">IF(C202="","",IFERROR(INDEX(Players!$C$5:$C$104,MATCH(C202,Players!$B$5:$B$104,0)),"ID not found"))</f>
        <v/>
      </c>
      <c r="E202" s="27"/>
      <c r="F202" s="27"/>
      <c r="G202" s="28" t="str">
        <f aca="false">IF(F202="","",IFERROR(INDEX('Hitting Drills'!$D$6:$D$45,MATCH(F202,'Hitting Drills'!$B$6:$B$45,0)),"Not a hitting drill ID"))</f>
        <v/>
      </c>
      <c r="H202" s="27"/>
      <c r="I202" s="27"/>
      <c r="J202" s="27"/>
      <c r="K202" s="27"/>
      <c r="L202" s="27"/>
      <c r="M202" s="27"/>
      <c r="N202" s="27"/>
      <c r="O202" s="27"/>
      <c r="P202" s="27"/>
      <c r="Q202" s="27"/>
      <c r="R202" s="27"/>
      <c r="S202" s="29" t="str">
        <f aca="false">IF(OR(B202="",C202=""),"",IF(COUNTIFS($B$5:B202,B202,$C$5:C202,C202)=1,1,0))</f>
        <v/>
      </c>
      <c r="T202" s="29" t="str">
        <f aca="false">IF(OR(B202="",C202="",E202=""),"",IF(COUNTIFS($B$5:B202,B202,$C$5:C202,C202,$E$5:E202,E202)=1,1,0))</f>
        <v/>
      </c>
      <c r="U202" s="28" t="str">
        <f aca="false">IF(COUNTA(B202:C202,E202:F202,H202:P202)=0,"",IF(OR(B202="",C202="",E202=""),"Check: date, player, and context required",IF(AND(ISNUMBER(J202),ISNUMBER(I202),J202&gt;I202),"Check: solid contacts &gt; swings",IF(AND(ISNUMBER(L202),ISNUMBER(K202),L202&gt;K202),"Check: correct &gt; assessed decisions",IF(AND(ISNUMBER(N202),ISNUMBER(M202),N202&gt;M202),"Check: intended &gt; assessed landings",IF(AND(ISNUMBER(J202),I202=""),"Check: solid contacts without swings","OK"))))))</f>
        <v/>
      </c>
    </row>
    <row r="203" customFormat="false" ht="15" hidden="false" customHeight="false" outlineLevel="0" collapsed="false">
      <c r="B203" s="26"/>
      <c r="C203" s="27"/>
      <c r="D203" s="28" t="str">
        <f aca="false">IF(C203="","",IFERROR(INDEX(Players!$C$5:$C$104,MATCH(C203,Players!$B$5:$B$104,0)),"ID not found"))</f>
        <v/>
      </c>
      <c r="E203" s="27"/>
      <c r="F203" s="27"/>
      <c r="G203" s="28" t="str">
        <f aca="false">IF(F203="","",IFERROR(INDEX('Hitting Drills'!$D$6:$D$45,MATCH(F203,'Hitting Drills'!$B$6:$B$45,0)),"Not a hitting drill ID"))</f>
        <v/>
      </c>
      <c r="H203" s="27"/>
      <c r="I203" s="27"/>
      <c r="J203" s="27"/>
      <c r="K203" s="27"/>
      <c r="L203" s="27"/>
      <c r="M203" s="27"/>
      <c r="N203" s="27"/>
      <c r="O203" s="27"/>
      <c r="P203" s="27"/>
      <c r="Q203" s="27"/>
      <c r="R203" s="27"/>
      <c r="S203" s="29" t="str">
        <f aca="false">IF(OR(B203="",C203=""),"",IF(COUNTIFS($B$5:B203,B203,$C$5:C203,C203)=1,1,0))</f>
        <v/>
      </c>
      <c r="T203" s="29" t="str">
        <f aca="false">IF(OR(B203="",C203="",E203=""),"",IF(COUNTIFS($B$5:B203,B203,$C$5:C203,C203,$E$5:E203,E203)=1,1,0))</f>
        <v/>
      </c>
      <c r="U203" s="28" t="str">
        <f aca="false">IF(COUNTA(B203:C203,E203:F203,H203:P203)=0,"",IF(OR(B203="",C203="",E203=""),"Check: date, player, and context required",IF(AND(ISNUMBER(J203),ISNUMBER(I203),J203&gt;I203),"Check: solid contacts &gt; swings",IF(AND(ISNUMBER(L203),ISNUMBER(K203),L203&gt;K203),"Check: correct &gt; assessed decisions",IF(AND(ISNUMBER(N203),ISNUMBER(M203),N203&gt;M203),"Check: intended &gt; assessed landings",IF(AND(ISNUMBER(J203),I203=""),"Check: solid contacts without swings","OK"))))))</f>
        <v/>
      </c>
    </row>
    <row r="204" customFormat="false" ht="15" hidden="false" customHeight="false" outlineLevel="0" collapsed="false">
      <c r="B204" s="26"/>
      <c r="C204" s="27"/>
      <c r="D204" s="28" t="str">
        <f aca="false">IF(C204="","",IFERROR(INDEX(Players!$C$5:$C$104,MATCH(C204,Players!$B$5:$B$104,0)),"ID not found"))</f>
        <v/>
      </c>
      <c r="E204" s="27"/>
      <c r="F204" s="27"/>
      <c r="G204" s="28" t="str">
        <f aca="false">IF(F204="","",IFERROR(INDEX('Hitting Drills'!$D$6:$D$45,MATCH(F204,'Hitting Drills'!$B$6:$B$45,0)),"Not a hitting drill ID"))</f>
        <v/>
      </c>
      <c r="H204" s="27"/>
      <c r="I204" s="27"/>
      <c r="J204" s="27"/>
      <c r="K204" s="27"/>
      <c r="L204" s="27"/>
      <c r="M204" s="27"/>
      <c r="N204" s="27"/>
      <c r="O204" s="27"/>
      <c r="P204" s="27"/>
      <c r="Q204" s="27"/>
      <c r="R204" s="27"/>
      <c r="S204" s="29" t="str">
        <f aca="false">IF(OR(B204="",C204=""),"",IF(COUNTIFS($B$5:B204,B204,$C$5:C204,C204)=1,1,0))</f>
        <v/>
      </c>
      <c r="T204" s="29" t="str">
        <f aca="false">IF(OR(B204="",C204="",E204=""),"",IF(COUNTIFS($B$5:B204,B204,$C$5:C204,C204,$E$5:E204,E204)=1,1,0))</f>
        <v/>
      </c>
      <c r="U204" s="28" t="str">
        <f aca="false">IF(COUNTA(B204:C204,E204:F204,H204:P204)=0,"",IF(OR(B204="",C204="",E204=""),"Check: date, player, and context required",IF(AND(ISNUMBER(J204),ISNUMBER(I204),J204&gt;I204),"Check: solid contacts &gt; swings",IF(AND(ISNUMBER(L204),ISNUMBER(K204),L204&gt;K204),"Check: correct &gt; assessed decisions",IF(AND(ISNUMBER(N204),ISNUMBER(M204),N204&gt;M204),"Check: intended &gt; assessed landings",IF(AND(ISNUMBER(J204),I204=""),"Check: solid contacts without swings","OK"))))))</f>
        <v/>
      </c>
    </row>
    <row r="205" customFormat="false" ht="15" hidden="false" customHeight="false" outlineLevel="0" collapsed="false">
      <c r="B205" s="26"/>
      <c r="C205" s="27"/>
      <c r="D205" s="28" t="str">
        <f aca="false">IF(C205="","",IFERROR(INDEX(Players!$C$5:$C$104,MATCH(C205,Players!$B$5:$B$104,0)),"ID not found"))</f>
        <v/>
      </c>
      <c r="E205" s="27"/>
      <c r="F205" s="27"/>
      <c r="G205" s="28" t="str">
        <f aca="false">IF(F205="","",IFERROR(INDEX('Hitting Drills'!$D$6:$D$45,MATCH(F205,'Hitting Drills'!$B$6:$B$45,0)),"Not a hitting drill ID"))</f>
        <v/>
      </c>
      <c r="H205" s="27"/>
      <c r="I205" s="27"/>
      <c r="J205" s="27"/>
      <c r="K205" s="27"/>
      <c r="L205" s="27"/>
      <c r="M205" s="27"/>
      <c r="N205" s="27"/>
      <c r="O205" s="27"/>
      <c r="P205" s="27"/>
      <c r="Q205" s="27"/>
      <c r="R205" s="27"/>
      <c r="S205" s="29" t="str">
        <f aca="false">IF(OR(B205="",C205=""),"",IF(COUNTIFS($B$5:B205,B205,$C$5:C205,C205)=1,1,0))</f>
        <v/>
      </c>
      <c r="T205" s="29" t="str">
        <f aca="false">IF(OR(B205="",C205="",E205=""),"",IF(COUNTIFS($B$5:B205,B205,$C$5:C205,C205,$E$5:E205,E205)=1,1,0))</f>
        <v/>
      </c>
      <c r="U205" s="28" t="str">
        <f aca="false">IF(COUNTA(B205:C205,E205:F205,H205:P205)=0,"",IF(OR(B205="",C205="",E205=""),"Check: date, player, and context required",IF(AND(ISNUMBER(J205),ISNUMBER(I205),J205&gt;I205),"Check: solid contacts &gt; swings",IF(AND(ISNUMBER(L205),ISNUMBER(K205),L205&gt;K205),"Check: correct &gt; assessed decisions",IF(AND(ISNUMBER(N205),ISNUMBER(M205),N205&gt;M205),"Check: intended &gt; assessed landings",IF(AND(ISNUMBER(J205),I205=""),"Check: solid contacts without swings","OK"))))))</f>
        <v/>
      </c>
    </row>
    <row r="206" customFormat="false" ht="15" hidden="false" customHeight="false" outlineLevel="0" collapsed="false">
      <c r="B206" s="26"/>
      <c r="C206" s="27"/>
      <c r="D206" s="28" t="str">
        <f aca="false">IF(C206="","",IFERROR(INDEX(Players!$C$5:$C$104,MATCH(C206,Players!$B$5:$B$104,0)),"ID not found"))</f>
        <v/>
      </c>
      <c r="E206" s="27"/>
      <c r="F206" s="27"/>
      <c r="G206" s="28" t="str">
        <f aca="false">IF(F206="","",IFERROR(INDEX('Hitting Drills'!$D$6:$D$45,MATCH(F206,'Hitting Drills'!$B$6:$B$45,0)),"Not a hitting drill ID"))</f>
        <v/>
      </c>
      <c r="H206" s="27"/>
      <c r="I206" s="27"/>
      <c r="J206" s="27"/>
      <c r="K206" s="27"/>
      <c r="L206" s="27"/>
      <c r="M206" s="27"/>
      <c r="N206" s="27"/>
      <c r="O206" s="27"/>
      <c r="P206" s="27"/>
      <c r="Q206" s="27"/>
      <c r="R206" s="27"/>
      <c r="S206" s="29" t="str">
        <f aca="false">IF(OR(B206="",C206=""),"",IF(COUNTIFS($B$5:B206,B206,$C$5:C206,C206)=1,1,0))</f>
        <v/>
      </c>
      <c r="T206" s="29" t="str">
        <f aca="false">IF(OR(B206="",C206="",E206=""),"",IF(COUNTIFS($B$5:B206,B206,$C$5:C206,C206,$E$5:E206,E206)=1,1,0))</f>
        <v/>
      </c>
      <c r="U206" s="28" t="str">
        <f aca="false">IF(COUNTA(B206:C206,E206:F206,H206:P206)=0,"",IF(OR(B206="",C206="",E206=""),"Check: date, player, and context required",IF(AND(ISNUMBER(J206),ISNUMBER(I206),J206&gt;I206),"Check: solid contacts &gt; swings",IF(AND(ISNUMBER(L206),ISNUMBER(K206),L206&gt;K206),"Check: correct &gt; assessed decisions",IF(AND(ISNUMBER(N206),ISNUMBER(M206),N206&gt;M206),"Check: intended &gt; assessed landings",IF(AND(ISNUMBER(J206),I206=""),"Check: solid contacts without swings","OK"))))))</f>
        <v/>
      </c>
    </row>
    <row r="207" customFormat="false" ht="15" hidden="false" customHeight="false" outlineLevel="0" collapsed="false">
      <c r="B207" s="26"/>
      <c r="C207" s="27"/>
      <c r="D207" s="28" t="str">
        <f aca="false">IF(C207="","",IFERROR(INDEX(Players!$C$5:$C$104,MATCH(C207,Players!$B$5:$B$104,0)),"ID not found"))</f>
        <v/>
      </c>
      <c r="E207" s="27"/>
      <c r="F207" s="27"/>
      <c r="G207" s="28" t="str">
        <f aca="false">IF(F207="","",IFERROR(INDEX('Hitting Drills'!$D$6:$D$45,MATCH(F207,'Hitting Drills'!$B$6:$B$45,0)),"Not a hitting drill ID"))</f>
        <v/>
      </c>
      <c r="H207" s="27"/>
      <c r="I207" s="27"/>
      <c r="J207" s="27"/>
      <c r="K207" s="27"/>
      <c r="L207" s="27"/>
      <c r="M207" s="27"/>
      <c r="N207" s="27"/>
      <c r="O207" s="27"/>
      <c r="P207" s="27"/>
      <c r="Q207" s="27"/>
      <c r="R207" s="27"/>
      <c r="S207" s="29" t="str">
        <f aca="false">IF(OR(B207="",C207=""),"",IF(COUNTIFS($B$5:B207,B207,$C$5:C207,C207)=1,1,0))</f>
        <v/>
      </c>
      <c r="T207" s="29" t="str">
        <f aca="false">IF(OR(B207="",C207="",E207=""),"",IF(COUNTIFS($B$5:B207,B207,$C$5:C207,C207,$E$5:E207,E207)=1,1,0))</f>
        <v/>
      </c>
      <c r="U207" s="28" t="str">
        <f aca="false">IF(COUNTA(B207:C207,E207:F207,H207:P207)=0,"",IF(OR(B207="",C207="",E207=""),"Check: date, player, and context required",IF(AND(ISNUMBER(J207),ISNUMBER(I207),J207&gt;I207),"Check: solid contacts &gt; swings",IF(AND(ISNUMBER(L207),ISNUMBER(K207),L207&gt;K207),"Check: correct &gt; assessed decisions",IF(AND(ISNUMBER(N207),ISNUMBER(M207),N207&gt;M207),"Check: intended &gt; assessed landings",IF(AND(ISNUMBER(J207),I207=""),"Check: solid contacts without swings","OK"))))))</f>
        <v/>
      </c>
    </row>
    <row r="208" customFormat="false" ht="15" hidden="false" customHeight="false" outlineLevel="0" collapsed="false">
      <c r="B208" s="26"/>
      <c r="C208" s="27"/>
      <c r="D208" s="28" t="str">
        <f aca="false">IF(C208="","",IFERROR(INDEX(Players!$C$5:$C$104,MATCH(C208,Players!$B$5:$B$104,0)),"ID not found"))</f>
        <v/>
      </c>
      <c r="E208" s="27"/>
      <c r="F208" s="27"/>
      <c r="G208" s="28" t="str">
        <f aca="false">IF(F208="","",IFERROR(INDEX('Hitting Drills'!$D$6:$D$45,MATCH(F208,'Hitting Drills'!$B$6:$B$45,0)),"Not a hitting drill ID"))</f>
        <v/>
      </c>
      <c r="H208" s="27"/>
      <c r="I208" s="27"/>
      <c r="J208" s="27"/>
      <c r="K208" s="27"/>
      <c r="L208" s="27"/>
      <c r="M208" s="27"/>
      <c r="N208" s="27"/>
      <c r="O208" s="27"/>
      <c r="P208" s="27"/>
      <c r="Q208" s="27"/>
      <c r="R208" s="27"/>
      <c r="S208" s="29" t="str">
        <f aca="false">IF(OR(B208="",C208=""),"",IF(COUNTIFS($B$5:B208,B208,$C$5:C208,C208)=1,1,0))</f>
        <v/>
      </c>
      <c r="T208" s="29" t="str">
        <f aca="false">IF(OR(B208="",C208="",E208=""),"",IF(COUNTIFS($B$5:B208,B208,$C$5:C208,C208,$E$5:E208,E208)=1,1,0))</f>
        <v/>
      </c>
      <c r="U208" s="28" t="str">
        <f aca="false">IF(COUNTA(B208:C208,E208:F208,H208:P208)=0,"",IF(OR(B208="",C208="",E208=""),"Check: date, player, and context required",IF(AND(ISNUMBER(J208),ISNUMBER(I208),J208&gt;I208),"Check: solid contacts &gt; swings",IF(AND(ISNUMBER(L208),ISNUMBER(K208),L208&gt;K208),"Check: correct &gt; assessed decisions",IF(AND(ISNUMBER(N208),ISNUMBER(M208),N208&gt;M208),"Check: intended &gt; assessed landings",IF(AND(ISNUMBER(J208),I208=""),"Check: solid contacts without swings","OK"))))))</f>
        <v/>
      </c>
    </row>
    <row r="209" customFormat="false" ht="15" hidden="false" customHeight="false" outlineLevel="0" collapsed="false">
      <c r="B209" s="26"/>
      <c r="C209" s="27"/>
      <c r="D209" s="28" t="str">
        <f aca="false">IF(C209="","",IFERROR(INDEX(Players!$C$5:$C$104,MATCH(C209,Players!$B$5:$B$104,0)),"ID not found"))</f>
        <v/>
      </c>
      <c r="E209" s="27"/>
      <c r="F209" s="27"/>
      <c r="G209" s="28" t="str">
        <f aca="false">IF(F209="","",IFERROR(INDEX('Hitting Drills'!$D$6:$D$45,MATCH(F209,'Hitting Drills'!$B$6:$B$45,0)),"Not a hitting drill ID"))</f>
        <v/>
      </c>
      <c r="H209" s="27"/>
      <c r="I209" s="27"/>
      <c r="J209" s="27"/>
      <c r="K209" s="27"/>
      <c r="L209" s="27"/>
      <c r="M209" s="27"/>
      <c r="N209" s="27"/>
      <c r="O209" s="27"/>
      <c r="P209" s="27"/>
      <c r="Q209" s="27"/>
      <c r="R209" s="27"/>
      <c r="S209" s="29" t="str">
        <f aca="false">IF(OR(B209="",C209=""),"",IF(COUNTIFS($B$5:B209,B209,$C$5:C209,C209)=1,1,0))</f>
        <v/>
      </c>
      <c r="T209" s="29" t="str">
        <f aca="false">IF(OR(B209="",C209="",E209=""),"",IF(COUNTIFS($B$5:B209,B209,$C$5:C209,C209,$E$5:E209,E209)=1,1,0))</f>
        <v/>
      </c>
      <c r="U209" s="28" t="str">
        <f aca="false">IF(COUNTA(B209:C209,E209:F209,H209:P209)=0,"",IF(OR(B209="",C209="",E209=""),"Check: date, player, and context required",IF(AND(ISNUMBER(J209),ISNUMBER(I209),J209&gt;I209),"Check: solid contacts &gt; swings",IF(AND(ISNUMBER(L209),ISNUMBER(K209),L209&gt;K209),"Check: correct &gt; assessed decisions",IF(AND(ISNUMBER(N209),ISNUMBER(M209),N209&gt;M209),"Check: intended &gt; assessed landings",IF(AND(ISNUMBER(J209),I209=""),"Check: solid contacts without swings","OK"))))))</f>
        <v/>
      </c>
    </row>
    <row r="210" customFormat="false" ht="15" hidden="false" customHeight="false" outlineLevel="0" collapsed="false">
      <c r="B210" s="26"/>
      <c r="C210" s="27"/>
      <c r="D210" s="28" t="str">
        <f aca="false">IF(C210="","",IFERROR(INDEX(Players!$C$5:$C$104,MATCH(C210,Players!$B$5:$B$104,0)),"ID not found"))</f>
        <v/>
      </c>
      <c r="E210" s="27"/>
      <c r="F210" s="27"/>
      <c r="G210" s="28" t="str">
        <f aca="false">IF(F210="","",IFERROR(INDEX('Hitting Drills'!$D$6:$D$45,MATCH(F210,'Hitting Drills'!$B$6:$B$45,0)),"Not a hitting drill ID"))</f>
        <v/>
      </c>
      <c r="H210" s="27"/>
      <c r="I210" s="27"/>
      <c r="J210" s="27"/>
      <c r="K210" s="27"/>
      <c r="L210" s="27"/>
      <c r="M210" s="27"/>
      <c r="N210" s="27"/>
      <c r="O210" s="27"/>
      <c r="P210" s="27"/>
      <c r="Q210" s="27"/>
      <c r="R210" s="27"/>
      <c r="S210" s="29" t="str">
        <f aca="false">IF(OR(B210="",C210=""),"",IF(COUNTIFS($B$5:B210,B210,$C$5:C210,C210)=1,1,0))</f>
        <v/>
      </c>
      <c r="T210" s="29" t="str">
        <f aca="false">IF(OR(B210="",C210="",E210=""),"",IF(COUNTIFS($B$5:B210,B210,$C$5:C210,C210,$E$5:E210,E210)=1,1,0))</f>
        <v/>
      </c>
      <c r="U210" s="28" t="str">
        <f aca="false">IF(COUNTA(B210:C210,E210:F210,H210:P210)=0,"",IF(OR(B210="",C210="",E210=""),"Check: date, player, and context required",IF(AND(ISNUMBER(J210),ISNUMBER(I210),J210&gt;I210),"Check: solid contacts &gt; swings",IF(AND(ISNUMBER(L210),ISNUMBER(K210),L210&gt;K210),"Check: correct &gt; assessed decisions",IF(AND(ISNUMBER(N210),ISNUMBER(M210),N210&gt;M210),"Check: intended &gt; assessed landings",IF(AND(ISNUMBER(J210),I210=""),"Check: solid contacts without swings","OK"))))))</f>
        <v/>
      </c>
    </row>
    <row r="211" customFormat="false" ht="15" hidden="false" customHeight="false" outlineLevel="0" collapsed="false">
      <c r="B211" s="26"/>
      <c r="C211" s="27"/>
      <c r="D211" s="28" t="str">
        <f aca="false">IF(C211="","",IFERROR(INDEX(Players!$C$5:$C$104,MATCH(C211,Players!$B$5:$B$104,0)),"ID not found"))</f>
        <v/>
      </c>
      <c r="E211" s="27"/>
      <c r="F211" s="27"/>
      <c r="G211" s="28" t="str">
        <f aca="false">IF(F211="","",IFERROR(INDEX('Hitting Drills'!$D$6:$D$45,MATCH(F211,'Hitting Drills'!$B$6:$B$45,0)),"Not a hitting drill ID"))</f>
        <v/>
      </c>
      <c r="H211" s="27"/>
      <c r="I211" s="27"/>
      <c r="J211" s="27"/>
      <c r="K211" s="27"/>
      <c r="L211" s="27"/>
      <c r="M211" s="27"/>
      <c r="N211" s="27"/>
      <c r="O211" s="27"/>
      <c r="P211" s="27"/>
      <c r="Q211" s="27"/>
      <c r="R211" s="27"/>
      <c r="S211" s="29" t="str">
        <f aca="false">IF(OR(B211="",C211=""),"",IF(COUNTIFS($B$5:B211,B211,$C$5:C211,C211)=1,1,0))</f>
        <v/>
      </c>
      <c r="T211" s="29" t="str">
        <f aca="false">IF(OR(B211="",C211="",E211=""),"",IF(COUNTIFS($B$5:B211,B211,$C$5:C211,C211,$E$5:E211,E211)=1,1,0))</f>
        <v/>
      </c>
      <c r="U211" s="28" t="str">
        <f aca="false">IF(COUNTA(B211:C211,E211:F211,H211:P211)=0,"",IF(OR(B211="",C211="",E211=""),"Check: date, player, and context required",IF(AND(ISNUMBER(J211),ISNUMBER(I211),J211&gt;I211),"Check: solid contacts &gt; swings",IF(AND(ISNUMBER(L211),ISNUMBER(K211),L211&gt;K211),"Check: correct &gt; assessed decisions",IF(AND(ISNUMBER(N211),ISNUMBER(M211),N211&gt;M211),"Check: intended &gt; assessed landings",IF(AND(ISNUMBER(J211),I211=""),"Check: solid contacts without swings","OK"))))))</f>
        <v/>
      </c>
    </row>
    <row r="212" customFormat="false" ht="15" hidden="false" customHeight="false" outlineLevel="0" collapsed="false">
      <c r="B212" s="26"/>
      <c r="C212" s="27"/>
      <c r="D212" s="28" t="str">
        <f aca="false">IF(C212="","",IFERROR(INDEX(Players!$C$5:$C$104,MATCH(C212,Players!$B$5:$B$104,0)),"ID not found"))</f>
        <v/>
      </c>
      <c r="E212" s="27"/>
      <c r="F212" s="27"/>
      <c r="G212" s="28" t="str">
        <f aca="false">IF(F212="","",IFERROR(INDEX('Hitting Drills'!$D$6:$D$45,MATCH(F212,'Hitting Drills'!$B$6:$B$45,0)),"Not a hitting drill ID"))</f>
        <v/>
      </c>
      <c r="H212" s="27"/>
      <c r="I212" s="27"/>
      <c r="J212" s="27"/>
      <c r="K212" s="27"/>
      <c r="L212" s="27"/>
      <c r="M212" s="27"/>
      <c r="N212" s="27"/>
      <c r="O212" s="27"/>
      <c r="P212" s="27"/>
      <c r="Q212" s="27"/>
      <c r="R212" s="27"/>
      <c r="S212" s="29" t="str">
        <f aca="false">IF(OR(B212="",C212=""),"",IF(COUNTIFS($B$5:B212,B212,$C$5:C212,C212)=1,1,0))</f>
        <v/>
      </c>
      <c r="T212" s="29" t="str">
        <f aca="false">IF(OR(B212="",C212="",E212=""),"",IF(COUNTIFS($B$5:B212,B212,$C$5:C212,C212,$E$5:E212,E212)=1,1,0))</f>
        <v/>
      </c>
      <c r="U212" s="28" t="str">
        <f aca="false">IF(COUNTA(B212:C212,E212:F212,H212:P212)=0,"",IF(OR(B212="",C212="",E212=""),"Check: date, player, and context required",IF(AND(ISNUMBER(J212),ISNUMBER(I212),J212&gt;I212),"Check: solid contacts &gt; swings",IF(AND(ISNUMBER(L212),ISNUMBER(K212),L212&gt;K212),"Check: correct &gt; assessed decisions",IF(AND(ISNUMBER(N212),ISNUMBER(M212),N212&gt;M212),"Check: intended &gt; assessed landings",IF(AND(ISNUMBER(J212),I212=""),"Check: solid contacts without swings","OK"))))))</f>
        <v/>
      </c>
    </row>
    <row r="213" customFormat="false" ht="15" hidden="false" customHeight="false" outlineLevel="0" collapsed="false">
      <c r="B213" s="26"/>
      <c r="C213" s="27"/>
      <c r="D213" s="28" t="str">
        <f aca="false">IF(C213="","",IFERROR(INDEX(Players!$C$5:$C$104,MATCH(C213,Players!$B$5:$B$104,0)),"ID not found"))</f>
        <v/>
      </c>
      <c r="E213" s="27"/>
      <c r="F213" s="27"/>
      <c r="G213" s="28" t="str">
        <f aca="false">IF(F213="","",IFERROR(INDEX('Hitting Drills'!$D$6:$D$45,MATCH(F213,'Hitting Drills'!$B$6:$B$45,0)),"Not a hitting drill ID"))</f>
        <v/>
      </c>
      <c r="H213" s="27"/>
      <c r="I213" s="27"/>
      <c r="J213" s="27"/>
      <c r="K213" s="27"/>
      <c r="L213" s="27"/>
      <c r="M213" s="27"/>
      <c r="N213" s="27"/>
      <c r="O213" s="27"/>
      <c r="P213" s="27"/>
      <c r="Q213" s="27"/>
      <c r="R213" s="27"/>
      <c r="S213" s="29" t="str">
        <f aca="false">IF(OR(B213="",C213=""),"",IF(COUNTIFS($B$5:B213,B213,$C$5:C213,C213)=1,1,0))</f>
        <v/>
      </c>
      <c r="T213" s="29" t="str">
        <f aca="false">IF(OR(B213="",C213="",E213=""),"",IF(COUNTIFS($B$5:B213,B213,$C$5:C213,C213,$E$5:E213,E213)=1,1,0))</f>
        <v/>
      </c>
      <c r="U213" s="28" t="str">
        <f aca="false">IF(COUNTA(B213:C213,E213:F213,H213:P213)=0,"",IF(OR(B213="",C213="",E213=""),"Check: date, player, and context required",IF(AND(ISNUMBER(J213),ISNUMBER(I213),J213&gt;I213),"Check: solid contacts &gt; swings",IF(AND(ISNUMBER(L213),ISNUMBER(K213),L213&gt;K213),"Check: correct &gt; assessed decisions",IF(AND(ISNUMBER(N213),ISNUMBER(M213),N213&gt;M213),"Check: intended &gt; assessed landings",IF(AND(ISNUMBER(J213),I213=""),"Check: solid contacts without swings","OK"))))))</f>
        <v/>
      </c>
    </row>
    <row r="214" customFormat="false" ht="15" hidden="false" customHeight="false" outlineLevel="0" collapsed="false">
      <c r="B214" s="26"/>
      <c r="C214" s="27"/>
      <c r="D214" s="28" t="str">
        <f aca="false">IF(C214="","",IFERROR(INDEX(Players!$C$5:$C$104,MATCH(C214,Players!$B$5:$B$104,0)),"ID not found"))</f>
        <v/>
      </c>
      <c r="E214" s="27"/>
      <c r="F214" s="27"/>
      <c r="G214" s="28" t="str">
        <f aca="false">IF(F214="","",IFERROR(INDEX('Hitting Drills'!$D$6:$D$45,MATCH(F214,'Hitting Drills'!$B$6:$B$45,0)),"Not a hitting drill ID"))</f>
        <v/>
      </c>
      <c r="H214" s="27"/>
      <c r="I214" s="27"/>
      <c r="J214" s="27"/>
      <c r="K214" s="27"/>
      <c r="L214" s="27"/>
      <c r="M214" s="27"/>
      <c r="N214" s="27"/>
      <c r="O214" s="27"/>
      <c r="P214" s="27"/>
      <c r="Q214" s="27"/>
      <c r="R214" s="27"/>
      <c r="S214" s="29" t="str">
        <f aca="false">IF(OR(B214="",C214=""),"",IF(COUNTIFS($B$5:B214,B214,$C$5:C214,C214)=1,1,0))</f>
        <v/>
      </c>
      <c r="T214" s="29" t="str">
        <f aca="false">IF(OR(B214="",C214="",E214=""),"",IF(COUNTIFS($B$5:B214,B214,$C$5:C214,C214,$E$5:E214,E214)=1,1,0))</f>
        <v/>
      </c>
      <c r="U214" s="28" t="str">
        <f aca="false">IF(COUNTA(B214:C214,E214:F214,H214:P214)=0,"",IF(OR(B214="",C214="",E214=""),"Check: date, player, and context required",IF(AND(ISNUMBER(J214),ISNUMBER(I214),J214&gt;I214),"Check: solid contacts &gt; swings",IF(AND(ISNUMBER(L214),ISNUMBER(K214),L214&gt;K214),"Check: correct &gt; assessed decisions",IF(AND(ISNUMBER(N214),ISNUMBER(M214),N214&gt;M214),"Check: intended &gt; assessed landings",IF(AND(ISNUMBER(J214),I214=""),"Check: solid contacts without swings","OK"))))))</f>
        <v/>
      </c>
    </row>
    <row r="215" customFormat="false" ht="15" hidden="false" customHeight="false" outlineLevel="0" collapsed="false">
      <c r="B215" s="26"/>
      <c r="C215" s="27"/>
      <c r="D215" s="28" t="str">
        <f aca="false">IF(C215="","",IFERROR(INDEX(Players!$C$5:$C$104,MATCH(C215,Players!$B$5:$B$104,0)),"ID not found"))</f>
        <v/>
      </c>
      <c r="E215" s="27"/>
      <c r="F215" s="27"/>
      <c r="G215" s="28" t="str">
        <f aca="false">IF(F215="","",IFERROR(INDEX('Hitting Drills'!$D$6:$D$45,MATCH(F215,'Hitting Drills'!$B$6:$B$45,0)),"Not a hitting drill ID"))</f>
        <v/>
      </c>
      <c r="H215" s="27"/>
      <c r="I215" s="27"/>
      <c r="J215" s="27"/>
      <c r="K215" s="27"/>
      <c r="L215" s="27"/>
      <c r="M215" s="27"/>
      <c r="N215" s="27"/>
      <c r="O215" s="27"/>
      <c r="P215" s="27"/>
      <c r="Q215" s="27"/>
      <c r="R215" s="27"/>
      <c r="S215" s="29" t="str">
        <f aca="false">IF(OR(B215="",C215=""),"",IF(COUNTIFS($B$5:B215,B215,$C$5:C215,C215)=1,1,0))</f>
        <v/>
      </c>
      <c r="T215" s="29" t="str">
        <f aca="false">IF(OR(B215="",C215="",E215=""),"",IF(COUNTIFS($B$5:B215,B215,$C$5:C215,C215,$E$5:E215,E215)=1,1,0))</f>
        <v/>
      </c>
      <c r="U215" s="28" t="str">
        <f aca="false">IF(COUNTA(B215:C215,E215:F215,H215:P215)=0,"",IF(OR(B215="",C215="",E215=""),"Check: date, player, and context required",IF(AND(ISNUMBER(J215),ISNUMBER(I215),J215&gt;I215),"Check: solid contacts &gt; swings",IF(AND(ISNUMBER(L215),ISNUMBER(K215),L215&gt;K215),"Check: correct &gt; assessed decisions",IF(AND(ISNUMBER(N215),ISNUMBER(M215),N215&gt;M215),"Check: intended &gt; assessed landings",IF(AND(ISNUMBER(J215),I215=""),"Check: solid contacts without swings","OK"))))))</f>
        <v/>
      </c>
    </row>
    <row r="216" customFormat="false" ht="15" hidden="false" customHeight="false" outlineLevel="0" collapsed="false">
      <c r="B216" s="26"/>
      <c r="C216" s="27"/>
      <c r="D216" s="28" t="str">
        <f aca="false">IF(C216="","",IFERROR(INDEX(Players!$C$5:$C$104,MATCH(C216,Players!$B$5:$B$104,0)),"ID not found"))</f>
        <v/>
      </c>
      <c r="E216" s="27"/>
      <c r="F216" s="27"/>
      <c r="G216" s="28" t="str">
        <f aca="false">IF(F216="","",IFERROR(INDEX('Hitting Drills'!$D$6:$D$45,MATCH(F216,'Hitting Drills'!$B$6:$B$45,0)),"Not a hitting drill ID"))</f>
        <v/>
      </c>
      <c r="H216" s="27"/>
      <c r="I216" s="27"/>
      <c r="J216" s="27"/>
      <c r="K216" s="27"/>
      <c r="L216" s="27"/>
      <c r="M216" s="27"/>
      <c r="N216" s="27"/>
      <c r="O216" s="27"/>
      <c r="P216" s="27"/>
      <c r="Q216" s="27"/>
      <c r="R216" s="27"/>
      <c r="S216" s="29" t="str">
        <f aca="false">IF(OR(B216="",C216=""),"",IF(COUNTIFS($B$5:B216,B216,$C$5:C216,C216)=1,1,0))</f>
        <v/>
      </c>
      <c r="T216" s="29" t="str">
        <f aca="false">IF(OR(B216="",C216="",E216=""),"",IF(COUNTIFS($B$5:B216,B216,$C$5:C216,C216,$E$5:E216,E216)=1,1,0))</f>
        <v/>
      </c>
      <c r="U216" s="28" t="str">
        <f aca="false">IF(COUNTA(B216:C216,E216:F216,H216:P216)=0,"",IF(OR(B216="",C216="",E216=""),"Check: date, player, and context required",IF(AND(ISNUMBER(J216),ISNUMBER(I216),J216&gt;I216),"Check: solid contacts &gt; swings",IF(AND(ISNUMBER(L216),ISNUMBER(K216),L216&gt;K216),"Check: correct &gt; assessed decisions",IF(AND(ISNUMBER(N216),ISNUMBER(M216),N216&gt;M216),"Check: intended &gt; assessed landings",IF(AND(ISNUMBER(J216),I216=""),"Check: solid contacts without swings","OK"))))))</f>
        <v/>
      </c>
    </row>
    <row r="217" customFormat="false" ht="15" hidden="false" customHeight="false" outlineLevel="0" collapsed="false">
      <c r="B217" s="26"/>
      <c r="C217" s="27"/>
      <c r="D217" s="28" t="str">
        <f aca="false">IF(C217="","",IFERROR(INDEX(Players!$C$5:$C$104,MATCH(C217,Players!$B$5:$B$104,0)),"ID not found"))</f>
        <v/>
      </c>
      <c r="E217" s="27"/>
      <c r="F217" s="27"/>
      <c r="G217" s="28" t="str">
        <f aca="false">IF(F217="","",IFERROR(INDEX('Hitting Drills'!$D$6:$D$45,MATCH(F217,'Hitting Drills'!$B$6:$B$45,0)),"Not a hitting drill ID"))</f>
        <v/>
      </c>
      <c r="H217" s="27"/>
      <c r="I217" s="27"/>
      <c r="J217" s="27"/>
      <c r="K217" s="27"/>
      <c r="L217" s="27"/>
      <c r="M217" s="27"/>
      <c r="N217" s="27"/>
      <c r="O217" s="27"/>
      <c r="P217" s="27"/>
      <c r="Q217" s="27"/>
      <c r="R217" s="27"/>
      <c r="S217" s="29" t="str">
        <f aca="false">IF(OR(B217="",C217=""),"",IF(COUNTIFS($B$5:B217,B217,$C$5:C217,C217)=1,1,0))</f>
        <v/>
      </c>
      <c r="T217" s="29" t="str">
        <f aca="false">IF(OR(B217="",C217="",E217=""),"",IF(COUNTIFS($B$5:B217,B217,$C$5:C217,C217,$E$5:E217,E217)=1,1,0))</f>
        <v/>
      </c>
      <c r="U217" s="28" t="str">
        <f aca="false">IF(COUNTA(B217:C217,E217:F217,H217:P217)=0,"",IF(OR(B217="",C217="",E217=""),"Check: date, player, and context required",IF(AND(ISNUMBER(J217),ISNUMBER(I217),J217&gt;I217),"Check: solid contacts &gt; swings",IF(AND(ISNUMBER(L217),ISNUMBER(K217),L217&gt;K217),"Check: correct &gt; assessed decisions",IF(AND(ISNUMBER(N217),ISNUMBER(M217),N217&gt;M217),"Check: intended &gt; assessed landings",IF(AND(ISNUMBER(J217),I217=""),"Check: solid contacts without swings","OK"))))))</f>
        <v/>
      </c>
    </row>
    <row r="218" customFormat="false" ht="15" hidden="false" customHeight="false" outlineLevel="0" collapsed="false">
      <c r="B218" s="26"/>
      <c r="C218" s="27"/>
      <c r="D218" s="28" t="str">
        <f aca="false">IF(C218="","",IFERROR(INDEX(Players!$C$5:$C$104,MATCH(C218,Players!$B$5:$B$104,0)),"ID not found"))</f>
        <v/>
      </c>
      <c r="E218" s="27"/>
      <c r="F218" s="27"/>
      <c r="G218" s="28" t="str">
        <f aca="false">IF(F218="","",IFERROR(INDEX('Hitting Drills'!$D$6:$D$45,MATCH(F218,'Hitting Drills'!$B$6:$B$45,0)),"Not a hitting drill ID"))</f>
        <v/>
      </c>
      <c r="H218" s="27"/>
      <c r="I218" s="27"/>
      <c r="J218" s="27"/>
      <c r="K218" s="27"/>
      <c r="L218" s="27"/>
      <c r="M218" s="27"/>
      <c r="N218" s="27"/>
      <c r="O218" s="27"/>
      <c r="P218" s="27"/>
      <c r="Q218" s="27"/>
      <c r="R218" s="27"/>
      <c r="S218" s="29" t="str">
        <f aca="false">IF(OR(B218="",C218=""),"",IF(COUNTIFS($B$5:B218,B218,$C$5:C218,C218)=1,1,0))</f>
        <v/>
      </c>
      <c r="T218" s="29" t="str">
        <f aca="false">IF(OR(B218="",C218="",E218=""),"",IF(COUNTIFS($B$5:B218,B218,$C$5:C218,C218,$E$5:E218,E218)=1,1,0))</f>
        <v/>
      </c>
      <c r="U218" s="28" t="str">
        <f aca="false">IF(COUNTA(B218:C218,E218:F218,H218:P218)=0,"",IF(OR(B218="",C218="",E218=""),"Check: date, player, and context required",IF(AND(ISNUMBER(J218),ISNUMBER(I218),J218&gt;I218),"Check: solid contacts &gt; swings",IF(AND(ISNUMBER(L218),ISNUMBER(K218),L218&gt;K218),"Check: correct &gt; assessed decisions",IF(AND(ISNUMBER(N218),ISNUMBER(M218),N218&gt;M218),"Check: intended &gt; assessed landings",IF(AND(ISNUMBER(J218),I218=""),"Check: solid contacts without swings","OK"))))))</f>
        <v/>
      </c>
    </row>
    <row r="219" customFormat="false" ht="15" hidden="false" customHeight="false" outlineLevel="0" collapsed="false">
      <c r="B219" s="26"/>
      <c r="C219" s="27"/>
      <c r="D219" s="28" t="str">
        <f aca="false">IF(C219="","",IFERROR(INDEX(Players!$C$5:$C$104,MATCH(C219,Players!$B$5:$B$104,0)),"ID not found"))</f>
        <v/>
      </c>
      <c r="E219" s="27"/>
      <c r="F219" s="27"/>
      <c r="G219" s="28" t="str">
        <f aca="false">IF(F219="","",IFERROR(INDEX('Hitting Drills'!$D$6:$D$45,MATCH(F219,'Hitting Drills'!$B$6:$B$45,0)),"Not a hitting drill ID"))</f>
        <v/>
      </c>
      <c r="H219" s="27"/>
      <c r="I219" s="27"/>
      <c r="J219" s="27"/>
      <c r="K219" s="27"/>
      <c r="L219" s="27"/>
      <c r="M219" s="27"/>
      <c r="N219" s="27"/>
      <c r="O219" s="27"/>
      <c r="P219" s="27"/>
      <c r="Q219" s="27"/>
      <c r="R219" s="27"/>
      <c r="S219" s="29" t="str">
        <f aca="false">IF(OR(B219="",C219=""),"",IF(COUNTIFS($B$5:B219,B219,$C$5:C219,C219)=1,1,0))</f>
        <v/>
      </c>
      <c r="T219" s="29" t="str">
        <f aca="false">IF(OR(B219="",C219="",E219=""),"",IF(COUNTIFS($B$5:B219,B219,$C$5:C219,C219,$E$5:E219,E219)=1,1,0))</f>
        <v/>
      </c>
      <c r="U219" s="28" t="str">
        <f aca="false">IF(COUNTA(B219:C219,E219:F219,H219:P219)=0,"",IF(OR(B219="",C219="",E219=""),"Check: date, player, and context required",IF(AND(ISNUMBER(J219),ISNUMBER(I219),J219&gt;I219),"Check: solid contacts &gt; swings",IF(AND(ISNUMBER(L219),ISNUMBER(K219),L219&gt;K219),"Check: correct &gt; assessed decisions",IF(AND(ISNUMBER(N219),ISNUMBER(M219),N219&gt;M219),"Check: intended &gt; assessed landings",IF(AND(ISNUMBER(J219),I219=""),"Check: solid contacts without swings","OK"))))))</f>
        <v/>
      </c>
    </row>
    <row r="220" customFormat="false" ht="15" hidden="false" customHeight="false" outlineLevel="0" collapsed="false">
      <c r="B220" s="26"/>
      <c r="C220" s="27"/>
      <c r="D220" s="28" t="str">
        <f aca="false">IF(C220="","",IFERROR(INDEX(Players!$C$5:$C$104,MATCH(C220,Players!$B$5:$B$104,0)),"ID not found"))</f>
        <v/>
      </c>
      <c r="E220" s="27"/>
      <c r="F220" s="27"/>
      <c r="G220" s="28" t="str">
        <f aca="false">IF(F220="","",IFERROR(INDEX('Hitting Drills'!$D$6:$D$45,MATCH(F220,'Hitting Drills'!$B$6:$B$45,0)),"Not a hitting drill ID"))</f>
        <v/>
      </c>
      <c r="H220" s="27"/>
      <c r="I220" s="27"/>
      <c r="J220" s="27"/>
      <c r="K220" s="27"/>
      <c r="L220" s="27"/>
      <c r="M220" s="27"/>
      <c r="N220" s="27"/>
      <c r="O220" s="27"/>
      <c r="P220" s="27"/>
      <c r="Q220" s="27"/>
      <c r="R220" s="27"/>
      <c r="S220" s="29" t="str">
        <f aca="false">IF(OR(B220="",C220=""),"",IF(COUNTIFS($B$5:B220,B220,$C$5:C220,C220)=1,1,0))</f>
        <v/>
      </c>
      <c r="T220" s="29" t="str">
        <f aca="false">IF(OR(B220="",C220="",E220=""),"",IF(COUNTIFS($B$5:B220,B220,$C$5:C220,C220,$E$5:E220,E220)=1,1,0))</f>
        <v/>
      </c>
      <c r="U220" s="28" t="str">
        <f aca="false">IF(COUNTA(B220:C220,E220:F220,H220:P220)=0,"",IF(OR(B220="",C220="",E220=""),"Check: date, player, and context required",IF(AND(ISNUMBER(J220),ISNUMBER(I220),J220&gt;I220),"Check: solid contacts &gt; swings",IF(AND(ISNUMBER(L220),ISNUMBER(K220),L220&gt;K220),"Check: correct &gt; assessed decisions",IF(AND(ISNUMBER(N220),ISNUMBER(M220),N220&gt;M220),"Check: intended &gt; assessed landings",IF(AND(ISNUMBER(J220),I220=""),"Check: solid contacts without swings","OK"))))))</f>
        <v/>
      </c>
    </row>
    <row r="221" customFormat="false" ht="15" hidden="false" customHeight="false" outlineLevel="0" collapsed="false">
      <c r="B221" s="26"/>
      <c r="C221" s="27"/>
      <c r="D221" s="28" t="str">
        <f aca="false">IF(C221="","",IFERROR(INDEX(Players!$C$5:$C$104,MATCH(C221,Players!$B$5:$B$104,0)),"ID not found"))</f>
        <v/>
      </c>
      <c r="E221" s="27"/>
      <c r="F221" s="27"/>
      <c r="G221" s="28" t="str">
        <f aca="false">IF(F221="","",IFERROR(INDEX('Hitting Drills'!$D$6:$D$45,MATCH(F221,'Hitting Drills'!$B$6:$B$45,0)),"Not a hitting drill ID"))</f>
        <v/>
      </c>
      <c r="H221" s="27"/>
      <c r="I221" s="27"/>
      <c r="J221" s="27"/>
      <c r="K221" s="27"/>
      <c r="L221" s="27"/>
      <c r="M221" s="27"/>
      <c r="N221" s="27"/>
      <c r="O221" s="27"/>
      <c r="P221" s="27"/>
      <c r="Q221" s="27"/>
      <c r="R221" s="27"/>
      <c r="S221" s="29" t="str">
        <f aca="false">IF(OR(B221="",C221=""),"",IF(COUNTIFS($B$5:B221,B221,$C$5:C221,C221)=1,1,0))</f>
        <v/>
      </c>
      <c r="T221" s="29" t="str">
        <f aca="false">IF(OR(B221="",C221="",E221=""),"",IF(COUNTIFS($B$5:B221,B221,$C$5:C221,C221,$E$5:E221,E221)=1,1,0))</f>
        <v/>
      </c>
      <c r="U221" s="28" t="str">
        <f aca="false">IF(COUNTA(B221:C221,E221:F221,H221:P221)=0,"",IF(OR(B221="",C221="",E221=""),"Check: date, player, and context required",IF(AND(ISNUMBER(J221),ISNUMBER(I221),J221&gt;I221),"Check: solid contacts &gt; swings",IF(AND(ISNUMBER(L221),ISNUMBER(K221),L221&gt;K221),"Check: correct &gt; assessed decisions",IF(AND(ISNUMBER(N221),ISNUMBER(M221),N221&gt;M221),"Check: intended &gt; assessed landings",IF(AND(ISNUMBER(J221),I221=""),"Check: solid contacts without swings","OK"))))))</f>
        <v/>
      </c>
    </row>
    <row r="222" customFormat="false" ht="15" hidden="false" customHeight="false" outlineLevel="0" collapsed="false">
      <c r="B222" s="26"/>
      <c r="C222" s="27"/>
      <c r="D222" s="28" t="str">
        <f aca="false">IF(C222="","",IFERROR(INDEX(Players!$C$5:$C$104,MATCH(C222,Players!$B$5:$B$104,0)),"ID not found"))</f>
        <v/>
      </c>
      <c r="E222" s="27"/>
      <c r="F222" s="27"/>
      <c r="G222" s="28" t="str">
        <f aca="false">IF(F222="","",IFERROR(INDEX('Hitting Drills'!$D$6:$D$45,MATCH(F222,'Hitting Drills'!$B$6:$B$45,0)),"Not a hitting drill ID"))</f>
        <v/>
      </c>
      <c r="H222" s="27"/>
      <c r="I222" s="27"/>
      <c r="J222" s="27"/>
      <c r="K222" s="27"/>
      <c r="L222" s="27"/>
      <c r="M222" s="27"/>
      <c r="N222" s="27"/>
      <c r="O222" s="27"/>
      <c r="P222" s="27"/>
      <c r="Q222" s="27"/>
      <c r="R222" s="27"/>
      <c r="S222" s="29" t="str">
        <f aca="false">IF(OR(B222="",C222=""),"",IF(COUNTIFS($B$5:B222,B222,$C$5:C222,C222)=1,1,0))</f>
        <v/>
      </c>
      <c r="T222" s="29" t="str">
        <f aca="false">IF(OR(B222="",C222="",E222=""),"",IF(COUNTIFS($B$5:B222,B222,$C$5:C222,C222,$E$5:E222,E222)=1,1,0))</f>
        <v/>
      </c>
      <c r="U222" s="28" t="str">
        <f aca="false">IF(COUNTA(B222:C222,E222:F222,H222:P222)=0,"",IF(OR(B222="",C222="",E222=""),"Check: date, player, and context required",IF(AND(ISNUMBER(J222),ISNUMBER(I222),J222&gt;I222),"Check: solid contacts &gt; swings",IF(AND(ISNUMBER(L222),ISNUMBER(K222),L222&gt;K222),"Check: correct &gt; assessed decisions",IF(AND(ISNUMBER(N222),ISNUMBER(M222),N222&gt;M222),"Check: intended &gt; assessed landings",IF(AND(ISNUMBER(J222),I222=""),"Check: solid contacts without swings","OK"))))))</f>
        <v/>
      </c>
    </row>
    <row r="223" customFormat="false" ht="15" hidden="false" customHeight="false" outlineLevel="0" collapsed="false">
      <c r="B223" s="26"/>
      <c r="C223" s="27"/>
      <c r="D223" s="28" t="str">
        <f aca="false">IF(C223="","",IFERROR(INDEX(Players!$C$5:$C$104,MATCH(C223,Players!$B$5:$B$104,0)),"ID not found"))</f>
        <v/>
      </c>
      <c r="E223" s="27"/>
      <c r="F223" s="27"/>
      <c r="G223" s="28" t="str">
        <f aca="false">IF(F223="","",IFERROR(INDEX('Hitting Drills'!$D$6:$D$45,MATCH(F223,'Hitting Drills'!$B$6:$B$45,0)),"Not a hitting drill ID"))</f>
        <v/>
      </c>
      <c r="H223" s="27"/>
      <c r="I223" s="27"/>
      <c r="J223" s="27"/>
      <c r="K223" s="27"/>
      <c r="L223" s="27"/>
      <c r="M223" s="27"/>
      <c r="N223" s="27"/>
      <c r="O223" s="27"/>
      <c r="P223" s="27"/>
      <c r="Q223" s="27"/>
      <c r="R223" s="27"/>
      <c r="S223" s="29" t="str">
        <f aca="false">IF(OR(B223="",C223=""),"",IF(COUNTIFS($B$5:B223,B223,$C$5:C223,C223)=1,1,0))</f>
        <v/>
      </c>
      <c r="T223" s="29" t="str">
        <f aca="false">IF(OR(B223="",C223="",E223=""),"",IF(COUNTIFS($B$5:B223,B223,$C$5:C223,C223,$E$5:E223,E223)=1,1,0))</f>
        <v/>
      </c>
      <c r="U223" s="28" t="str">
        <f aca="false">IF(COUNTA(B223:C223,E223:F223,H223:P223)=0,"",IF(OR(B223="",C223="",E223=""),"Check: date, player, and context required",IF(AND(ISNUMBER(J223),ISNUMBER(I223),J223&gt;I223),"Check: solid contacts &gt; swings",IF(AND(ISNUMBER(L223),ISNUMBER(K223),L223&gt;K223),"Check: correct &gt; assessed decisions",IF(AND(ISNUMBER(N223),ISNUMBER(M223),N223&gt;M223),"Check: intended &gt; assessed landings",IF(AND(ISNUMBER(J223),I223=""),"Check: solid contacts without swings","OK"))))))</f>
        <v/>
      </c>
    </row>
    <row r="224" customFormat="false" ht="15" hidden="false" customHeight="false" outlineLevel="0" collapsed="false">
      <c r="B224" s="26"/>
      <c r="C224" s="27"/>
      <c r="D224" s="28" t="str">
        <f aca="false">IF(C224="","",IFERROR(INDEX(Players!$C$5:$C$104,MATCH(C224,Players!$B$5:$B$104,0)),"ID not found"))</f>
        <v/>
      </c>
      <c r="E224" s="27"/>
      <c r="F224" s="27"/>
      <c r="G224" s="28" t="str">
        <f aca="false">IF(F224="","",IFERROR(INDEX('Hitting Drills'!$D$6:$D$45,MATCH(F224,'Hitting Drills'!$B$6:$B$45,0)),"Not a hitting drill ID"))</f>
        <v/>
      </c>
      <c r="H224" s="27"/>
      <c r="I224" s="27"/>
      <c r="J224" s="27"/>
      <c r="K224" s="27"/>
      <c r="L224" s="27"/>
      <c r="M224" s="27"/>
      <c r="N224" s="27"/>
      <c r="O224" s="27"/>
      <c r="P224" s="27"/>
      <c r="Q224" s="27"/>
      <c r="R224" s="27"/>
      <c r="S224" s="29" t="str">
        <f aca="false">IF(OR(B224="",C224=""),"",IF(COUNTIFS($B$5:B224,B224,$C$5:C224,C224)=1,1,0))</f>
        <v/>
      </c>
      <c r="T224" s="29" t="str">
        <f aca="false">IF(OR(B224="",C224="",E224=""),"",IF(COUNTIFS($B$5:B224,B224,$C$5:C224,C224,$E$5:E224,E224)=1,1,0))</f>
        <v/>
      </c>
      <c r="U224" s="28" t="str">
        <f aca="false">IF(COUNTA(B224:C224,E224:F224,H224:P224)=0,"",IF(OR(B224="",C224="",E224=""),"Check: date, player, and context required",IF(AND(ISNUMBER(J224),ISNUMBER(I224),J224&gt;I224),"Check: solid contacts &gt; swings",IF(AND(ISNUMBER(L224),ISNUMBER(K224),L224&gt;K224),"Check: correct &gt; assessed decisions",IF(AND(ISNUMBER(N224),ISNUMBER(M224),N224&gt;M224),"Check: intended &gt; assessed landings",IF(AND(ISNUMBER(J224),I224=""),"Check: solid contacts without swings","OK"))))))</f>
        <v/>
      </c>
    </row>
    <row r="225" customFormat="false" ht="15" hidden="false" customHeight="false" outlineLevel="0" collapsed="false">
      <c r="B225" s="26"/>
      <c r="C225" s="27"/>
      <c r="D225" s="28" t="str">
        <f aca="false">IF(C225="","",IFERROR(INDEX(Players!$C$5:$C$104,MATCH(C225,Players!$B$5:$B$104,0)),"ID not found"))</f>
        <v/>
      </c>
      <c r="E225" s="27"/>
      <c r="F225" s="27"/>
      <c r="G225" s="28" t="str">
        <f aca="false">IF(F225="","",IFERROR(INDEX('Hitting Drills'!$D$6:$D$45,MATCH(F225,'Hitting Drills'!$B$6:$B$45,0)),"Not a hitting drill ID"))</f>
        <v/>
      </c>
      <c r="H225" s="27"/>
      <c r="I225" s="27"/>
      <c r="J225" s="27"/>
      <c r="K225" s="27"/>
      <c r="L225" s="27"/>
      <c r="M225" s="27"/>
      <c r="N225" s="27"/>
      <c r="O225" s="27"/>
      <c r="P225" s="27"/>
      <c r="Q225" s="27"/>
      <c r="R225" s="27"/>
      <c r="S225" s="29" t="str">
        <f aca="false">IF(OR(B225="",C225=""),"",IF(COUNTIFS($B$5:B225,B225,$C$5:C225,C225)=1,1,0))</f>
        <v/>
      </c>
      <c r="T225" s="29" t="str">
        <f aca="false">IF(OR(B225="",C225="",E225=""),"",IF(COUNTIFS($B$5:B225,B225,$C$5:C225,C225,$E$5:E225,E225)=1,1,0))</f>
        <v/>
      </c>
      <c r="U225" s="28" t="str">
        <f aca="false">IF(COUNTA(B225:C225,E225:F225,H225:P225)=0,"",IF(OR(B225="",C225="",E225=""),"Check: date, player, and context required",IF(AND(ISNUMBER(J225),ISNUMBER(I225),J225&gt;I225),"Check: solid contacts &gt; swings",IF(AND(ISNUMBER(L225),ISNUMBER(K225),L225&gt;K225),"Check: correct &gt; assessed decisions",IF(AND(ISNUMBER(N225),ISNUMBER(M225),N225&gt;M225),"Check: intended &gt; assessed landings",IF(AND(ISNUMBER(J225),I225=""),"Check: solid contacts without swings","OK"))))))</f>
        <v/>
      </c>
    </row>
    <row r="226" customFormat="false" ht="15" hidden="false" customHeight="false" outlineLevel="0" collapsed="false">
      <c r="B226" s="26"/>
      <c r="C226" s="27"/>
      <c r="D226" s="28" t="str">
        <f aca="false">IF(C226="","",IFERROR(INDEX(Players!$C$5:$C$104,MATCH(C226,Players!$B$5:$B$104,0)),"ID not found"))</f>
        <v/>
      </c>
      <c r="E226" s="27"/>
      <c r="F226" s="27"/>
      <c r="G226" s="28" t="str">
        <f aca="false">IF(F226="","",IFERROR(INDEX('Hitting Drills'!$D$6:$D$45,MATCH(F226,'Hitting Drills'!$B$6:$B$45,0)),"Not a hitting drill ID"))</f>
        <v/>
      </c>
      <c r="H226" s="27"/>
      <c r="I226" s="27"/>
      <c r="J226" s="27"/>
      <c r="K226" s="27"/>
      <c r="L226" s="27"/>
      <c r="M226" s="27"/>
      <c r="N226" s="27"/>
      <c r="O226" s="27"/>
      <c r="P226" s="27"/>
      <c r="Q226" s="27"/>
      <c r="R226" s="27"/>
      <c r="S226" s="29" t="str">
        <f aca="false">IF(OR(B226="",C226=""),"",IF(COUNTIFS($B$5:B226,B226,$C$5:C226,C226)=1,1,0))</f>
        <v/>
      </c>
      <c r="T226" s="29" t="str">
        <f aca="false">IF(OR(B226="",C226="",E226=""),"",IF(COUNTIFS($B$5:B226,B226,$C$5:C226,C226,$E$5:E226,E226)=1,1,0))</f>
        <v/>
      </c>
      <c r="U226" s="28" t="str">
        <f aca="false">IF(COUNTA(B226:C226,E226:F226,H226:P226)=0,"",IF(OR(B226="",C226="",E226=""),"Check: date, player, and context required",IF(AND(ISNUMBER(J226),ISNUMBER(I226),J226&gt;I226),"Check: solid contacts &gt; swings",IF(AND(ISNUMBER(L226),ISNUMBER(K226),L226&gt;K226),"Check: correct &gt; assessed decisions",IF(AND(ISNUMBER(N226),ISNUMBER(M226),N226&gt;M226),"Check: intended &gt; assessed landings",IF(AND(ISNUMBER(J226),I226=""),"Check: solid contacts without swings","OK"))))))</f>
        <v/>
      </c>
    </row>
    <row r="227" customFormat="false" ht="15" hidden="false" customHeight="false" outlineLevel="0" collapsed="false">
      <c r="B227" s="26"/>
      <c r="C227" s="27"/>
      <c r="D227" s="28" t="str">
        <f aca="false">IF(C227="","",IFERROR(INDEX(Players!$C$5:$C$104,MATCH(C227,Players!$B$5:$B$104,0)),"ID not found"))</f>
        <v/>
      </c>
      <c r="E227" s="27"/>
      <c r="F227" s="27"/>
      <c r="G227" s="28" t="str">
        <f aca="false">IF(F227="","",IFERROR(INDEX('Hitting Drills'!$D$6:$D$45,MATCH(F227,'Hitting Drills'!$B$6:$B$45,0)),"Not a hitting drill ID"))</f>
        <v/>
      </c>
      <c r="H227" s="27"/>
      <c r="I227" s="27"/>
      <c r="J227" s="27"/>
      <c r="K227" s="27"/>
      <c r="L227" s="27"/>
      <c r="M227" s="27"/>
      <c r="N227" s="27"/>
      <c r="O227" s="27"/>
      <c r="P227" s="27"/>
      <c r="Q227" s="27"/>
      <c r="R227" s="27"/>
      <c r="S227" s="29" t="str">
        <f aca="false">IF(OR(B227="",C227=""),"",IF(COUNTIFS($B$5:B227,B227,$C$5:C227,C227)=1,1,0))</f>
        <v/>
      </c>
      <c r="T227" s="29" t="str">
        <f aca="false">IF(OR(B227="",C227="",E227=""),"",IF(COUNTIFS($B$5:B227,B227,$C$5:C227,C227,$E$5:E227,E227)=1,1,0))</f>
        <v/>
      </c>
      <c r="U227" s="28" t="str">
        <f aca="false">IF(COUNTA(B227:C227,E227:F227,H227:P227)=0,"",IF(OR(B227="",C227="",E227=""),"Check: date, player, and context required",IF(AND(ISNUMBER(J227),ISNUMBER(I227),J227&gt;I227),"Check: solid contacts &gt; swings",IF(AND(ISNUMBER(L227),ISNUMBER(K227),L227&gt;K227),"Check: correct &gt; assessed decisions",IF(AND(ISNUMBER(N227),ISNUMBER(M227),N227&gt;M227),"Check: intended &gt; assessed landings",IF(AND(ISNUMBER(J227),I227=""),"Check: solid contacts without swings","OK"))))))</f>
        <v/>
      </c>
    </row>
    <row r="228" customFormat="false" ht="15" hidden="false" customHeight="false" outlineLevel="0" collapsed="false">
      <c r="B228" s="26"/>
      <c r="C228" s="27"/>
      <c r="D228" s="28" t="str">
        <f aca="false">IF(C228="","",IFERROR(INDEX(Players!$C$5:$C$104,MATCH(C228,Players!$B$5:$B$104,0)),"ID not found"))</f>
        <v/>
      </c>
      <c r="E228" s="27"/>
      <c r="F228" s="27"/>
      <c r="G228" s="28" t="str">
        <f aca="false">IF(F228="","",IFERROR(INDEX('Hitting Drills'!$D$6:$D$45,MATCH(F228,'Hitting Drills'!$B$6:$B$45,0)),"Not a hitting drill ID"))</f>
        <v/>
      </c>
      <c r="H228" s="27"/>
      <c r="I228" s="27"/>
      <c r="J228" s="27"/>
      <c r="K228" s="27"/>
      <c r="L228" s="27"/>
      <c r="M228" s="27"/>
      <c r="N228" s="27"/>
      <c r="O228" s="27"/>
      <c r="P228" s="27"/>
      <c r="Q228" s="27"/>
      <c r="R228" s="27"/>
      <c r="S228" s="29" t="str">
        <f aca="false">IF(OR(B228="",C228=""),"",IF(COUNTIFS($B$5:B228,B228,$C$5:C228,C228)=1,1,0))</f>
        <v/>
      </c>
      <c r="T228" s="29" t="str">
        <f aca="false">IF(OR(B228="",C228="",E228=""),"",IF(COUNTIFS($B$5:B228,B228,$C$5:C228,C228,$E$5:E228,E228)=1,1,0))</f>
        <v/>
      </c>
      <c r="U228" s="28" t="str">
        <f aca="false">IF(COUNTA(B228:C228,E228:F228,H228:P228)=0,"",IF(OR(B228="",C228="",E228=""),"Check: date, player, and context required",IF(AND(ISNUMBER(J228),ISNUMBER(I228),J228&gt;I228),"Check: solid contacts &gt; swings",IF(AND(ISNUMBER(L228),ISNUMBER(K228),L228&gt;K228),"Check: correct &gt; assessed decisions",IF(AND(ISNUMBER(N228),ISNUMBER(M228),N228&gt;M228),"Check: intended &gt; assessed landings",IF(AND(ISNUMBER(J228),I228=""),"Check: solid contacts without swings","OK"))))))</f>
        <v/>
      </c>
    </row>
    <row r="229" customFormat="false" ht="15" hidden="false" customHeight="false" outlineLevel="0" collapsed="false">
      <c r="B229" s="26"/>
      <c r="C229" s="27"/>
      <c r="D229" s="28" t="str">
        <f aca="false">IF(C229="","",IFERROR(INDEX(Players!$C$5:$C$104,MATCH(C229,Players!$B$5:$B$104,0)),"ID not found"))</f>
        <v/>
      </c>
      <c r="E229" s="27"/>
      <c r="F229" s="27"/>
      <c r="G229" s="28" t="str">
        <f aca="false">IF(F229="","",IFERROR(INDEX('Hitting Drills'!$D$6:$D$45,MATCH(F229,'Hitting Drills'!$B$6:$B$45,0)),"Not a hitting drill ID"))</f>
        <v/>
      </c>
      <c r="H229" s="27"/>
      <c r="I229" s="27"/>
      <c r="J229" s="27"/>
      <c r="K229" s="27"/>
      <c r="L229" s="27"/>
      <c r="M229" s="27"/>
      <c r="N229" s="27"/>
      <c r="O229" s="27"/>
      <c r="P229" s="27"/>
      <c r="Q229" s="27"/>
      <c r="R229" s="27"/>
      <c r="S229" s="29" t="str">
        <f aca="false">IF(OR(B229="",C229=""),"",IF(COUNTIFS($B$5:B229,B229,$C$5:C229,C229)=1,1,0))</f>
        <v/>
      </c>
      <c r="T229" s="29" t="str">
        <f aca="false">IF(OR(B229="",C229="",E229=""),"",IF(COUNTIFS($B$5:B229,B229,$C$5:C229,C229,$E$5:E229,E229)=1,1,0))</f>
        <v/>
      </c>
      <c r="U229" s="28" t="str">
        <f aca="false">IF(COUNTA(B229:C229,E229:F229,H229:P229)=0,"",IF(OR(B229="",C229="",E229=""),"Check: date, player, and context required",IF(AND(ISNUMBER(J229),ISNUMBER(I229),J229&gt;I229),"Check: solid contacts &gt; swings",IF(AND(ISNUMBER(L229),ISNUMBER(K229),L229&gt;K229),"Check: correct &gt; assessed decisions",IF(AND(ISNUMBER(N229),ISNUMBER(M229),N229&gt;M229),"Check: intended &gt; assessed landings",IF(AND(ISNUMBER(J229),I229=""),"Check: solid contacts without swings","OK"))))))</f>
        <v/>
      </c>
    </row>
    <row r="230" customFormat="false" ht="15" hidden="false" customHeight="false" outlineLevel="0" collapsed="false">
      <c r="B230" s="26"/>
      <c r="C230" s="27"/>
      <c r="D230" s="28" t="str">
        <f aca="false">IF(C230="","",IFERROR(INDEX(Players!$C$5:$C$104,MATCH(C230,Players!$B$5:$B$104,0)),"ID not found"))</f>
        <v/>
      </c>
      <c r="E230" s="27"/>
      <c r="F230" s="27"/>
      <c r="G230" s="28" t="str">
        <f aca="false">IF(F230="","",IFERROR(INDEX('Hitting Drills'!$D$6:$D$45,MATCH(F230,'Hitting Drills'!$B$6:$B$45,0)),"Not a hitting drill ID"))</f>
        <v/>
      </c>
      <c r="H230" s="27"/>
      <c r="I230" s="27"/>
      <c r="J230" s="27"/>
      <c r="K230" s="27"/>
      <c r="L230" s="27"/>
      <c r="M230" s="27"/>
      <c r="N230" s="27"/>
      <c r="O230" s="27"/>
      <c r="P230" s="27"/>
      <c r="Q230" s="27"/>
      <c r="R230" s="27"/>
      <c r="S230" s="29" t="str">
        <f aca="false">IF(OR(B230="",C230=""),"",IF(COUNTIFS($B$5:B230,B230,$C$5:C230,C230)=1,1,0))</f>
        <v/>
      </c>
      <c r="T230" s="29" t="str">
        <f aca="false">IF(OR(B230="",C230="",E230=""),"",IF(COUNTIFS($B$5:B230,B230,$C$5:C230,C230,$E$5:E230,E230)=1,1,0))</f>
        <v/>
      </c>
      <c r="U230" s="28" t="str">
        <f aca="false">IF(COUNTA(B230:C230,E230:F230,H230:P230)=0,"",IF(OR(B230="",C230="",E230=""),"Check: date, player, and context required",IF(AND(ISNUMBER(J230),ISNUMBER(I230),J230&gt;I230),"Check: solid contacts &gt; swings",IF(AND(ISNUMBER(L230),ISNUMBER(K230),L230&gt;K230),"Check: correct &gt; assessed decisions",IF(AND(ISNUMBER(N230),ISNUMBER(M230),N230&gt;M230),"Check: intended &gt; assessed landings",IF(AND(ISNUMBER(J230),I230=""),"Check: solid contacts without swings","OK"))))))</f>
        <v/>
      </c>
    </row>
    <row r="231" customFormat="false" ht="15" hidden="false" customHeight="false" outlineLevel="0" collapsed="false">
      <c r="B231" s="26"/>
      <c r="C231" s="27"/>
      <c r="D231" s="28" t="str">
        <f aca="false">IF(C231="","",IFERROR(INDEX(Players!$C$5:$C$104,MATCH(C231,Players!$B$5:$B$104,0)),"ID not found"))</f>
        <v/>
      </c>
      <c r="E231" s="27"/>
      <c r="F231" s="27"/>
      <c r="G231" s="28" t="str">
        <f aca="false">IF(F231="","",IFERROR(INDEX('Hitting Drills'!$D$6:$D$45,MATCH(F231,'Hitting Drills'!$B$6:$B$45,0)),"Not a hitting drill ID"))</f>
        <v/>
      </c>
      <c r="H231" s="27"/>
      <c r="I231" s="27"/>
      <c r="J231" s="27"/>
      <c r="K231" s="27"/>
      <c r="L231" s="27"/>
      <c r="M231" s="27"/>
      <c r="N231" s="27"/>
      <c r="O231" s="27"/>
      <c r="P231" s="27"/>
      <c r="Q231" s="27"/>
      <c r="R231" s="27"/>
      <c r="S231" s="29" t="str">
        <f aca="false">IF(OR(B231="",C231=""),"",IF(COUNTIFS($B$5:B231,B231,$C$5:C231,C231)=1,1,0))</f>
        <v/>
      </c>
      <c r="T231" s="29" t="str">
        <f aca="false">IF(OR(B231="",C231="",E231=""),"",IF(COUNTIFS($B$5:B231,B231,$C$5:C231,C231,$E$5:E231,E231)=1,1,0))</f>
        <v/>
      </c>
      <c r="U231" s="28" t="str">
        <f aca="false">IF(COUNTA(B231:C231,E231:F231,H231:P231)=0,"",IF(OR(B231="",C231="",E231=""),"Check: date, player, and context required",IF(AND(ISNUMBER(J231),ISNUMBER(I231),J231&gt;I231),"Check: solid contacts &gt; swings",IF(AND(ISNUMBER(L231),ISNUMBER(K231),L231&gt;K231),"Check: correct &gt; assessed decisions",IF(AND(ISNUMBER(N231),ISNUMBER(M231),N231&gt;M231),"Check: intended &gt; assessed landings",IF(AND(ISNUMBER(J231),I231=""),"Check: solid contacts without swings","OK"))))))</f>
        <v/>
      </c>
    </row>
    <row r="232" customFormat="false" ht="15" hidden="false" customHeight="false" outlineLevel="0" collapsed="false">
      <c r="B232" s="26"/>
      <c r="C232" s="27"/>
      <c r="D232" s="28" t="str">
        <f aca="false">IF(C232="","",IFERROR(INDEX(Players!$C$5:$C$104,MATCH(C232,Players!$B$5:$B$104,0)),"ID not found"))</f>
        <v/>
      </c>
      <c r="E232" s="27"/>
      <c r="F232" s="27"/>
      <c r="G232" s="28" t="str">
        <f aca="false">IF(F232="","",IFERROR(INDEX('Hitting Drills'!$D$6:$D$45,MATCH(F232,'Hitting Drills'!$B$6:$B$45,0)),"Not a hitting drill ID"))</f>
        <v/>
      </c>
      <c r="H232" s="27"/>
      <c r="I232" s="27"/>
      <c r="J232" s="27"/>
      <c r="K232" s="27"/>
      <c r="L232" s="27"/>
      <c r="M232" s="27"/>
      <c r="N232" s="27"/>
      <c r="O232" s="27"/>
      <c r="P232" s="27"/>
      <c r="Q232" s="27"/>
      <c r="R232" s="27"/>
      <c r="S232" s="29" t="str">
        <f aca="false">IF(OR(B232="",C232=""),"",IF(COUNTIFS($B$5:B232,B232,$C$5:C232,C232)=1,1,0))</f>
        <v/>
      </c>
      <c r="T232" s="29" t="str">
        <f aca="false">IF(OR(B232="",C232="",E232=""),"",IF(COUNTIFS($B$5:B232,B232,$C$5:C232,C232,$E$5:E232,E232)=1,1,0))</f>
        <v/>
      </c>
      <c r="U232" s="28" t="str">
        <f aca="false">IF(COUNTA(B232:C232,E232:F232,H232:P232)=0,"",IF(OR(B232="",C232="",E232=""),"Check: date, player, and context required",IF(AND(ISNUMBER(J232),ISNUMBER(I232),J232&gt;I232),"Check: solid contacts &gt; swings",IF(AND(ISNUMBER(L232),ISNUMBER(K232),L232&gt;K232),"Check: correct &gt; assessed decisions",IF(AND(ISNUMBER(N232),ISNUMBER(M232),N232&gt;M232),"Check: intended &gt; assessed landings",IF(AND(ISNUMBER(J232),I232=""),"Check: solid contacts without swings","OK"))))))</f>
        <v/>
      </c>
    </row>
    <row r="233" customFormat="false" ht="15" hidden="false" customHeight="false" outlineLevel="0" collapsed="false">
      <c r="B233" s="26"/>
      <c r="C233" s="27"/>
      <c r="D233" s="28" t="str">
        <f aca="false">IF(C233="","",IFERROR(INDEX(Players!$C$5:$C$104,MATCH(C233,Players!$B$5:$B$104,0)),"ID not found"))</f>
        <v/>
      </c>
      <c r="E233" s="27"/>
      <c r="F233" s="27"/>
      <c r="G233" s="28" t="str">
        <f aca="false">IF(F233="","",IFERROR(INDEX('Hitting Drills'!$D$6:$D$45,MATCH(F233,'Hitting Drills'!$B$6:$B$45,0)),"Not a hitting drill ID"))</f>
        <v/>
      </c>
      <c r="H233" s="27"/>
      <c r="I233" s="27"/>
      <c r="J233" s="27"/>
      <c r="K233" s="27"/>
      <c r="L233" s="27"/>
      <c r="M233" s="27"/>
      <c r="N233" s="27"/>
      <c r="O233" s="27"/>
      <c r="P233" s="27"/>
      <c r="Q233" s="27"/>
      <c r="R233" s="27"/>
      <c r="S233" s="29" t="str">
        <f aca="false">IF(OR(B233="",C233=""),"",IF(COUNTIFS($B$5:B233,B233,$C$5:C233,C233)=1,1,0))</f>
        <v/>
      </c>
      <c r="T233" s="29" t="str">
        <f aca="false">IF(OR(B233="",C233="",E233=""),"",IF(COUNTIFS($B$5:B233,B233,$C$5:C233,C233,$E$5:E233,E233)=1,1,0))</f>
        <v/>
      </c>
      <c r="U233" s="28" t="str">
        <f aca="false">IF(COUNTA(B233:C233,E233:F233,H233:P233)=0,"",IF(OR(B233="",C233="",E233=""),"Check: date, player, and context required",IF(AND(ISNUMBER(J233),ISNUMBER(I233),J233&gt;I233),"Check: solid contacts &gt; swings",IF(AND(ISNUMBER(L233),ISNUMBER(K233),L233&gt;K233),"Check: correct &gt; assessed decisions",IF(AND(ISNUMBER(N233),ISNUMBER(M233),N233&gt;M233),"Check: intended &gt; assessed landings",IF(AND(ISNUMBER(J233),I233=""),"Check: solid contacts without swings","OK"))))))</f>
        <v/>
      </c>
    </row>
    <row r="234" customFormat="false" ht="15" hidden="false" customHeight="false" outlineLevel="0" collapsed="false">
      <c r="B234" s="26"/>
      <c r="C234" s="27"/>
      <c r="D234" s="28" t="str">
        <f aca="false">IF(C234="","",IFERROR(INDEX(Players!$C$5:$C$104,MATCH(C234,Players!$B$5:$B$104,0)),"ID not found"))</f>
        <v/>
      </c>
      <c r="E234" s="27"/>
      <c r="F234" s="27"/>
      <c r="G234" s="28" t="str">
        <f aca="false">IF(F234="","",IFERROR(INDEX('Hitting Drills'!$D$6:$D$45,MATCH(F234,'Hitting Drills'!$B$6:$B$45,0)),"Not a hitting drill ID"))</f>
        <v/>
      </c>
      <c r="H234" s="27"/>
      <c r="I234" s="27"/>
      <c r="J234" s="27"/>
      <c r="K234" s="27"/>
      <c r="L234" s="27"/>
      <c r="M234" s="27"/>
      <c r="N234" s="27"/>
      <c r="O234" s="27"/>
      <c r="P234" s="27"/>
      <c r="Q234" s="27"/>
      <c r="R234" s="27"/>
      <c r="S234" s="29" t="str">
        <f aca="false">IF(OR(B234="",C234=""),"",IF(COUNTIFS($B$5:B234,B234,$C$5:C234,C234)=1,1,0))</f>
        <v/>
      </c>
      <c r="T234" s="29" t="str">
        <f aca="false">IF(OR(B234="",C234="",E234=""),"",IF(COUNTIFS($B$5:B234,B234,$C$5:C234,C234,$E$5:E234,E234)=1,1,0))</f>
        <v/>
      </c>
      <c r="U234" s="28" t="str">
        <f aca="false">IF(COUNTA(B234:C234,E234:F234,H234:P234)=0,"",IF(OR(B234="",C234="",E234=""),"Check: date, player, and context required",IF(AND(ISNUMBER(J234),ISNUMBER(I234),J234&gt;I234),"Check: solid contacts &gt; swings",IF(AND(ISNUMBER(L234),ISNUMBER(K234),L234&gt;K234),"Check: correct &gt; assessed decisions",IF(AND(ISNUMBER(N234),ISNUMBER(M234),N234&gt;M234),"Check: intended &gt; assessed landings",IF(AND(ISNUMBER(J234),I234=""),"Check: solid contacts without swings","OK"))))))</f>
        <v/>
      </c>
    </row>
    <row r="235" customFormat="false" ht="15" hidden="false" customHeight="false" outlineLevel="0" collapsed="false">
      <c r="B235" s="26"/>
      <c r="C235" s="27"/>
      <c r="D235" s="28" t="str">
        <f aca="false">IF(C235="","",IFERROR(INDEX(Players!$C$5:$C$104,MATCH(C235,Players!$B$5:$B$104,0)),"ID not found"))</f>
        <v/>
      </c>
      <c r="E235" s="27"/>
      <c r="F235" s="27"/>
      <c r="G235" s="28" t="str">
        <f aca="false">IF(F235="","",IFERROR(INDEX('Hitting Drills'!$D$6:$D$45,MATCH(F235,'Hitting Drills'!$B$6:$B$45,0)),"Not a hitting drill ID"))</f>
        <v/>
      </c>
      <c r="H235" s="27"/>
      <c r="I235" s="27"/>
      <c r="J235" s="27"/>
      <c r="K235" s="27"/>
      <c r="L235" s="27"/>
      <c r="M235" s="27"/>
      <c r="N235" s="27"/>
      <c r="O235" s="27"/>
      <c r="P235" s="27"/>
      <c r="Q235" s="27"/>
      <c r="R235" s="27"/>
      <c r="S235" s="29" t="str">
        <f aca="false">IF(OR(B235="",C235=""),"",IF(COUNTIFS($B$5:B235,B235,$C$5:C235,C235)=1,1,0))</f>
        <v/>
      </c>
      <c r="T235" s="29" t="str">
        <f aca="false">IF(OR(B235="",C235="",E235=""),"",IF(COUNTIFS($B$5:B235,B235,$C$5:C235,C235,$E$5:E235,E235)=1,1,0))</f>
        <v/>
      </c>
      <c r="U235" s="28" t="str">
        <f aca="false">IF(COUNTA(B235:C235,E235:F235,H235:P235)=0,"",IF(OR(B235="",C235="",E235=""),"Check: date, player, and context required",IF(AND(ISNUMBER(J235),ISNUMBER(I235),J235&gt;I235),"Check: solid contacts &gt; swings",IF(AND(ISNUMBER(L235),ISNUMBER(K235),L235&gt;K235),"Check: correct &gt; assessed decisions",IF(AND(ISNUMBER(N235),ISNUMBER(M235),N235&gt;M235),"Check: intended &gt; assessed landings",IF(AND(ISNUMBER(J235),I235=""),"Check: solid contacts without swings","OK"))))))</f>
        <v/>
      </c>
    </row>
    <row r="236" customFormat="false" ht="15" hidden="false" customHeight="false" outlineLevel="0" collapsed="false">
      <c r="B236" s="26"/>
      <c r="C236" s="27"/>
      <c r="D236" s="28" t="str">
        <f aca="false">IF(C236="","",IFERROR(INDEX(Players!$C$5:$C$104,MATCH(C236,Players!$B$5:$B$104,0)),"ID not found"))</f>
        <v/>
      </c>
      <c r="E236" s="27"/>
      <c r="F236" s="27"/>
      <c r="G236" s="28" t="str">
        <f aca="false">IF(F236="","",IFERROR(INDEX('Hitting Drills'!$D$6:$D$45,MATCH(F236,'Hitting Drills'!$B$6:$B$45,0)),"Not a hitting drill ID"))</f>
        <v/>
      </c>
      <c r="H236" s="27"/>
      <c r="I236" s="27"/>
      <c r="J236" s="27"/>
      <c r="K236" s="27"/>
      <c r="L236" s="27"/>
      <c r="M236" s="27"/>
      <c r="N236" s="27"/>
      <c r="O236" s="27"/>
      <c r="P236" s="27"/>
      <c r="Q236" s="27"/>
      <c r="R236" s="27"/>
      <c r="S236" s="29" t="str">
        <f aca="false">IF(OR(B236="",C236=""),"",IF(COUNTIFS($B$5:B236,B236,$C$5:C236,C236)=1,1,0))</f>
        <v/>
      </c>
      <c r="T236" s="29" t="str">
        <f aca="false">IF(OR(B236="",C236="",E236=""),"",IF(COUNTIFS($B$5:B236,B236,$C$5:C236,C236,$E$5:E236,E236)=1,1,0))</f>
        <v/>
      </c>
      <c r="U236" s="28" t="str">
        <f aca="false">IF(COUNTA(B236:C236,E236:F236,H236:P236)=0,"",IF(OR(B236="",C236="",E236=""),"Check: date, player, and context required",IF(AND(ISNUMBER(J236),ISNUMBER(I236),J236&gt;I236),"Check: solid contacts &gt; swings",IF(AND(ISNUMBER(L236),ISNUMBER(K236),L236&gt;K236),"Check: correct &gt; assessed decisions",IF(AND(ISNUMBER(N236),ISNUMBER(M236),N236&gt;M236),"Check: intended &gt; assessed landings",IF(AND(ISNUMBER(J236),I236=""),"Check: solid contacts without swings","OK"))))))</f>
        <v/>
      </c>
    </row>
    <row r="237" customFormat="false" ht="15" hidden="false" customHeight="false" outlineLevel="0" collapsed="false">
      <c r="B237" s="26"/>
      <c r="C237" s="27"/>
      <c r="D237" s="28" t="str">
        <f aca="false">IF(C237="","",IFERROR(INDEX(Players!$C$5:$C$104,MATCH(C237,Players!$B$5:$B$104,0)),"ID not found"))</f>
        <v/>
      </c>
      <c r="E237" s="27"/>
      <c r="F237" s="27"/>
      <c r="G237" s="28" t="str">
        <f aca="false">IF(F237="","",IFERROR(INDEX('Hitting Drills'!$D$6:$D$45,MATCH(F237,'Hitting Drills'!$B$6:$B$45,0)),"Not a hitting drill ID"))</f>
        <v/>
      </c>
      <c r="H237" s="27"/>
      <c r="I237" s="27"/>
      <c r="J237" s="27"/>
      <c r="K237" s="27"/>
      <c r="L237" s="27"/>
      <c r="M237" s="27"/>
      <c r="N237" s="27"/>
      <c r="O237" s="27"/>
      <c r="P237" s="27"/>
      <c r="Q237" s="27"/>
      <c r="R237" s="27"/>
      <c r="S237" s="29" t="str">
        <f aca="false">IF(OR(B237="",C237=""),"",IF(COUNTIFS($B$5:B237,B237,$C$5:C237,C237)=1,1,0))</f>
        <v/>
      </c>
      <c r="T237" s="29" t="str">
        <f aca="false">IF(OR(B237="",C237="",E237=""),"",IF(COUNTIFS($B$5:B237,B237,$C$5:C237,C237,$E$5:E237,E237)=1,1,0))</f>
        <v/>
      </c>
      <c r="U237" s="28" t="str">
        <f aca="false">IF(COUNTA(B237:C237,E237:F237,H237:P237)=0,"",IF(OR(B237="",C237="",E237=""),"Check: date, player, and context required",IF(AND(ISNUMBER(J237),ISNUMBER(I237),J237&gt;I237),"Check: solid contacts &gt; swings",IF(AND(ISNUMBER(L237),ISNUMBER(K237),L237&gt;K237),"Check: correct &gt; assessed decisions",IF(AND(ISNUMBER(N237),ISNUMBER(M237),N237&gt;M237),"Check: intended &gt; assessed landings",IF(AND(ISNUMBER(J237),I237=""),"Check: solid contacts without swings","OK"))))))</f>
        <v/>
      </c>
    </row>
    <row r="238" customFormat="false" ht="15" hidden="false" customHeight="false" outlineLevel="0" collapsed="false">
      <c r="B238" s="26"/>
      <c r="C238" s="27"/>
      <c r="D238" s="28" t="str">
        <f aca="false">IF(C238="","",IFERROR(INDEX(Players!$C$5:$C$104,MATCH(C238,Players!$B$5:$B$104,0)),"ID not found"))</f>
        <v/>
      </c>
      <c r="E238" s="27"/>
      <c r="F238" s="27"/>
      <c r="G238" s="28" t="str">
        <f aca="false">IF(F238="","",IFERROR(INDEX('Hitting Drills'!$D$6:$D$45,MATCH(F238,'Hitting Drills'!$B$6:$B$45,0)),"Not a hitting drill ID"))</f>
        <v/>
      </c>
      <c r="H238" s="27"/>
      <c r="I238" s="27"/>
      <c r="J238" s="27"/>
      <c r="K238" s="27"/>
      <c r="L238" s="27"/>
      <c r="M238" s="27"/>
      <c r="N238" s="27"/>
      <c r="O238" s="27"/>
      <c r="P238" s="27"/>
      <c r="Q238" s="27"/>
      <c r="R238" s="27"/>
      <c r="S238" s="29" t="str">
        <f aca="false">IF(OR(B238="",C238=""),"",IF(COUNTIFS($B$5:B238,B238,$C$5:C238,C238)=1,1,0))</f>
        <v/>
      </c>
      <c r="T238" s="29" t="str">
        <f aca="false">IF(OR(B238="",C238="",E238=""),"",IF(COUNTIFS($B$5:B238,B238,$C$5:C238,C238,$E$5:E238,E238)=1,1,0))</f>
        <v/>
      </c>
      <c r="U238" s="28" t="str">
        <f aca="false">IF(COUNTA(B238:C238,E238:F238,H238:P238)=0,"",IF(OR(B238="",C238="",E238=""),"Check: date, player, and context required",IF(AND(ISNUMBER(J238),ISNUMBER(I238),J238&gt;I238),"Check: solid contacts &gt; swings",IF(AND(ISNUMBER(L238),ISNUMBER(K238),L238&gt;K238),"Check: correct &gt; assessed decisions",IF(AND(ISNUMBER(N238),ISNUMBER(M238),N238&gt;M238),"Check: intended &gt; assessed landings",IF(AND(ISNUMBER(J238),I238=""),"Check: solid contacts without swings","OK"))))))</f>
        <v/>
      </c>
    </row>
    <row r="239" customFormat="false" ht="15" hidden="false" customHeight="false" outlineLevel="0" collapsed="false">
      <c r="B239" s="26"/>
      <c r="C239" s="27"/>
      <c r="D239" s="28" t="str">
        <f aca="false">IF(C239="","",IFERROR(INDEX(Players!$C$5:$C$104,MATCH(C239,Players!$B$5:$B$104,0)),"ID not found"))</f>
        <v/>
      </c>
      <c r="E239" s="27"/>
      <c r="F239" s="27"/>
      <c r="G239" s="28" t="str">
        <f aca="false">IF(F239="","",IFERROR(INDEX('Hitting Drills'!$D$6:$D$45,MATCH(F239,'Hitting Drills'!$B$6:$B$45,0)),"Not a hitting drill ID"))</f>
        <v/>
      </c>
      <c r="H239" s="27"/>
      <c r="I239" s="27"/>
      <c r="J239" s="27"/>
      <c r="K239" s="27"/>
      <c r="L239" s="27"/>
      <c r="M239" s="27"/>
      <c r="N239" s="27"/>
      <c r="O239" s="27"/>
      <c r="P239" s="27"/>
      <c r="Q239" s="27"/>
      <c r="R239" s="27"/>
      <c r="S239" s="29" t="str">
        <f aca="false">IF(OR(B239="",C239=""),"",IF(COUNTIFS($B$5:B239,B239,$C$5:C239,C239)=1,1,0))</f>
        <v/>
      </c>
      <c r="T239" s="29" t="str">
        <f aca="false">IF(OR(B239="",C239="",E239=""),"",IF(COUNTIFS($B$5:B239,B239,$C$5:C239,C239,$E$5:E239,E239)=1,1,0))</f>
        <v/>
      </c>
      <c r="U239" s="28" t="str">
        <f aca="false">IF(COUNTA(B239:C239,E239:F239,H239:P239)=0,"",IF(OR(B239="",C239="",E239=""),"Check: date, player, and context required",IF(AND(ISNUMBER(J239),ISNUMBER(I239),J239&gt;I239),"Check: solid contacts &gt; swings",IF(AND(ISNUMBER(L239),ISNUMBER(K239),L239&gt;K239),"Check: correct &gt; assessed decisions",IF(AND(ISNUMBER(N239),ISNUMBER(M239),N239&gt;M239),"Check: intended &gt; assessed landings",IF(AND(ISNUMBER(J239),I239=""),"Check: solid contacts without swings","OK"))))))</f>
        <v/>
      </c>
    </row>
    <row r="240" customFormat="false" ht="15" hidden="false" customHeight="false" outlineLevel="0" collapsed="false">
      <c r="B240" s="26"/>
      <c r="C240" s="27"/>
      <c r="D240" s="28" t="str">
        <f aca="false">IF(C240="","",IFERROR(INDEX(Players!$C$5:$C$104,MATCH(C240,Players!$B$5:$B$104,0)),"ID not found"))</f>
        <v/>
      </c>
      <c r="E240" s="27"/>
      <c r="F240" s="27"/>
      <c r="G240" s="28" t="str">
        <f aca="false">IF(F240="","",IFERROR(INDEX('Hitting Drills'!$D$6:$D$45,MATCH(F240,'Hitting Drills'!$B$6:$B$45,0)),"Not a hitting drill ID"))</f>
        <v/>
      </c>
      <c r="H240" s="27"/>
      <c r="I240" s="27"/>
      <c r="J240" s="27"/>
      <c r="K240" s="27"/>
      <c r="L240" s="27"/>
      <c r="M240" s="27"/>
      <c r="N240" s="27"/>
      <c r="O240" s="27"/>
      <c r="P240" s="27"/>
      <c r="Q240" s="27"/>
      <c r="R240" s="27"/>
      <c r="S240" s="29" t="str">
        <f aca="false">IF(OR(B240="",C240=""),"",IF(COUNTIFS($B$5:B240,B240,$C$5:C240,C240)=1,1,0))</f>
        <v/>
      </c>
      <c r="T240" s="29" t="str">
        <f aca="false">IF(OR(B240="",C240="",E240=""),"",IF(COUNTIFS($B$5:B240,B240,$C$5:C240,C240,$E$5:E240,E240)=1,1,0))</f>
        <v/>
      </c>
      <c r="U240" s="28" t="str">
        <f aca="false">IF(COUNTA(B240:C240,E240:F240,H240:P240)=0,"",IF(OR(B240="",C240="",E240=""),"Check: date, player, and context required",IF(AND(ISNUMBER(J240),ISNUMBER(I240),J240&gt;I240),"Check: solid contacts &gt; swings",IF(AND(ISNUMBER(L240),ISNUMBER(K240),L240&gt;K240),"Check: correct &gt; assessed decisions",IF(AND(ISNUMBER(N240),ISNUMBER(M240),N240&gt;M240),"Check: intended &gt; assessed landings",IF(AND(ISNUMBER(J240),I240=""),"Check: solid contacts without swings","OK"))))))</f>
        <v/>
      </c>
    </row>
    <row r="241" customFormat="false" ht="15" hidden="false" customHeight="false" outlineLevel="0" collapsed="false">
      <c r="B241" s="26"/>
      <c r="C241" s="27"/>
      <c r="D241" s="28" t="str">
        <f aca="false">IF(C241="","",IFERROR(INDEX(Players!$C$5:$C$104,MATCH(C241,Players!$B$5:$B$104,0)),"ID not found"))</f>
        <v/>
      </c>
      <c r="E241" s="27"/>
      <c r="F241" s="27"/>
      <c r="G241" s="28" t="str">
        <f aca="false">IF(F241="","",IFERROR(INDEX('Hitting Drills'!$D$6:$D$45,MATCH(F241,'Hitting Drills'!$B$6:$B$45,0)),"Not a hitting drill ID"))</f>
        <v/>
      </c>
      <c r="H241" s="27"/>
      <c r="I241" s="27"/>
      <c r="J241" s="27"/>
      <c r="K241" s="27"/>
      <c r="L241" s="27"/>
      <c r="M241" s="27"/>
      <c r="N241" s="27"/>
      <c r="O241" s="27"/>
      <c r="P241" s="27"/>
      <c r="Q241" s="27"/>
      <c r="R241" s="27"/>
      <c r="S241" s="29" t="str">
        <f aca="false">IF(OR(B241="",C241=""),"",IF(COUNTIFS($B$5:B241,B241,$C$5:C241,C241)=1,1,0))</f>
        <v/>
      </c>
      <c r="T241" s="29" t="str">
        <f aca="false">IF(OR(B241="",C241="",E241=""),"",IF(COUNTIFS($B$5:B241,B241,$C$5:C241,C241,$E$5:E241,E241)=1,1,0))</f>
        <v/>
      </c>
      <c r="U241" s="28" t="str">
        <f aca="false">IF(COUNTA(B241:C241,E241:F241,H241:P241)=0,"",IF(OR(B241="",C241="",E241=""),"Check: date, player, and context required",IF(AND(ISNUMBER(J241),ISNUMBER(I241),J241&gt;I241),"Check: solid contacts &gt; swings",IF(AND(ISNUMBER(L241),ISNUMBER(K241),L241&gt;K241),"Check: correct &gt; assessed decisions",IF(AND(ISNUMBER(N241),ISNUMBER(M241),N241&gt;M241),"Check: intended &gt; assessed landings",IF(AND(ISNUMBER(J241),I241=""),"Check: solid contacts without swings","OK"))))))</f>
        <v/>
      </c>
    </row>
    <row r="242" customFormat="false" ht="15" hidden="false" customHeight="false" outlineLevel="0" collapsed="false">
      <c r="B242" s="26"/>
      <c r="C242" s="27"/>
      <c r="D242" s="28" t="str">
        <f aca="false">IF(C242="","",IFERROR(INDEX(Players!$C$5:$C$104,MATCH(C242,Players!$B$5:$B$104,0)),"ID not found"))</f>
        <v/>
      </c>
      <c r="E242" s="27"/>
      <c r="F242" s="27"/>
      <c r="G242" s="28" t="str">
        <f aca="false">IF(F242="","",IFERROR(INDEX('Hitting Drills'!$D$6:$D$45,MATCH(F242,'Hitting Drills'!$B$6:$B$45,0)),"Not a hitting drill ID"))</f>
        <v/>
      </c>
      <c r="H242" s="27"/>
      <c r="I242" s="27"/>
      <c r="J242" s="27"/>
      <c r="K242" s="27"/>
      <c r="L242" s="27"/>
      <c r="M242" s="27"/>
      <c r="N242" s="27"/>
      <c r="O242" s="27"/>
      <c r="P242" s="27"/>
      <c r="Q242" s="27"/>
      <c r="R242" s="27"/>
      <c r="S242" s="29" t="str">
        <f aca="false">IF(OR(B242="",C242=""),"",IF(COUNTIFS($B$5:B242,B242,$C$5:C242,C242)=1,1,0))</f>
        <v/>
      </c>
      <c r="T242" s="29" t="str">
        <f aca="false">IF(OR(B242="",C242="",E242=""),"",IF(COUNTIFS($B$5:B242,B242,$C$5:C242,C242,$E$5:E242,E242)=1,1,0))</f>
        <v/>
      </c>
      <c r="U242" s="28" t="str">
        <f aca="false">IF(COUNTA(B242:C242,E242:F242,H242:P242)=0,"",IF(OR(B242="",C242="",E242=""),"Check: date, player, and context required",IF(AND(ISNUMBER(J242),ISNUMBER(I242),J242&gt;I242),"Check: solid contacts &gt; swings",IF(AND(ISNUMBER(L242),ISNUMBER(K242),L242&gt;K242),"Check: correct &gt; assessed decisions",IF(AND(ISNUMBER(N242),ISNUMBER(M242),N242&gt;M242),"Check: intended &gt; assessed landings",IF(AND(ISNUMBER(J242),I242=""),"Check: solid contacts without swings","OK"))))))</f>
        <v/>
      </c>
    </row>
    <row r="243" customFormat="false" ht="15" hidden="false" customHeight="false" outlineLevel="0" collapsed="false">
      <c r="B243" s="26"/>
      <c r="C243" s="27"/>
      <c r="D243" s="28" t="str">
        <f aca="false">IF(C243="","",IFERROR(INDEX(Players!$C$5:$C$104,MATCH(C243,Players!$B$5:$B$104,0)),"ID not found"))</f>
        <v/>
      </c>
      <c r="E243" s="27"/>
      <c r="F243" s="27"/>
      <c r="G243" s="28" t="str">
        <f aca="false">IF(F243="","",IFERROR(INDEX('Hitting Drills'!$D$6:$D$45,MATCH(F243,'Hitting Drills'!$B$6:$B$45,0)),"Not a hitting drill ID"))</f>
        <v/>
      </c>
      <c r="H243" s="27"/>
      <c r="I243" s="27"/>
      <c r="J243" s="27"/>
      <c r="K243" s="27"/>
      <c r="L243" s="27"/>
      <c r="M243" s="27"/>
      <c r="N243" s="27"/>
      <c r="O243" s="27"/>
      <c r="P243" s="27"/>
      <c r="Q243" s="27"/>
      <c r="R243" s="27"/>
      <c r="S243" s="29" t="str">
        <f aca="false">IF(OR(B243="",C243=""),"",IF(COUNTIFS($B$5:B243,B243,$C$5:C243,C243)=1,1,0))</f>
        <v/>
      </c>
      <c r="T243" s="29" t="str">
        <f aca="false">IF(OR(B243="",C243="",E243=""),"",IF(COUNTIFS($B$5:B243,B243,$C$5:C243,C243,$E$5:E243,E243)=1,1,0))</f>
        <v/>
      </c>
      <c r="U243" s="28" t="str">
        <f aca="false">IF(COUNTA(B243:C243,E243:F243,H243:P243)=0,"",IF(OR(B243="",C243="",E243=""),"Check: date, player, and context required",IF(AND(ISNUMBER(J243),ISNUMBER(I243),J243&gt;I243),"Check: solid contacts &gt; swings",IF(AND(ISNUMBER(L243),ISNUMBER(K243),L243&gt;K243),"Check: correct &gt; assessed decisions",IF(AND(ISNUMBER(N243),ISNUMBER(M243),N243&gt;M243),"Check: intended &gt; assessed landings",IF(AND(ISNUMBER(J243),I243=""),"Check: solid contacts without swings","OK"))))))</f>
        <v/>
      </c>
    </row>
    <row r="244" customFormat="false" ht="15" hidden="false" customHeight="false" outlineLevel="0" collapsed="false">
      <c r="B244" s="26"/>
      <c r="C244" s="27"/>
      <c r="D244" s="28" t="str">
        <f aca="false">IF(C244="","",IFERROR(INDEX(Players!$C$5:$C$104,MATCH(C244,Players!$B$5:$B$104,0)),"ID not found"))</f>
        <v/>
      </c>
      <c r="E244" s="27"/>
      <c r="F244" s="27"/>
      <c r="G244" s="28" t="str">
        <f aca="false">IF(F244="","",IFERROR(INDEX('Hitting Drills'!$D$6:$D$45,MATCH(F244,'Hitting Drills'!$B$6:$B$45,0)),"Not a hitting drill ID"))</f>
        <v/>
      </c>
      <c r="H244" s="27"/>
      <c r="I244" s="27"/>
      <c r="J244" s="27"/>
      <c r="K244" s="27"/>
      <c r="L244" s="27"/>
      <c r="M244" s="27"/>
      <c r="N244" s="27"/>
      <c r="O244" s="27"/>
      <c r="P244" s="27"/>
      <c r="Q244" s="27"/>
      <c r="R244" s="27"/>
      <c r="S244" s="29" t="str">
        <f aca="false">IF(OR(B244="",C244=""),"",IF(COUNTIFS($B$5:B244,B244,$C$5:C244,C244)=1,1,0))</f>
        <v/>
      </c>
      <c r="T244" s="29" t="str">
        <f aca="false">IF(OR(B244="",C244="",E244=""),"",IF(COUNTIFS($B$5:B244,B244,$C$5:C244,C244,$E$5:E244,E244)=1,1,0))</f>
        <v/>
      </c>
      <c r="U244" s="28" t="str">
        <f aca="false">IF(COUNTA(B244:C244,E244:F244,H244:P244)=0,"",IF(OR(B244="",C244="",E244=""),"Check: date, player, and context required",IF(AND(ISNUMBER(J244),ISNUMBER(I244),J244&gt;I244),"Check: solid contacts &gt; swings",IF(AND(ISNUMBER(L244),ISNUMBER(K244),L244&gt;K244),"Check: correct &gt; assessed decisions",IF(AND(ISNUMBER(N244),ISNUMBER(M244),N244&gt;M244),"Check: intended &gt; assessed landings",IF(AND(ISNUMBER(J244),I244=""),"Check: solid contacts without swings","OK"))))))</f>
        <v/>
      </c>
    </row>
    <row r="245" customFormat="false" ht="15" hidden="false" customHeight="false" outlineLevel="0" collapsed="false">
      <c r="B245" s="26"/>
      <c r="C245" s="27"/>
      <c r="D245" s="28" t="str">
        <f aca="false">IF(C245="","",IFERROR(INDEX(Players!$C$5:$C$104,MATCH(C245,Players!$B$5:$B$104,0)),"ID not found"))</f>
        <v/>
      </c>
      <c r="E245" s="27"/>
      <c r="F245" s="27"/>
      <c r="G245" s="28" t="str">
        <f aca="false">IF(F245="","",IFERROR(INDEX('Hitting Drills'!$D$6:$D$45,MATCH(F245,'Hitting Drills'!$B$6:$B$45,0)),"Not a hitting drill ID"))</f>
        <v/>
      </c>
      <c r="H245" s="27"/>
      <c r="I245" s="27"/>
      <c r="J245" s="27"/>
      <c r="K245" s="27"/>
      <c r="L245" s="27"/>
      <c r="M245" s="27"/>
      <c r="N245" s="27"/>
      <c r="O245" s="27"/>
      <c r="P245" s="27"/>
      <c r="Q245" s="27"/>
      <c r="R245" s="27"/>
      <c r="S245" s="29" t="str">
        <f aca="false">IF(OR(B245="",C245=""),"",IF(COUNTIFS($B$5:B245,B245,$C$5:C245,C245)=1,1,0))</f>
        <v/>
      </c>
      <c r="T245" s="29" t="str">
        <f aca="false">IF(OR(B245="",C245="",E245=""),"",IF(COUNTIFS($B$5:B245,B245,$C$5:C245,C245,$E$5:E245,E245)=1,1,0))</f>
        <v/>
      </c>
      <c r="U245" s="28" t="str">
        <f aca="false">IF(COUNTA(B245:C245,E245:F245,H245:P245)=0,"",IF(OR(B245="",C245="",E245=""),"Check: date, player, and context required",IF(AND(ISNUMBER(J245),ISNUMBER(I245),J245&gt;I245),"Check: solid contacts &gt; swings",IF(AND(ISNUMBER(L245),ISNUMBER(K245),L245&gt;K245),"Check: correct &gt; assessed decisions",IF(AND(ISNUMBER(N245),ISNUMBER(M245),N245&gt;M245),"Check: intended &gt; assessed landings",IF(AND(ISNUMBER(J245),I245=""),"Check: solid contacts without swings","OK"))))))</f>
        <v/>
      </c>
    </row>
    <row r="246" customFormat="false" ht="15" hidden="false" customHeight="false" outlineLevel="0" collapsed="false">
      <c r="B246" s="26"/>
      <c r="C246" s="27"/>
      <c r="D246" s="28" t="str">
        <f aca="false">IF(C246="","",IFERROR(INDEX(Players!$C$5:$C$104,MATCH(C246,Players!$B$5:$B$104,0)),"ID not found"))</f>
        <v/>
      </c>
      <c r="E246" s="27"/>
      <c r="F246" s="27"/>
      <c r="G246" s="28" t="str">
        <f aca="false">IF(F246="","",IFERROR(INDEX('Hitting Drills'!$D$6:$D$45,MATCH(F246,'Hitting Drills'!$B$6:$B$45,0)),"Not a hitting drill ID"))</f>
        <v/>
      </c>
      <c r="H246" s="27"/>
      <c r="I246" s="27"/>
      <c r="J246" s="27"/>
      <c r="K246" s="27"/>
      <c r="L246" s="27"/>
      <c r="M246" s="27"/>
      <c r="N246" s="27"/>
      <c r="O246" s="27"/>
      <c r="P246" s="27"/>
      <c r="Q246" s="27"/>
      <c r="R246" s="27"/>
      <c r="S246" s="29" t="str">
        <f aca="false">IF(OR(B246="",C246=""),"",IF(COUNTIFS($B$5:B246,B246,$C$5:C246,C246)=1,1,0))</f>
        <v/>
      </c>
      <c r="T246" s="29" t="str">
        <f aca="false">IF(OR(B246="",C246="",E246=""),"",IF(COUNTIFS($B$5:B246,B246,$C$5:C246,C246,$E$5:E246,E246)=1,1,0))</f>
        <v/>
      </c>
      <c r="U246" s="28" t="str">
        <f aca="false">IF(COUNTA(B246:C246,E246:F246,H246:P246)=0,"",IF(OR(B246="",C246="",E246=""),"Check: date, player, and context required",IF(AND(ISNUMBER(J246),ISNUMBER(I246),J246&gt;I246),"Check: solid contacts &gt; swings",IF(AND(ISNUMBER(L246),ISNUMBER(K246),L246&gt;K246),"Check: correct &gt; assessed decisions",IF(AND(ISNUMBER(N246),ISNUMBER(M246),N246&gt;M246),"Check: intended &gt; assessed landings",IF(AND(ISNUMBER(J246),I246=""),"Check: solid contacts without swings","OK"))))))</f>
        <v/>
      </c>
    </row>
    <row r="247" customFormat="false" ht="15" hidden="false" customHeight="false" outlineLevel="0" collapsed="false">
      <c r="B247" s="26"/>
      <c r="C247" s="27"/>
      <c r="D247" s="28" t="str">
        <f aca="false">IF(C247="","",IFERROR(INDEX(Players!$C$5:$C$104,MATCH(C247,Players!$B$5:$B$104,0)),"ID not found"))</f>
        <v/>
      </c>
      <c r="E247" s="27"/>
      <c r="F247" s="27"/>
      <c r="G247" s="28" t="str">
        <f aca="false">IF(F247="","",IFERROR(INDEX('Hitting Drills'!$D$6:$D$45,MATCH(F247,'Hitting Drills'!$B$6:$B$45,0)),"Not a hitting drill ID"))</f>
        <v/>
      </c>
      <c r="H247" s="27"/>
      <c r="I247" s="27"/>
      <c r="J247" s="27"/>
      <c r="K247" s="27"/>
      <c r="L247" s="27"/>
      <c r="M247" s="27"/>
      <c r="N247" s="27"/>
      <c r="O247" s="27"/>
      <c r="P247" s="27"/>
      <c r="Q247" s="27"/>
      <c r="R247" s="27"/>
      <c r="S247" s="29" t="str">
        <f aca="false">IF(OR(B247="",C247=""),"",IF(COUNTIFS($B$5:B247,B247,$C$5:C247,C247)=1,1,0))</f>
        <v/>
      </c>
      <c r="T247" s="29" t="str">
        <f aca="false">IF(OR(B247="",C247="",E247=""),"",IF(COUNTIFS($B$5:B247,B247,$C$5:C247,C247,$E$5:E247,E247)=1,1,0))</f>
        <v/>
      </c>
      <c r="U247" s="28" t="str">
        <f aca="false">IF(COUNTA(B247:C247,E247:F247,H247:P247)=0,"",IF(OR(B247="",C247="",E247=""),"Check: date, player, and context required",IF(AND(ISNUMBER(J247),ISNUMBER(I247),J247&gt;I247),"Check: solid contacts &gt; swings",IF(AND(ISNUMBER(L247),ISNUMBER(K247),L247&gt;K247),"Check: correct &gt; assessed decisions",IF(AND(ISNUMBER(N247),ISNUMBER(M247),N247&gt;M247),"Check: intended &gt; assessed landings",IF(AND(ISNUMBER(J247),I247=""),"Check: solid contacts without swings","OK"))))))</f>
        <v/>
      </c>
    </row>
    <row r="248" customFormat="false" ht="15" hidden="false" customHeight="false" outlineLevel="0" collapsed="false">
      <c r="B248" s="26"/>
      <c r="C248" s="27"/>
      <c r="D248" s="28" t="str">
        <f aca="false">IF(C248="","",IFERROR(INDEX(Players!$C$5:$C$104,MATCH(C248,Players!$B$5:$B$104,0)),"ID not found"))</f>
        <v/>
      </c>
      <c r="E248" s="27"/>
      <c r="F248" s="27"/>
      <c r="G248" s="28" t="str">
        <f aca="false">IF(F248="","",IFERROR(INDEX('Hitting Drills'!$D$6:$D$45,MATCH(F248,'Hitting Drills'!$B$6:$B$45,0)),"Not a hitting drill ID"))</f>
        <v/>
      </c>
      <c r="H248" s="27"/>
      <c r="I248" s="27"/>
      <c r="J248" s="27"/>
      <c r="K248" s="27"/>
      <c r="L248" s="27"/>
      <c r="M248" s="27"/>
      <c r="N248" s="27"/>
      <c r="O248" s="27"/>
      <c r="P248" s="27"/>
      <c r="Q248" s="27"/>
      <c r="R248" s="27"/>
      <c r="S248" s="29" t="str">
        <f aca="false">IF(OR(B248="",C248=""),"",IF(COUNTIFS($B$5:B248,B248,$C$5:C248,C248)=1,1,0))</f>
        <v/>
      </c>
      <c r="T248" s="29" t="str">
        <f aca="false">IF(OR(B248="",C248="",E248=""),"",IF(COUNTIFS($B$5:B248,B248,$C$5:C248,C248,$E$5:E248,E248)=1,1,0))</f>
        <v/>
      </c>
      <c r="U248" s="28" t="str">
        <f aca="false">IF(COUNTA(B248:C248,E248:F248,H248:P248)=0,"",IF(OR(B248="",C248="",E248=""),"Check: date, player, and context required",IF(AND(ISNUMBER(J248),ISNUMBER(I248),J248&gt;I248),"Check: solid contacts &gt; swings",IF(AND(ISNUMBER(L248),ISNUMBER(K248),L248&gt;K248),"Check: correct &gt; assessed decisions",IF(AND(ISNUMBER(N248),ISNUMBER(M248),N248&gt;M248),"Check: intended &gt; assessed landings",IF(AND(ISNUMBER(J248),I248=""),"Check: solid contacts without swings","OK"))))))</f>
        <v/>
      </c>
    </row>
    <row r="249" customFormat="false" ht="15" hidden="false" customHeight="false" outlineLevel="0" collapsed="false">
      <c r="B249" s="26"/>
      <c r="C249" s="27"/>
      <c r="D249" s="28" t="str">
        <f aca="false">IF(C249="","",IFERROR(INDEX(Players!$C$5:$C$104,MATCH(C249,Players!$B$5:$B$104,0)),"ID not found"))</f>
        <v/>
      </c>
      <c r="E249" s="27"/>
      <c r="F249" s="27"/>
      <c r="G249" s="28" t="str">
        <f aca="false">IF(F249="","",IFERROR(INDEX('Hitting Drills'!$D$6:$D$45,MATCH(F249,'Hitting Drills'!$B$6:$B$45,0)),"Not a hitting drill ID"))</f>
        <v/>
      </c>
      <c r="H249" s="27"/>
      <c r="I249" s="27"/>
      <c r="J249" s="27"/>
      <c r="K249" s="27"/>
      <c r="L249" s="27"/>
      <c r="M249" s="27"/>
      <c r="N249" s="27"/>
      <c r="O249" s="27"/>
      <c r="P249" s="27"/>
      <c r="Q249" s="27"/>
      <c r="R249" s="27"/>
      <c r="S249" s="29" t="str">
        <f aca="false">IF(OR(B249="",C249=""),"",IF(COUNTIFS($B$5:B249,B249,$C$5:C249,C249)=1,1,0))</f>
        <v/>
      </c>
      <c r="T249" s="29" t="str">
        <f aca="false">IF(OR(B249="",C249="",E249=""),"",IF(COUNTIFS($B$5:B249,B249,$C$5:C249,C249,$E$5:E249,E249)=1,1,0))</f>
        <v/>
      </c>
      <c r="U249" s="28" t="str">
        <f aca="false">IF(COUNTA(B249:C249,E249:F249,H249:P249)=0,"",IF(OR(B249="",C249="",E249=""),"Check: date, player, and context required",IF(AND(ISNUMBER(J249),ISNUMBER(I249),J249&gt;I249),"Check: solid contacts &gt; swings",IF(AND(ISNUMBER(L249),ISNUMBER(K249),L249&gt;K249),"Check: correct &gt; assessed decisions",IF(AND(ISNUMBER(N249),ISNUMBER(M249),N249&gt;M249),"Check: intended &gt; assessed landings",IF(AND(ISNUMBER(J249),I249=""),"Check: solid contacts without swings","OK"))))))</f>
        <v/>
      </c>
    </row>
    <row r="250" customFormat="false" ht="15" hidden="false" customHeight="false" outlineLevel="0" collapsed="false">
      <c r="B250" s="26"/>
      <c r="C250" s="27"/>
      <c r="D250" s="28" t="str">
        <f aca="false">IF(C250="","",IFERROR(INDEX(Players!$C$5:$C$104,MATCH(C250,Players!$B$5:$B$104,0)),"ID not found"))</f>
        <v/>
      </c>
      <c r="E250" s="27"/>
      <c r="F250" s="27"/>
      <c r="G250" s="28" t="str">
        <f aca="false">IF(F250="","",IFERROR(INDEX('Hitting Drills'!$D$6:$D$45,MATCH(F250,'Hitting Drills'!$B$6:$B$45,0)),"Not a hitting drill ID"))</f>
        <v/>
      </c>
      <c r="H250" s="27"/>
      <c r="I250" s="27"/>
      <c r="J250" s="27"/>
      <c r="K250" s="27"/>
      <c r="L250" s="27"/>
      <c r="M250" s="27"/>
      <c r="N250" s="27"/>
      <c r="O250" s="27"/>
      <c r="P250" s="27"/>
      <c r="Q250" s="27"/>
      <c r="R250" s="27"/>
      <c r="S250" s="29" t="str">
        <f aca="false">IF(OR(B250="",C250=""),"",IF(COUNTIFS($B$5:B250,B250,$C$5:C250,C250)=1,1,0))</f>
        <v/>
      </c>
      <c r="T250" s="29" t="str">
        <f aca="false">IF(OR(B250="",C250="",E250=""),"",IF(COUNTIFS($B$5:B250,B250,$C$5:C250,C250,$E$5:E250,E250)=1,1,0))</f>
        <v/>
      </c>
      <c r="U250" s="28" t="str">
        <f aca="false">IF(COUNTA(B250:C250,E250:F250,H250:P250)=0,"",IF(OR(B250="",C250="",E250=""),"Check: date, player, and context required",IF(AND(ISNUMBER(J250),ISNUMBER(I250),J250&gt;I250),"Check: solid contacts &gt; swings",IF(AND(ISNUMBER(L250),ISNUMBER(K250),L250&gt;K250),"Check: correct &gt; assessed decisions",IF(AND(ISNUMBER(N250),ISNUMBER(M250),N250&gt;M250),"Check: intended &gt; assessed landings",IF(AND(ISNUMBER(J250),I250=""),"Check: solid contacts without swings","OK"))))))</f>
        <v/>
      </c>
    </row>
    <row r="251" customFormat="false" ht="15" hidden="false" customHeight="false" outlineLevel="0" collapsed="false">
      <c r="B251" s="26"/>
      <c r="C251" s="27"/>
      <c r="D251" s="28" t="str">
        <f aca="false">IF(C251="","",IFERROR(INDEX(Players!$C$5:$C$104,MATCH(C251,Players!$B$5:$B$104,0)),"ID not found"))</f>
        <v/>
      </c>
      <c r="E251" s="27"/>
      <c r="F251" s="27"/>
      <c r="G251" s="28" t="str">
        <f aca="false">IF(F251="","",IFERROR(INDEX('Hitting Drills'!$D$6:$D$45,MATCH(F251,'Hitting Drills'!$B$6:$B$45,0)),"Not a hitting drill ID"))</f>
        <v/>
      </c>
      <c r="H251" s="27"/>
      <c r="I251" s="27"/>
      <c r="J251" s="27"/>
      <c r="K251" s="27"/>
      <c r="L251" s="27"/>
      <c r="M251" s="27"/>
      <c r="N251" s="27"/>
      <c r="O251" s="27"/>
      <c r="P251" s="27"/>
      <c r="Q251" s="27"/>
      <c r="R251" s="27"/>
      <c r="S251" s="29" t="str">
        <f aca="false">IF(OR(B251="",C251=""),"",IF(COUNTIFS($B$5:B251,B251,$C$5:C251,C251)=1,1,0))</f>
        <v/>
      </c>
      <c r="T251" s="29" t="str">
        <f aca="false">IF(OR(B251="",C251="",E251=""),"",IF(COUNTIFS($B$5:B251,B251,$C$5:C251,C251,$E$5:E251,E251)=1,1,0))</f>
        <v/>
      </c>
      <c r="U251" s="28" t="str">
        <f aca="false">IF(COUNTA(B251:C251,E251:F251,H251:P251)=0,"",IF(OR(B251="",C251="",E251=""),"Check: date, player, and context required",IF(AND(ISNUMBER(J251),ISNUMBER(I251),J251&gt;I251),"Check: solid contacts &gt; swings",IF(AND(ISNUMBER(L251),ISNUMBER(K251),L251&gt;K251),"Check: correct &gt; assessed decisions",IF(AND(ISNUMBER(N251),ISNUMBER(M251),N251&gt;M251),"Check: intended &gt; assessed landings",IF(AND(ISNUMBER(J251),I251=""),"Check: solid contacts without swings","OK"))))))</f>
        <v/>
      </c>
    </row>
    <row r="252" customFormat="false" ht="15" hidden="false" customHeight="false" outlineLevel="0" collapsed="false">
      <c r="B252" s="26"/>
      <c r="C252" s="27"/>
      <c r="D252" s="28" t="str">
        <f aca="false">IF(C252="","",IFERROR(INDEX(Players!$C$5:$C$104,MATCH(C252,Players!$B$5:$B$104,0)),"ID not found"))</f>
        <v/>
      </c>
      <c r="E252" s="27"/>
      <c r="F252" s="27"/>
      <c r="G252" s="28" t="str">
        <f aca="false">IF(F252="","",IFERROR(INDEX('Hitting Drills'!$D$6:$D$45,MATCH(F252,'Hitting Drills'!$B$6:$B$45,0)),"Not a hitting drill ID"))</f>
        <v/>
      </c>
      <c r="H252" s="27"/>
      <c r="I252" s="27"/>
      <c r="J252" s="27"/>
      <c r="K252" s="27"/>
      <c r="L252" s="27"/>
      <c r="M252" s="27"/>
      <c r="N252" s="27"/>
      <c r="O252" s="27"/>
      <c r="P252" s="27"/>
      <c r="Q252" s="27"/>
      <c r="R252" s="27"/>
      <c r="S252" s="29" t="str">
        <f aca="false">IF(OR(B252="",C252=""),"",IF(COUNTIFS($B$5:B252,B252,$C$5:C252,C252)=1,1,0))</f>
        <v/>
      </c>
      <c r="T252" s="29" t="str">
        <f aca="false">IF(OR(B252="",C252="",E252=""),"",IF(COUNTIFS($B$5:B252,B252,$C$5:C252,C252,$E$5:E252,E252)=1,1,0))</f>
        <v/>
      </c>
      <c r="U252" s="28" t="str">
        <f aca="false">IF(COUNTA(B252:C252,E252:F252,H252:P252)=0,"",IF(OR(B252="",C252="",E252=""),"Check: date, player, and context required",IF(AND(ISNUMBER(J252),ISNUMBER(I252),J252&gt;I252),"Check: solid contacts &gt; swings",IF(AND(ISNUMBER(L252),ISNUMBER(K252),L252&gt;K252),"Check: correct &gt; assessed decisions",IF(AND(ISNUMBER(N252),ISNUMBER(M252),N252&gt;M252),"Check: intended &gt; assessed landings",IF(AND(ISNUMBER(J252),I252=""),"Check: solid contacts without swings","OK"))))))</f>
        <v/>
      </c>
    </row>
    <row r="253" customFormat="false" ht="15" hidden="false" customHeight="false" outlineLevel="0" collapsed="false">
      <c r="B253" s="26"/>
      <c r="C253" s="27"/>
      <c r="D253" s="28" t="str">
        <f aca="false">IF(C253="","",IFERROR(INDEX(Players!$C$5:$C$104,MATCH(C253,Players!$B$5:$B$104,0)),"ID not found"))</f>
        <v/>
      </c>
      <c r="E253" s="27"/>
      <c r="F253" s="27"/>
      <c r="G253" s="28" t="str">
        <f aca="false">IF(F253="","",IFERROR(INDEX('Hitting Drills'!$D$6:$D$45,MATCH(F253,'Hitting Drills'!$B$6:$B$45,0)),"Not a hitting drill ID"))</f>
        <v/>
      </c>
      <c r="H253" s="27"/>
      <c r="I253" s="27"/>
      <c r="J253" s="27"/>
      <c r="K253" s="27"/>
      <c r="L253" s="27"/>
      <c r="M253" s="27"/>
      <c r="N253" s="27"/>
      <c r="O253" s="27"/>
      <c r="P253" s="27"/>
      <c r="Q253" s="27"/>
      <c r="R253" s="27"/>
      <c r="S253" s="29" t="str">
        <f aca="false">IF(OR(B253="",C253=""),"",IF(COUNTIFS($B$5:B253,B253,$C$5:C253,C253)=1,1,0))</f>
        <v/>
      </c>
      <c r="T253" s="29" t="str">
        <f aca="false">IF(OR(B253="",C253="",E253=""),"",IF(COUNTIFS($B$5:B253,B253,$C$5:C253,C253,$E$5:E253,E253)=1,1,0))</f>
        <v/>
      </c>
      <c r="U253" s="28" t="str">
        <f aca="false">IF(COUNTA(B253:C253,E253:F253,H253:P253)=0,"",IF(OR(B253="",C253="",E253=""),"Check: date, player, and context required",IF(AND(ISNUMBER(J253),ISNUMBER(I253),J253&gt;I253),"Check: solid contacts &gt; swings",IF(AND(ISNUMBER(L253),ISNUMBER(K253),L253&gt;K253),"Check: correct &gt; assessed decisions",IF(AND(ISNUMBER(N253),ISNUMBER(M253),N253&gt;M253),"Check: intended &gt; assessed landings",IF(AND(ISNUMBER(J253),I253=""),"Check: solid contacts without swings","OK"))))))</f>
        <v/>
      </c>
    </row>
    <row r="254" customFormat="false" ht="15" hidden="false" customHeight="false" outlineLevel="0" collapsed="false">
      <c r="B254" s="26"/>
      <c r="C254" s="27"/>
      <c r="D254" s="28" t="str">
        <f aca="false">IF(C254="","",IFERROR(INDEX(Players!$C$5:$C$104,MATCH(C254,Players!$B$5:$B$104,0)),"ID not found"))</f>
        <v/>
      </c>
      <c r="E254" s="27"/>
      <c r="F254" s="27"/>
      <c r="G254" s="28" t="str">
        <f aca="false">IF(F254="","",IFERROR(INDEX('Hitting Drills'!$D$6:$D$45,MATCH(F254,'Hitting Drills'!$B$6:$B$45,0)),"Not a hitting drill ID"))</f>
        <v/>
      </c>
      <c r="H254" s="27"/>
      <c r="I254" s="27"/>
      <c r="J254" s="27"/>
      <c r="K254" s="27"/>
      <c r="L254" s="27"/>
      <c r="M254" s="27"/>
      <c r="N254" s="27"/>
      <c r="O254" s="27"/>
      <c r="P254" s="27"/>
      <c r="Q254" s="27"/>
      <c r="R254" s="27"/>
      <c r="S254" s="29" t="str">
        <f aca="false">IF(OR(B254="",C254=""),"",IF(COUNTIFS($B$5:B254,B254,$C$5:C254,C254)=1,1,0))</f>
        <v/>
      </c>
      <c r="T254" s="29" t="str">
        <f aca="false">IF(OR(B254="",C254="",E254=""),"",IF(COUNTIFS($B$5:B254,B254,$C$5:C254,C254,$E$5:E254,E254)=1,1,0))</f>
        <v/>
      </c>
      <c r="U254" s="28" t="str">
        <f aca="false">IF(COUNTA(B254:C254,E254:F254,H254:P254)=0,"",IF(OR(B254="",C254="",E254=""),"Check: date, player, and context required",IF(AND(ISNUMBER(J254),ISNUMBER(I254),J254&gt;I254),"Check: solid contacts &gt; swings",IF(AND(ISNUMBER(L254),ISNUMBER(K254),L254&gt;K254),"Check: correct &gt; assessed decisions",IF(AND(ISNUMBER(N254),ISNUMBER(M254),N254&gt;M254),"Check: intended &gt; assessed landings",IF(AND(ISNUMBER(J254),I254=""),"Check: solid contacts without swings","OK"))))))</f>
        <v/>
      </c>
    </row>
    <row r="255" customFormat="false" ht="15" hidden="false" customHeight="false" outlineLevel="0" collapsed="false">
      <c r="B255" s="26"/>
      <c r="C255" s="27"/>
      <c r="D255" s="28" t="str">
        <f aca="false">IF(C255="","",IFERROR(INDEX(Players!$C$5:$C$104,MATCH(C255,Players!$B$5:$B$104,0)),"ID not found"))</f>
        <v/>
      </c>
      <c r="E255" s="27"/>
      <c r="F255" s="27"/>
      <c r="G255" s="28" t="str">
        <f aca="false">IF(F255="","",IFERROR(INDEX('Hitting Drills'!$D$6:$D$45,MATCH(F255,'Hitting Drills'!$B$6:$B$45,0)),"Not a hitting drill ID"))</f>
        <v/>
      </c>
      <c r="H255" s="27"/>
      <c r="I255" s="27"/>
      <c r="J255" s="27"/>
      <c r="K255" s="27"/>
      <c r="L255" s="27"/>
      <c r="M255" s="27"/>
      <c r="N255" s="27"/>
      <c r="O255" s="27"/>
      <c r="P255" s="27"/>
      <c r="Q255" s="27"/>
      <c r="R255" s="27"/>
      <c r="S255" s="29" t="str">
        <f aca="false">IF(OR(B255="",C255=""),"",IF(COUNTIFS($B$5:B255,B255,$C$5:C255,C255)=1,1,0))</f>
        <v/>
      </c>
      <c r="T255" s="29" t="str">
        <f aca="false">IF(OR(B255="",C255="",E255=""),"",IF(COUNTIFS($B$5:B255,B255,$C$5:C255,C255,$E$5:E255,E255)=1,1,0))</f>
        <v/>
      </c>
      <c r="U255" s="28" t="str">
        <f aca="false">IF(COUNTA(B255:C255,E255:F255,H255:P255)=0,"",IF(OR(B255="",C255="",E255=""),"Check: date, player, and context required",IF(AND(ISNUMBER(J255),ISNUMBER(I255),J255&gt;I255),"Check: solid contacts &gt; swings",IF(AND(ISNUMBER(L255),ISNUMBER(K255),L255&gt;K255),"Check: correct &gt; assessed decisions",IF(AND(ISNUMBER(N255),ISNUMBER(M255),N255&gt;M255),"Check: intended &gt; assessed landings",IF(AND(ISNUMBER(J255),I255=""),"Check: solid contacts without swings","OK"))))))</f>
        <v/>
      </c>
    </row>
    <row r="256" customFormat="false" ht="15" hidden="false" customHeight="false" outlineLevel="0" collapsed="false">
      <c r="B256" s="26"/>
      <c r="C256" s="27"/>
      <c r="D256" s="28" t="str">
        <f aca="false">IF(C256="","",IFERROR(INDEX(Players!$C$5:$C$104,MATCH(C256,Players!$B$5:$B$104,0)),"ID not found"))</f>
        <v/>
      </c>
      <c r="E256" s="27"/>
      <c r="F256" s="27"/>
      <c r="G256" s="28" t="str">
        <f aca="false">IF(F256="","",IFERROR(INDEX('Hitting Drills'!$D$6:$D$45,MATCH(F256,'Hitting Drills'!$B$6:$B$45,0)),"Not a hitting drill ID"))</f>
        <v/>
      </c>
      <c r="H256" s="27"/>
      <c r="I256" s="27"/>
      <c r="J256" s="27"/>
      <c r="K256" s="27"/>
      <c r="L256" s="27"/>
      <c r="M256" s="27"/>
      <c r="N256" s="27"/>
      <c r="O256" s="27"/>
      <c r="P256" s="27"/>
      <c r="Q256" s="27"/>
      <c r="R256" s="27"/>
      <c r="S256" s="29" t="str">
        <f aca="false">IF(OR(B256="",C256=""),"",IF(COUNTIFS($B$5:B256,B256,$C$5:C256,C256)=1,1,0))</f>
        <v/>
      </c>
      <c r="T256" s="29" t="str">
        <f aca="false">IF(OR(B256="",C256="",E256=""),"",IF(COUNTIFS($B$5:B256,B256,$C$5:C256,C256,$E$5:E256,E256)=1,1,0))</f>
        <v/>
      </c>
      <c r="U256" s="28" t="str">
        <f aca="false">IF(COUNTA(B256:C256,E256:F256,H256:P256)=0,"",IF(OR(B256="",C256="",E256=""),"Check: date, player, and context required",IF(AND(ISNUMBER(J256),ISNUMBER(I256),J256&gt;I256),"Check: solid contacts &gt; swings",IF(AND(ISNUMBER(L256),ISNUMBER(K256),L256&gt;K256),"Check: correct &gt; assessed decisions",IF(AND(ISNUMBER(N256),ISNUMBER(M256),N256&gt;M256),"Check: intended &gt; assessed landings",IF(AND(ISNUMBER(J256),I256=""),"Check: solid contacts without swings","OK"))))))</f>
        <v/>
      </c>
    </row>
    <row r="257" customFormat="false" ht="15" hidden="false" customHeight="false" outlineLevel="0" collapsed="false">
      <c r="B257" s="26"/>
      <c r="C257" s="27"/>
      <c r="D257" s="28" t="str">
        <f aca="false">IF(C257="","",IFERROR(INDEX(Players!$C$5:$C$104,MATCH(C257,Players!$B$5:$B$104,0)),"ID not found"))</f>
        <v/>
      </c>
      <c r="E257" s="27"/>
      <c r="F257" s="27"/>
      <c r="G257" s="28" t="str">
        <f aca="false">IF(F257="","",IFERROR(INDEX('Hitting Drills'!$D$6:$D$45,MATCH(F257,'Hitting Drills'!$B$6:$B$45,0)),"Not a hitting drill ID"))</f>
        <v/>
      </c>
      <c r="H257" s="27"/>
      <c r="I257" s="27"/>
      <c r="J257" s="27"/>
      <c r="K257" s="27"/>
      <c r="L257" s="27"/>
      <c r="M257" s="27"/>
      <c r="N257" s="27"/>
      <c r="O257" s="27"/>
      <c r="P257" s="27"/>
      <c r="Q257" s="27"/>
      <c r="R257" s="27"/>
      <c r="S257" s="29" t="str">
        <f aca="false">IF(OR(B257="",C257=""),"",IF(COUNTIFS($B$5:B257,B257,$C$5:C257,C257)=1,1,0))</f>
        <v/>
      </c>
      <c r="T257" s="29" t="str">
        <f aca="false">IF(OR(B257="",C257="",E257=""),"",IF(COUNTIFS($B$5:B257,B257,$C$5:C257,C257,$E$5:E257,E257)=1,1,0))</f>
        <v/>
      </c>
      <c r="U257" s="28" t="str">
        <f aca="false">IF(COUNTA(B257:C257,E257:F257,H257:P257)=0,"",IF(OR(B257="",C257="",E257=""),"Check: date, player, and context required",IF(AND(ISNUMBER(J257),ISNUMBER(I257),J257&gt;I257),"Check: solid contacts &gt; swings",IF(AND(ISNUMBER(L257),ISNUMBER(K257),L257&gt;K257),"Check: correct &gt; assessed decisions",IF(AND(ISNUMBER(N257),ISNUMBER(M257),N257&gt;M257),"Check: intended &gt; assessed landings",IF(AND(ISNUMBER(J257),I257=""),"Check: solid contacts without swings","OK"))))))</f>
        <v/>
      </c>
    </row>
    <row r="258" customFormat="false" ht="15" hidden="false" customHeight="false" outlineLevel="0" collapsed="false">
      <c r="B258" s="26"/>
      <c r="C258" s="27"/>
      <c r="D258" s="28" t="str">
        <f aca="false">IF(C258="","",IFERROR(INDEX(Players!$C$5:$C$104,MATCH(C258,Players!$B$5:$B$104,0)),"ID not found"))</f>
        <v/>
      </c>
      <c r="E258" s="27"/>
      <c r="F258" s="27"/>
      <c r="G258" s="28" t="str">
        <f aca="false">IF(F258="","",IFERROR(INDEX('Hitting Drills'!$D$6:$D$45,MATCH(F258,'Hitting Drills'!$B$6:$B$45,0)),"Not a hitting drill ID"))</f>
        <v/>
      </c>
      <c r="H258" s="27"/>
      <c r="I258" s="27"/>
      <c r="J258" s="27"/>
      <c r="K258" s="27"/>
      <c r="L258" s="27"/>
      <c r="M258" s="27"/>
      <c r="N258" s="27"/>
      <c r="O258" s="27"/>
      <c r="P258" s="27"/>
      <c r="Q258" s="27"/>
      <c r="R258" s="27"/>
      <c r="S258" s="29" t="str">
        <f aca="false">IF(OR(B258="",C258=""),"",IF(COUNTIFS($B$5:B258,B258,$C$5:C258,C258)=1,1,0))</f>
        <v/>
      </c>
      <c r="T258" s="29" t="str">
        <f aca="false">IF(OR(B258="",C258="",E258=""),"",IF(COUNTIFS($B$5:B258,B258,$C$5:C258,C258,$E$5:E258,E258)=1,1,0))</f>
        <v/>
      </c>
      <c r="U258" s="28" t="str">
        <f aca="false">IF(COUNTA(B258:C258,E258:F258,H258:P258)=0,"",IF(OR(B258="",C258="",E258=""),"Check: date, player, and context required",IF(AND(ISNUMBER(J258),ISNUMBER(I258),J258&gt;I258),"Check: solid contacts &gt; swings",IF(AND(ISNUMBER(L258),ISNUMBER(K258),L258&gt;K258),"Check: correct &gt; assessed decisions",IF(AND(ISNUMBER(N258),ISNUMBER(M258),N258&gt;M258),"Check: intended &gt; assessed landings",IF(AND(ISNUMBER(J258),I258=""),"Check: solid contacts without swings","OK"))))))</f>
        <v/>
      </c>
    </row>
    <row r="259" customFormat="false" ht="15" hidden="false" customHeight="false" outlineLevel="0" collapsed="false">
      <c r="B259" s="26"/>
      <c r="C259" s="27"/>
      <c r="D259" s="28" t="str">
        <f aca="false">IF(C259="","",IFERROR(INDEX(Players!$C$5:$C$104,MATCH(C259,Players!$B$5:$B$104,0)),"ID not found"))</f>
        <v/>
      </c>
      <c r="E259" s="27"/>
      <c r="F259" s="27"/>
      <c r="G259" s="28" t="str">
        <f aca="false">IF(F259="","",IFERROR(INDEX('Hitting Drills'!$D$6:$D$45,MATCH(F259,'Hitting Drills'!$B$6:$B$45,0)),"Not a hitting drill ID"))</f>
        <v/>
      </c>
      <c r="H259" s="27"/>
      <c r="I259" s="27"/>
      <c r="J259" s="27"/>
      <c r="K259" s="27"/>
      <c r="L259" s="27"/>
      <c r="M259" s="27"/>
      <c r="N259" s="27"/>
      <c r="O259" s="27"/>
      <c r="P259" s="27"/>
      <c r="Q259" s="27"/>
      <c r="R259" s="27"/>
      <c r="S259" s="29" t="str">
        <f aca="false">IF(OR(B259="",C259=""),"",IF(COUNTIFS($B$5:B259,B259,$C$5:C259,C259)=1,1,0))</f>
        <v/>
      </c>
      <c r="T259" s="29" t="str">
        <f aca="false">IF(OR(B259="",C259="",E259=""),"",IF(COUNTIFS($B$5:B259,B259,$C$5:C259,C259,$E$5:E259,E259)=1,1,0))</f>
        <v/>
      </c>
      <c r="U259" s="28" t="str">
        <f aca="false">IF(COUNTA(B259:C259,E259:F259,H259:P259)=0,"",IF(OR(B259="",C259="",E259=""),"Check: date, player, and context required",IF(AND(ISNUMBER(J259),ISNUMBER(I259),J259&gt;I259),"Check: solid contacts &gt; swings",IF(AND(ISNUMBER(L259),ISNUMBER(K259),L259&gt;K259),"Check: correct &gt; assessed decisions",IF(AND(ISNUMBER(N259),ISNUMBER(M259),N259&gt;M259),"Check: intended &gt; assessed landings",IF(AND(ISNUMBER(J259),I259=""),"Check: solid contacts without swings","OK"))))))</f>
        <v/>
      </c>
    </row>
    <row r="260" customFormat="false" ht="15" hidden="false" customHeight="false" outlineLevel="0" collapsed="false">
      <c r="B260" s="26"/>
      <c r="C260" s="27"/>
      <c r="D260" s="28" t="str">
        <f aca="false">IF(C260="","",IFERROR(INDEX(Players!$C$5:$C$104,MATCH(C260,Players!$B$5:$B$104,0)),"ID not found"))</f>
        <v/>
      </c>
      <c r="E260" s="27"/>
      <c r="F260" s="27"/>
      <c r="G260" s="28" t="str">
        <f aca="false">IF(F260="","",IFERROR(INDEX('Hitting Drills'!$D$6:$D$45,MATCH(F260,'Hitting Drills'!$B$6:$B$45,0)),"Not a hitting drill ID"))</f>
        <v/>
      </c>
      <c r="H260" s="27"/>
      <c r="I260" s="27"/>
      <c r="J260" s="27"/>
      <c r="K260" s="27"/>
      <c r="L260" s="27"/>
      <c r="M260" s="27"/>
      <c r="N260" s="27"/>
      <c r="O260" s="27"/>
      <c r="P260" s="27"/>
      <c r="Q260" s="27"/>
      <c r="R260" s="27"/>
      <c r="S260" s="29" t="str">
        <f aca="false">IF(OR(B260="",C260=""),"",IF(COUNTIFS($B$5:B260,B260,$C$5:C260,C260)=1,1,0))</f>
        <v/>
      </c>
      <c r="T260" s="29" t="str">
        <f aca="false">IF(OR(B260="",C260="",E260=""),"",IF(COUNTIFS($B$5:B260,B260,$C$5:C260,C260,$E$5:E260,E260)=1,1,0))</f>
        <v/>
      </c>
      <c r="U260" s="28" t="str">
        <f aca="false">IF(COUNTA(B260:C260,E260:F260,H260:P260)=0,"",IF(OR(B260="",C260="",E260=""),"Check: date, player, and context required",IF(AND(ISNUMBER(J260),ISNUMBER(I260),J260&gt;I260),"Check: solid contacts &gt; swings",IF(AND(ISNUMBER(L260),ISNUMBER(K260),L260&gt;K260),"Check: correct &gt; assessed decisions",IF(AND(ISNUMBER(N260),ISNUMBER(M260),N260&gt;M260),"Check: intended &gt; assessed landings",IF(AND(ISNUMBER(J260),I260=""),"Check: solid contacts without swings","OK"))))))</f>
        <v/>
      </c>
    </row>
    <row r="261" customFormat="false" ht="15" hidden="false" customHeight="false" outlineLevel="0" collapsed="false">
      <c r="B261" s="26"/>
      <c r="C261" s="27"/>
      <c r="D261" s="28" t="str">
        <f aca="false">IF(C261="","",IFERROR(INDEX(Players!$C$5:$C$104,MATCH(C261,Players!$B$5:$B$104,0)),"ID not found"))</f>
        <v/>
      </c>
      <c r="E261" s="27"/>
      <c r="F261" s="27"/>
      <c r="G261" s="28" t="str">
        <f aca="false">IF(F261="","",IFERROR(INDEX('Hitting Drills'!$D$6:$D$45,MATCH(F261,'Hitting Drills'!$B$6:$B$45,0)),"Not a hitting drill ID"))</f>
        <v/>
      </c>
      <c r="H261" s="27"/>
      <c r="I261" s="27"/>
      <c r="J261" s="27"/>
      <c r="K261" s="27"/>
      <c r="L261" s="27"/>
      <c r="M261" s="27"/>
      <c r="N261" s="27"/>
      <c r="O261" s="27"/>
      <c r="P261" s="27"/>
      <c r="Q261" s="27"/>
      <c r="R261" s="27"/>
      <c r="S261" s="29" t="str">
        <f aca="false">IF(OR(B261="",C261=""),"",IF(COUNTIFS($B$5:B261,B261,$C$5:C261,C261)=1,1,0))</f>
        <v/>
      </c>
      <c r="T261" s="29" t="str">
        <f aca="false">IF(OR(B261="",C261="",E261=""),"",IF(COUNTIFS($B$5:B261,B261,$C$5:C261,C261,$E$5:E261,E261)=1,1,0))</f>
        <v/>
      </c>
      <c r="U261" s="28" t="str">
        <f aca="false">IF(COUNTA(B261:C261,E261:F261,H261:P261)=0,"",IF(OR(B261="",C261="",E261=""),"Check: date, player, and context required",IF(AND(ISNUMBER(J261),ISNUMBER(I261),J261&gt;I261),"Check: solid contacts &gt; swings",IF(AND(ISNUMBER(L261),ISNUMBER(K261),L261&gt;K261),"Check: correct &gt; assessed decisions",IF(AND(ISNUMBER(N261),ISNUMBER(M261),N261&gt;M261),"Check: intended &gt; assessed landings",IF(AND(ISNUMBER(J261),I261=""),"Check: solid contacts without swings","OK"))))))</f>
        <v/>
      </c>
    </row>
    <row r="262" customFormat="false" ht="15" hidden="false" customHeight="false" outlineLevel="0" collapsed="false">
      <c r="B262" s="26"/>
      <c r="C262" s="27"/>
      <c r="D262" s="28" t="str">
        <f aca="false">IF(C262="","",IFERROR(INDEX(Players!$C$5:$C$104,MATCH(C262,Players!$B$5:$B$104,0)),"ID not found"))</f>
        <v/>
      </c>
      <c r="E262" s="27"/>
      <c r="F262" s="27"/>
      <c r="G262" s="28" t="str">
        <f aca="false">IF(F262="","",IFERROR(INDEX('Hitting Drills'!$D$6:$D$45,MATCH(F262,'Hitting Drills'!$B$6:$B$45,0)),"Not a hitting drill ID"))</f>
        <v/>
      </c>
      <c r="H262" s="27"/>
      <c r="I262" s="27"/>
      <c r="J262" s="27"/>
      <c r="K262" s="27"/>
      <c r="L262" s="27"/>
      <c r="M262" s="27"/>
      <c r="N262" s="27"/>
      <c r="O262" s="27"/>
      <c r="P262" s="27"/>
      <c r="Q262" s="27"/>
      <c r="R262" s="27"/>
      <c r="S262" s="29" t="str">
        <f aca="false">IF(OR(B262="",C262=""),"",IF(COUNTIFS($B$5:B262,B262,$C$5:C262,C262)=1,1,0))</f>
        <v/>
      </c>
      <c r="T262" s="29" t="str">
        <f aca="false">IF(OR(B262="",C262="",E262=""),"",IF(COUNTIFS($B$5:B262,B262,$C$5:C262,C262,$E$5:E262,E262)=1,1,0))</f>
        <v/>
      </c>
      <c r="U262" s="28" t="str">
        <f aca="false">IF(COUNTA(B262:C262,E262:F262,H262:P262)=0,"",IF(OR(B262="",C262="",E262=""),"Check: date, player, and context required",IF(AND(ISNUMBER(J262),ISNUMBER(I262),J262&gt;I262),"Check: solid contacts &gt; swings",IF(AND(ISNUMBER(L262),ISNUMBER(K262),L262&gt;K262),"Check: correct &gt; assessed decisions",IF(AND(ISNUMBER(N262),ISNUMBER(M262),N262&gt;M262),"Check: intended &gt; assessed landings",IF(AND(ISNUMBER(J262),I262=""),"Check: solid contacts without swings","OK"))))))</f>
        <v/>
      </c>
    </row>
    <row r="263" customFormat="false" ht="15" hidden="false" customHeight="false" outlineLevel="0" collapsed="false">
      <c r="B263" s="26"/>
      <c r="C263" s="27"/>
      <c r="D263" s="28" t="str">
        <f aca="false">IF(C263="","",IFERROR(INDEX(Players!$C$5:$C$104,MATCH(C263,Players!$B$5:$B$104,0)),"ID not found"))</f>
        <v/>
      </c>
      <c r="E263" s="27"/>
      <c r="F263" s="27"/>
      <c r="G263" s="28" t="str">
        <f aca="false">IF(F263="","",IFERROR(INDEX('Hitting Drills'!$D$6:$D$45,MATCH(F263,'Hitting Drills'!$B$6:$B$45,0)),"Not a hitting drill ID"))</f>
        <v/>
      </c>
      <c r="H263" s="27"/>
      <c r="I263" s="27"/>
      <c r="J263" s="27"/>
      <c r="K263" s="27"/>
      <c r="L263" s="27"/>
      <c r="M263" s="27"/>
      <c r="N263" s="27"/>
      <c r="O263" s="27"/>
      <c r="P263" s="27"/>
      <c r="Q263" s="27"/>
      <c r="R263" s="27"/>
      <c r="S263" s="29" t="str">
        <f aca="false">IF(OR(B263="",C263=""),"",IF(COUNTIFS($B$5:B263,B263,$C$5:C263,C263)=1,1,0))</f>
        <v/>
      </c>
      <c r="T263" s="29" t="str">
        <f aca="false">IF(OR(B263="",C263="",E263=""),"",IF(COUNTIFS($B$5:B263,B263,$C$5:C263,C263,$E$5:E263,E263)=1,1,0))</f>
        <v/>
      </c>
      <c r="U263" s="28" t="str">
        <f aca="false">IF(COUNTA(B263:C263,E263:F263,H263:P263)=0,"",IF(OR(B263="",C263="",E263=""),"Check: date, player, and context required",IF(AND(ISNUMBER(J263),ISNUMBER(I263),J263&gt;I263),"Check: solid contacts &gt; swings",IF(AND(ISNUMBER(L263),ISNUMBER(K263),L263&gt;K263),"Check: correct &gt; assessed decisions",IF(AND(ISNUMBER(N263),ISNUMBER(M263),N263&gt;M263),"Check: intended &gt; assessed landings",IF(AND(ISNUMBER(J263),I263=""),"Check: solid contacts without swings","OK"))))))</f>
        <v/>
      </c>
    </row>
    <row r="264" customFormat="false" ht="15" hidden="false" customHeight="false" outlineLevel="0" collapsed="false">
      <c r="B264" s="26"/>
      <c r="C264" s="27"/>
      <c r="D264" s="28" t="str">
        <f aca="false">IF(C264="","",IFERROR(INDEX(Players!$C$5:$C$104,MATCH(C264,Players!$B$5:$B$104,0)),"ID not found"))</f>
        <v/>
      </c>
      <c r="E264" s="27"/>
      <c r="F264" s="27"/>
      <c r="G264" s="28" t="str">
        <f aca="false">IF(F264="","",IFERROR(INDEX('Hitting Drills'!$D$6:$D$45,MATCH(F264,'Hitting Drills'!$B$6:$B$45,0)),"Not a hitting drill ID"))</f>
        <v/>
      </c>
      <c r="H264" s="27"/>
      <c r="I264" s="27"/>
      <c r="J264" s="27"/>
      <c r="K264" s="27"/>
      <c r="L264" s="27"/>
      <c r="M264" s="27"/>
      <c r="N264" s="27"/>
      <c r="O264" s="27"/>
      <c r="P264" s="27"/>
      <c r="Q264" s="27"/>
      <c r="R264" s="27"/>
      <c r="S264" s="29" t="str">
        <f aca="false">IF(OR(B264="",C264=""),"",IF(COUNTIFS($B$5:B264,B264,$C$5:C264,C264)=1,1,0))</f>
        <v/>
      </c>
      <c r="T264" s="29" t="str">
        <f aca="false">IF(OR(B264="",C264="",E264=""),"",IF(COUNTIFS($B$5:B264,B264,$C$5:C264,C264,$E$5:E264,E264)=1,1,0))</f>
        <v/>
      </c>
      <c r="U264" s="28" t="str">
        <f aca="false">IF(COUNTA(B264:C264,E264:F264,H264:P264)=0,"",IF(OR(B264="",C264="",E264=""),"Check: date, player, and context required",IF(AND(ISNUMBER(J264),ISNUMBER(I264),J264&gt;I264),"Check: solid contacts &gt; swings",IF(AND(ISNUMBER(L264),ISNUMBER(K264),L264&gt;K264),"Check: correct &gt; assessed decisions",IF(AND(ISNUMBER(N264),ISNUMBER(M264),N264&gt;M264),"Check: intended &gt; assessed landings",IF(AND(ISNUMBER(J264),I264=""),"Check: solid contacts without swings","OK"))))))</f>
        <v/>
      </c>
    </row>
    <row r="265" customFormat="false" ht="15" hidden="false" customHeight="false" outlineLevel="0" collapsed="false">
      <c r="B265" s="26"/>
      <c r="C265" s="27"/>
      <c r="D265" s="28" t="str">
        <f aca="false">IF(C265="","",IFERROR(INDEX(Players!$C$5:$C$104,MATCH(C265,Players!$B$5:$B$104,0)),"ID not found"))</f>
        <v/>
      </c>
      <c r="E265" s="27"/>
      <c r="F265" s="27"/>
      <c r="G265" s="28" t="str">
        <f aca="false">IF(F265="","",IFERROR(INDEX('Hitting Drills'!$D$6:$D$45,MATCH(F265,'Hitting Drills'!$B$6:$B$45,0)),"Not a hitting drill ID"))</f>
        <v/>
      </c>
      <c r="H265" s="27"/>
      <c r="I265" s="27"/>
      <c r="J265" s="27"/>
      <c r="K265" s="27"/>
      <c r="L265" s="27"/>
      <c r="M265" s="27"/>
      <c r="N265" s="27"/>
      <c r="O265" s="27"/>
      <c r="P265" s="27"/>
      <c r="Q265" s="27"/>
      <c r="R265" s="27"/>
      <c r="S265" s="29" t="str">
        <f aca="false">IF(OR(B265="",C265=""),"",IF(COUNTIFS($B$5:B265,B265,$C$5:C265,C265)=1,1,0))</f>
        <v/>
      </c>
      <c r="T265" s="29" t="str">
        <f aca="false">IF(OR(B265="",C265="",E265=""),"",IF(COUNTIFS($B$5:B265,B265,$C$5:C265,C265,$E$5:E265,E265)=1,1,0))</f>
        <v/>
      </c>
      <c r="U265" s="28" t="str">
        <f aca="false">IF(COUNTA(B265:C265,E265:F265,H265:P265)=0,"",IF(OR(B265="",C265="",E265=""),"Check: date, player, and context required",IF(AND(ISNUMBER(J265),ISNUMBER(I265),J265&gt;I265),"Check: solid contacts &gt; swings",IF(AND(ISNUMBER(L265),ISNUMBER(K265),L265&gt;K265),"Check: correct &gt; assessed decisions",IF(AND(ISNUMBER(N265),ISNUMBER(M265),N265&gt;M265),"Check: intended &gt; assessed landings",IF(AND(ISNUMBER(J265),I265=""),"Check: solid contacts without swings","OK"))))))</f>
        <v/>
      </c>
    </row>
    <row r="266" customFormat="false" ht="15" hidden="false" customHeight="false" outlineLevel="0" collapsed="false">
      <c r="B266" s="26"/>
      <c r="C266" s="27"/>
      <c r="D266" s="28" t="str">
        <f aca="false">IF(C266="","",IFERROR(INDEX(Players!$C$5:$C$104,MATCH(C266,Players!$B$5:$B$104,0)),"ID not found"))</f>
        <v/>
      </c>
      <c r="E266" s="27"/>
      <c r="F266" s="27"/>
      <c r="G266" s="28" t="str">
        <f aca="false">IF(F266="","",IFERROR(INDEX('Hitting Drills'!$D$6:$D$45,MATCH(F266,'Hitting Drills'!$B$6:$B$45,0)),"Not a hitting drill ID"))</f>
        <v/>
      </c>
      <c r="H266" s="27"/>
      <c r="I266" s="27"/>
      <c r="J266" s="27"/>
      <c r="K266" s="27"/>
      <c r="L266" s="27"/>
      <c r="M266" s="27"/>
      <c r="N266" s="27"/>
      <c r="O266" s="27"/>
      <c r="P266" s="27"/>
      <c r="Q266" s="27"/>
      <c r="R266" s="27"/>
      <c r="S266" s="29" t="str">
        <f aca="false">IF(OR(B266="",C266=""),"",IF(COUNTIFS($B$5:B266,B266,$C$5:C266,C266)=1,1,0))</f>
        <v/>
      </c>
      <c r="T266" s="29" t="str">
        <f aca="false">IF(OR(B266="",C266="",E266=""),"",IF(COUNTIFS($B$5:B266,B266,$C$5:C266,C266,$E$5:E266,E266)=1,1,0))</f>
        <v/>
      </c>
      <c r="U266" s="28" t="str">
        <f aca="false">IF(COUNTA(B266:C266,E266:F266,H266:P266)=0,"",IF(OR(B266="",C266="",E266=""),"Check: date, player, and context required",IF(AND(ISNUMBER(J266),ISNUMBER(I266),J266&gt;I266),"Check: solid contacts &gt; swings",IF(AND(ISNUMBER(L266),ISNUMBER(K266),L266&gt;K266),"Check: correct &gt; assessed decisions",IF(AND(ISNUMBER(N266),ISNUMBER(M266),N266&gt;M266),"Check: intended &gt; assessed landings",IF(AND(ISNUMBER(J266),I266=""),"Check: solid contacts without swings","OK"))))))</f>
        <v/>
      </c>
    </row>
    <row r="267" customFormat="false" ht="15" hidden="false" customHeight="false" outlineLevel="0" collapsed="false">
      <c r="B267" s="26"/>
      <c r="C267" s="27"/>
      <c r="D267" s="28" t="str">
        <f aca="false">IF(C267="","",IFERROR(INDEX(Players!$C$5:$C$104,MATCH(C267,Players!$B$5:$B$104,0)),"ID not found"))</f>
        <v/>
      </c>
      <c r="E267" s="27"/>
      <c r="F267" s="27"/>
      <c r="G267" s="28" t="str">
        <f aca="false">IF(F267="","",IFERROR(INDEX('Hitting Drills'!$D$6:$D$45,MATCH(F267,'Hitting Drills'!$B$6:$B$45,0)),"Not a hitting drill ID"))</f>
        <v/>
      </c>
      <c r="H267" s="27"/>
      <c r="I267" s="27"/>
      <c r="J267" s="27"/>
      <c r="K267" s="27"/>
      <c r="L267" s="27"/>
      <c r="M267" s="27"/>
      <c r="N267" s="27"/>
      <c r="O267" s="27"/>
      <c r="P267" s="27"/>
      <c r="Q267" s="27"/>
      <c r="R267" s="27"/>
      <c r="S267" s="29" t="str">
        <f aca="false">IF(OR(B267="",C267=""),"",IF(COUNTIFS($B$5:B267,B267,$C$5:C267,C267)=1,1,0))</f>
        <v/>
      </c>
      <c r="T267" s="29" t="str">
        <f aca="false">IF(OR(B267="",C267="",E267=""),"",IF(COUNTIFS($B$5:B267,B267,$C$5:C267,C267,$E$5:E267,E267)=1,1,0))</f>
        <v/>
      </c>
      <c r="U267" s="28" t="str">
        <f aca="false">IF(COUNTA(B267:C267,E267:F267,H267:P267)=0,"",IF(OR(B267="",C267="",E267=""),"Check: date, player, and context required",IF(AND(ISNUMBER(J267),ISNUMBER(I267),J267&gt;I267),"Check: solid contacts &gt; swings",IF(AND(ISNUMBER(L267),ISNUMBER(K267),L267&gt;K267),"Check: correct &gt; assessed decisions",IF(AND(ISNUMBER(N267),ISNUMBER(M267),N267&gt;M267),"Check: intended &gt; assessed landings",IF(AND(ISNUMBER(J267),I267=""),"Check: solid contacts without swings","OK"))))))</f>
        <v/>
      </c>
    </row>
    <row r="268" customFormat="false" ht="15" hidden="false" customHeight="false" outlineLevel="0" collapsed="false">
      <c r="B268" s="26"/>
      <c r="C268" s="27"/>
      <c r="D268" s="28" t="str">
        <f aca="false">IF(C268="","",IFERROR(INDEX(Players!$C$5:$C$104,MATCH(C268,Players!$B$5:$B$104,0)),"ID not found"))</f>
        <v/>
      </c>
      <c r="E268" s="27"/>
      <c r="F268" s="27"/>
      <c r="G268" s="28" t="str">
        <f aca="false">IF(F268="","",IFERROR(INDEX('Hitting Drills'!$D$6:$D$45,MATCH(F268,'Hitting Drills'!$B$6:$B$45,0)),"Not a hitting drill ID"))</f>
        <v/>
      </c>
      <c r="H268" s="27"/>
      <c r="I268" s="27"/>
      <c r="J268" s="27"/>
      <c r="K268" s="27"/>
      <c r="L268" s="27"/>
      <c r="M268" s="27"/>
      <c r="N268" s="27"/>
      <c r="O268" s="27"/>
      <c r="P268" s="27"/>
      <c r="Q268" s="27"/>
      <c r="R268" s="27"/>
      <c r="S268" s="29" t="str">
        <f aca="false">IF(OR(B268="",C268=""),"",IF(COUNTIFS($B$5:B268,B268,$C$5:C268,C268)=1,1,0))</f>
        <v/>
      </c>
      <c r="T268" s="29" t="str">
        <f aca="false">IF(OR(B268="",C268="",E268=""),"",IF(COUNTIFS($B$5:B268,B268,$C$5:C268,C268,$E$5:E268,E268)=1,1,0))</f>
        <v/>
      </c>
      <c r="U268" s="28" t="str">
        <f aca="false">IF(COUNTA(B268:C268,E268:F268,H268:P268)=0,"",IF(OR(B268="",C268="",E268=""),"Check: date, player, and context required",IF(AND(ISNUMBER(J268),ISNUMBER(I268),J268&gt;I268),"Check: solid contacts &gt; swings",IF(AND(ISNUMBER(L268),ISNUMBER(K268),L268&gt;K268),"Check: correct &gt; assessed decisions",IF(AND(ISNUMBER(N268),ISNUMBER(M268),N268&gt;M268),"Check: intended &gt; assessed landings",IF(AND(ISNUMBER(J268),I268=""),"Check: solid contacts without swings","OK"))))))</f>
        <v/>
      </c>
    </row>
    <row r="269" customFormat="false" ht="15" hidden="false" customHeight="false" outlineLevel="0" collapsed="false">
      <c r="B269" s="26"/>
      <c r="C269" s="27"/>
      <c r="D269" s="28" t="str">
        <f aca="false">IF(C269="","",IFERROR(INDEX(Players!$C$5:$C$104,MATCH(C269,Players!$B$5:$B$104,0)),"ID not found"))</f>
        <v/>
      </c>
      <c r="E269" s="27"/>
      <c r="F269" s="27"/>
      <c r="G269" s="28" t="str">
        <f aca="false">IF(F269="","",IFERROR(INDEX('Hitting Drills'!$D$6:$D$45,MATCH(F269,'Hitting Drills'!$B$6:$B$45,0)),"Not a hitting drill ID"))</f>
        <v/>
      </c>
      <c r="H269" s="27"/>
      <c r="I269" s="27"/>
      <c r="J269" s="27"/>
      <c r="K269" s="27"/>
      <c r="L269" s="27"/>
      <c r="M269" s="27"/>
      <c r="N269" s="27"/>
      <c r="O269" s="27"/>
      <c r="P269" s="27"/>
      <c r="Q269" s="27"/>
      <c r="R269" s="27"/>
      <c r="S269" s="29" t="str">
        <f aca="false">IF(OR(B269="",C269=""),"",IF(COUNTIFS($B$5:B269,B269,$C$5:C269,C269)=1,1,0))</f>
        <v/>
      </c>
      <c r="T269" s="29" t="str">
        <f aca="false">IF(OR(B269="",C269="",E269=""),"",IF(COUNTIFS($B$5:B269,B269,$C$5:C269,C269,$E$5:E269,E269)=1,1,0))</f>
        <v/>
      </c>
      <c r="U269" s="28" t="str">
        <f aca="false">IF(COUNTA(B269:C269,E269:F269,H269:P269)=0,"",IF(OR(B269="",C269="",E269=""),"Check: date, player, and context required",IF(AND(ISNUMBER(J269),ISNUMBER(I269),J269&gt;I269),"Check: solid contacts &gt; swings",IF(AND(ISNUMBER(L269),ISNUMBER(K269),L269&gt;K269),"Check: correct &gt; assessed decisions",IF(AND(ISNUMBER(N269),ISNUMBER(M269),N269&gt;M269),"Check: intended &gt; assessed landings",IF(AND(ISNUMBER(J269),I269=""),"Check: solid contacts without swings","OK"))))))</f>
        <v/>
      </c>
    </row>
    <row r="270" customFormat="false" ht="15" hidden="false" customHeight="false" outlineLevel="0" collapsed="false">
      <c r="B270" s="26"/>
      <c r="C270" s="27"/>
      <c r="D270" s="28" t="str">
        <f aca="false">IF(C270="","",IFERROR(INDEX(Players!$C$5:$C$104,MATCH(C270,Players!$B$5:$B$104,0)),"ID not found"))</f>
        <v/>
      </c>
      <c r="E270" s="27"/>
      <c r="F270" s="27"/>
      <c r="G270" s="28" t="str">
        <f aca="false">IF(F270="","",IFERROR(INDEX('Hitting Drills'!$D$6:$D$45,MATCH(F270,'Hitting Drills'!$B$6:$B$45,0)),"Not a hitting drill ID"))</f>
        <v/>
      </c>
      <c r="H270" s="27"/>
      <c r="I270" s="27"/>
      <c r="J270" s="27"/>
      <c r="K270" s="27"/>
      <c r="L270" s="27"/>
      <c r="M270" s="27"/>
      <c r="N270" s="27"/>
      <c r="O270" s="27"/>
      <c r="P270" s="27"/>
      <c r="Q270" s="27"/>
      <c r="R270" s="27"/>
      <c r="S270" s="29" t="str">
        <f aca="false">IF(OR(B270="",C270=""),"",IF(COUNTIFS($B$5:B270,B270,$C$5:C270,C270)=1,1,0))</f>
        <v/>
      </c>
      <c r="T270" s="29" t="str">
        <f aca="false">IF(OR(B270="",C270="",E270=""),"",IF(COUNTIFS($B$5:B270,B270,$C$5:C270,C270,$E$5:E270,E270)=1,1,0))</f>
        <v/>
      </c>
      <c r="U270" s="28" t="str">
        <f aca="false">IF(COUNTA(B270:C270,E270:F270,H270:P270)=0,"",IF(OR(B270="",C270="",E270=""),"Check: date, player, and context required",IF(AND(ISNUMBER(J270),ISNUMBER(I270),J270&gt;I270),"Check: solid contacts &gt; swings",IF(AND(ISNUMBER(L270),ISNUMBER(K270),L270&gt;K270),"Check: correct &gt; assessed decisions",IF(AND(ISNUMBER(N270),ISNUMBER(M270),N270&gt;M270),"Check: intended &gt; assessed landings",IF(AND(ISNUMBER(J270),I270=""),"Check: solid contacts without swings","OK"))))))</f>
        <v/>
      </c>
    </row>
    <row r="271" customFormat="false" ht="15" hidden="false" customHeight="false" outlineLevel="0" collapsed="false">
      <c r="B271" s="26"/>
      <c r="C271" s="27"/>
      <c r="D271" s="28" t="str">
        <f aca="false">IF(C271="","",IFERROR(INDEX(Players!$C$5:$C$104,MATCH(C271,Players!$B$5:$B$104,0)),"ID not found"))</f>
        <v/>
      </c>
      <c r="E271" s="27"/>
      <c r="F271" s="27"/>
      <c r="G271" s="28" t="str">
        <f aca="false">IF(F271="","",IFERROR(INDEX('Hitting Drills'!$D$6:$D$45,MATCH(F271,'Hitting Drills'!$B$6:$B$45,0)),"Not a hitting drill ID"))</f>
        <v/>
      </c>
      <c r="H271" s="27"/>
      <c r="I271" s="27"/>
      <c r="J271" s="27"/>
      <c r="K271" s="27"/>
      <c r="L271" s="27"/>
      <c r="M271" s="27"/>
      <c r="N271" s="27"/>
      <c r="O271" s="27"/>
      <c r="P271" s="27"/>
      <c r="Q271" s="27"/>
      <c r="R271" s="27"/>
      <c r="S271" s="29" t="str">
        <f aca="false">IF(OR(B271="",C271=""),"",IF(COUNTIFS($B$5:B271,B271,$C$5:C271,C271)=1,1,0))</f>
        <v/>
      </c>
      <c r="T271" s="29" t="str">
        <f aca="false">IF(OR(B271="",C271="",E271=""),"",IF(COUNTIFS($B$5:B271,B271,$C$5:C271,C271,$E$5:E271,E271)=1,1,0))</f>
        <v/>
      </c>
      <c r="U271" s="28" t="str">
        <f aca="false">IF(COUNTA(B271:C271,E271:F271,H271:P271)=0,"",IF(OR(B271="",C271="",E271=""),"Check: date, player, and context required",IF(AND(ISNUMBER(J271),ISNUMBER(I271),J271&gt;I271),"Check: solid contacts &gt; swings",IF(AND(ISNUMBER(L271),ISNUMBER(K271),L271&gt;K271),"Check: correct &gt; assessed decisions",IF(AND(ISNUMBER(N271),ISNUMBER(M271),N271&gt;M271),"Check: intended &gt; assessed landings",IF(AND(ISNUMBER(J271),I271=""),"Check: solid contacts without swings","OK"))))))</f>
        <v/>
      </c>
    </row>
    <row r="272" customFormat="false" ht="15" hidden="false" customHeight="false" outlineLevel="0" collapsed="false">
      <c r="B272" s="26"/>
      <c r="C272" s="27"/>
      <c r="D272" s="28" t="str">
        <f aca="false">IF(C272="","",IFERROR(INDEX(Players!$C$5:$C$104,MATCH(C272,Players!$B$5:$B$104,0)),"ID not found"))</f>
        <v/>
      </c>
      <c r="E272" s="27"/>
      <c r="F272" s="27"/>
      <c r="G272" s="28" t="str">
        <f aca="false">IF(F272="","",IFERROR(INDEX('Hitting Drills'!$D$6:$D$45,MATCH(F272,'Hitting Drills'!$B$6:$B$45,0)),"Not a hitting drill ID"))</f>
        <v/>
      </c>
      <c r="H272" s="27"/>
      <c r="I272" s="27"/>
      <c r="J272" s="27"/>
      <c r="K272" s="27"/>
      <c r="L272" s="27"/>
      <c r="M272" s="27"/>
      <c r="N272" s="27"/>
      <c r="O272" s="27"/>
      <c r="P272" s="27"/>
      <c r="Q272" s="27"/>
      <c r="R272" s="27"/>
      <c r="S272" s="29" t="str">
        <f aca="false">IF(OR(B272="",C272=""),"",IF(COUNTIFS($B$5:B272,B272,$C$5:C272,C272)=1,1,0))</f>
        <v/>
      </c>
      <c r="T272" s="29" t="str">
        <f aca="false">IF(OR(B272="",C272="",E272=""),"",IF(COUNTIFS($B$5:B272,B272,$C$5:C272,C272,$E$5:E272,E272)=1,1,0))</f>
        <v/>
      </c>
      <c r="U272" s="28" t="str">
        <f aca="false">IF(COUNTA(B272:C272,E272:F272,H272:P272)=0,"",IF(OR(B272="",C272="",E272=""),"Check: date, player, and context required",IF(AND(ISNUMBER(J272),ISNUMBER(I272),J272&gt;I272),"Check: solid contacts &gt; swings",IF(AND(ISNUMBER(L272),ISNUMBER(K272),L272&gt;K272),"Check: correct &gt; assessed decisions",IF(AND(ISNUMBER(N272),ISNUMBER(M272),N272&gt;M272),"Check: intended &gt; assessed landings",IF(AND(ISNUMBER(J272),I272=""),"Check: solid contacts without swings","OK"))))))</f>
        <v/>
      </c>
    </row>
    <row r="273" customFormat="false" ht="15" hidden="false" customHeight="false" outlineLevel="0" collapsed="false">
      <c r="B273" s="26"/>
      <c r="C273" s="27"/>
      <c r="D273" s="28" t="str">
        <f aca="false">IF(C273="","",IFERROR(INDEX(Players!$C$5:$C$104,MATCH(C273,Players!$B$5:$B$104,0)),"ID not found"))</f>
        <v/>
      </c>
      <c r="E273" s="27"/>
      <c r="F273" s="27"/>
      <c r="G273" s="28" t="str">
        <f aca="false">IF(F273="","",IFERROR(INDEX('Hitting Drills'!$D$6:$D$45,MATCH(F273,'Hitting Drills'!$B$6:$B$45,0)),"Not a hitting drill ID"))</f>
        <v/>
      </c>
      <c r="H273" s="27"/>
      <c r="I273" s="27"/>
      <c r="J273" s="27"/>
      <c r="K273" s="27"/>
      <c r="L273" s="27"/>
      <c r="M273" s="27"/>
      <c r="N273" s="27"/>
      <c r="O273" s="27"/>
      <c r="P273" s="27"/>
      <c r="Q273" s="27"/>
      <c r="R273" s="27"/>
      <c r="S273" s="29" t="str">
        <f aca="false">IF(OR(B273="",C273=""),"",IF(COUNTIFS($B$5:B273,B273,$C$5:C273,C273)=1,1,0))</f>
        <v/>
      </c>
      <c r="T273" s="29" t="str">
        <f aca="false">IF(OR(B273="",C273="",E273=""),"",IF(COUNTIFS($B$5:B273,B273,$C$5:C273,C273,$E$5:E273,E273)=1,1,0))</f>
        <v/>
      </c>
      <c r="U273" s="28" t="str">
        <f aca="false">IF(COUNTA(B273:C273,E273:F273,H273:P273)=0,"",IF(OR(B273="",C273="",E273=""),"Check: date, player, and context required",IF(AND(ISNUMBER(J273),ISNUMBER(I273),J273&gt;I273),"Check: solid contacts &gt; swings",IF(AND(ISNUMBER(L273),ISNUMBER(K273),L273&gt;K273),"Check: correct &gt; assessed decisions",IF(AND(ISNUMBER(N273),ISNUMBER(M273),N273&gt;M273),"Check: intended &gt; assessed landings",IF(AND(ISNUMBER(J273),I273=""),"Check: solid contacts without swings","OK"))))))</f>
        <v/>
      </c>
    </row>
    <row r="274" customFormat="false" ht="15" hidden="false" customHeight="false" outlineLevel="0" collapsed="false">
      <c r="B274" s="26"/>
      <c r="C274" s="27"/>
      <c r="D274" s="28" t="str">
        <f aca="false">IF(C274="","",IFERROR(INDEX(Players!$C$5:$C$104,MATCH(C274,Players!$B$5:$B$104,0)),"ID not found"))</f>
        <v/>
      </c>
      <c r="E274" s="27"/>
      <c r="F274" s="27"/>
      <c r="G274" s="28" t="str">
        <f aca="false">IF(F274="","",IFERROR(INDEX('Hitting Drills'!$D$6:$D$45,MATCH(F274,'Hitting Drills'!$B$6:$B$45,0)),"Not a hitting drill ID"))</f>
        <v/>
      </c>
      <c r="H274" s="27"/>
      <c r="I274" s="27"/>
      <c r="J274" s="27"/>
      <c r="K274" s="27"/>
      <c r="L274" s="27"/>
      <c r="M274" s="27"/>
      <c r="N274" s="27"/>
      <c r="O274" s="27"/>
      <c r="P274" s="27"/>
      <c r="Q274" s="27"/>
      <c r="R274" s="27"/>
      <c r="S274" s="29" t="str">
        <f aca="false">IF(OR(B274="",C274=""),"",IF(COUNTIFS($B$5:B274,B274,$C$5:C274,C274)=1,1,0))</f>
        <v/>
      </c>
      <c r="T274" s="29" t="str">
        <f aca="false">IF(OR(B274="",C274="",E274=""),"",IF(COUNTIFS($B$5:B274,B274,$C$5:C274,C274,$E$5:E274,E274)=1,1,0))</f>
        <v/>
      </c>
      <c r="U274" s="28" t="str">
        <f aca="false">IF(COUNTA(B274:C274,E274:F274,H274:P274)=0,"",IF(OR(B274="",C274="",E274=""),"Check: date, player, and context required",IF(AND(ISNUMBER(J274),ISNUMBER(I274),J274&gt;I274),"Check: solid contacts &gt; swings",IF(AND(ISNUMBER(L274),ISNUMBER(K274),L274&gt;K274),"Check: correct &gt; assessed decisions",IF(AND(ISNUMBER(N274),ISNUMBER(M274),N274&gt;M274),"Check: intended &gt; assessed landings",IF(AND(ISNUMBER(J274),I274=""),"Check: solid contacts without swings","OK"))))))</f>
        <v/>
      </c>
    </row>
    <row r="275" customFormat="false" ht="15" hidden="false" customHeight="false" outlineLevel="0" collapsed="false">
      <c r="B275" s="26"/>
      <c r="C275" s="27"/>
      <c r="D275" s="28" t="str">
        <f aca="false">IF(C275="","",IFERROR(INDEX(Players!$C$5:$C$104,MATCH(C275,Players!$B$5:$B$104,0)),"ID not found"))</f>
        <v/>
      </c>
      <c r="E275" s="27"/>
      <c r="F275" s="27"/>
      <c r="G275" s="28" t="str">
        <f aca="false">IF(F275="","",IFERROR(INDEX('Hitting Drills'!$D$6:$D$45,MATCH(F275,'Hitting Drills'!$B$6:$B$45,0)),"Not a hitting drill ID"))</f>
        <v/>
      </c>
      <c r="H275" s="27"/>
      <c r="I275" s="27"/>
      <c r="J275" s="27"/>
      <c r="K275" s="27"/>
      <c r="L275" s="27"/>
      <c r="M275" s="27"/>
      <c r="N275" s="27"/>
      <c r="O275" s="27"/>
      <c r="P275" s="27"/>
      <c r="Q275" s="27"/>
      <c r="R275" s="27"/>
      <c r="S275" s="29" t="str">
        <f aca="false">IF(OR(B275="",C275=""),"",IF(COUNTIFS($B$5:B275,B275,$C$5:C275,C275)=1,1,0))</f>
        <v/>
      </c>
      <c r="T275" s="29" t="str">
        <f aca="false">IF(OR(B275="",C275="",E275=""),"",IF(COUNTIFS($B$5:B275,B275,$C$5:C275,C275,$E$5:E275,E275)=1,1,0))</f>
        <v/>
      </c>
      <c r="U275" s="28" t="str">
        <f aca="false">IF(COUNTA(B275:C275,E275:F275,H275:P275)=0,"",IF(OR(B275="",C275="",E275=""),"Check: date, player, and context required",IF(AND(ISNUMBER(J275),ISNUMBER(I275),J275&gt;I275),"Check: solid contacts &gt; swings",IF(AND(ISNUMBER(L275),ISNUMBER(K275),L275&gt;K275),"Check: correct &gt; assessed decisions",IF(AND(ISNUMBER(N275),ISNUMBER(M275),N275&gt;M275),"Check: intended &gt; assessed landings",IF(AND(ISNUMBER(J275),I275=""),"Check: solid contacts without swings","OK"))))))</f>
        <v/>
      </c>
    </row>
    <row r="276" customFormat="false" ht="15" hidden="false" customHeight="false" outlineLevel="0" collapsed="false">
      <c r="B276" s="26"/>
      <c r="C276" s="27"/>
      <c r="D276" s="28" t="str">
        <f aca="false">IF(C276="","",IFERROR(INDEX(Players!$C$5:$C$104,MATCH(C276,Players!$B$5:$B$104,0)),"ID not found"))</f>
        <v/>
      </c>
      <c r="E276" s="27"/>
      <c r="F276" s="27"/>
      <c r="G276" s="28" t="str">
        <f aca="false">IF(F276="","",IFERROR(INDEX('Hitting Drills'!$D$6:$D$45,MATCH(F276,'Hitting Drills'!$B$6:$B$45,0)),"Not a hitting drill ID"))</f>
        <v/>
      </c>
      <c r="H276" s="27"/>
      <c r="I276" s="27"/>
      <c r="J276" s="27"/>
      <c r="K276" s="27"/>
      <c r="L276" s="27"/>
      <c r="M276" s="27"/>
      <c r="N276" s="27"/>
      <c r="O276" s="27"/>
      <c r="P276" s="27"/>
      <c r="Q276" s="27"/>
      <c r="R276" s="27"/>
      <c r="S276" s="29" t="str">
        <f aca="false">IF(OR(B276="",C276=""),"",IF(COUNTIFS($B$5:B276,B276,$C$5:C276,C276)=1,1,0))</f>
        <v/>
      </c>
      <c r="T276" s="29" t="str">
        <f aca="false">IF(OR(B276="",C276="",E276=""),"",IF(COUNTIFS($B$5:B276,B276,$C$5:C276,C276,$E$5:E276,E276)=1,1,0))</f>
        <v/>
      </c>
      <c r="U276" s="28" t="str">
        <f aca="false">IF(COUNTA(B276:C276,E276:F276,H276:P276)=0,"",IF(OR(B276="",C276="",E276=""),"Check: date, player, and context required",IF(AND(ISNUMBER(J276),ISNUMBER(I276),J276&gt;I276),"Check: solid contacts &gt; swings",IF(AND(ISNUMBER(L276),ISNUMBER(K276),L276&gt;K276),"Check: correct &gt; assessed decisions",IF(AND(ISNUMBER(N276),ISNUMBER(M276),N276&gt;M276),"Check: intended &gt; assessed landings",IF(AND(ISNUMBER(J276),I276=""),"Check: solid contacts without swings","OK"))))))</f>
        <v/>
      </c>
    </row>
    <row r="277" customFormat="false" ht="15" hidden="false" customHeight="false" outlineLevel="0" collapsed="false">
      <c r="B277" s="26"/>
      <c r="C277" s="27"/>
      <c r="D277" s="28" t="str">
        <f aca="false">IF(C277="","",IFERROR(INDEX(Players!$C$5:$C$104,MATCH(C277,Players!$B$5:$B$104,0)),"ID not found"))</f>
        <v/>
      </c>
      <c r="E277" s="27"/>
      <c r="F277" s="27"/>
      <c r="G277" s="28" t="str">
        <f aca="false">IF(F277="","",IFERROR(INDEX('Hitting Drills'!$D$6:$D$45,MATCH(F277,'Hitting Drills'!$B$6:$B$45,0)),"Not a hitting drill ID"))</f>
        <v/>
      </c>
      <c r="H277" s="27"/>
      <c r="I277" s="27"/>
      <c r="J277" s="27"/>
      <c r="K277" s="27"/>
      <c r="L277" s="27"/>
      <c r="M277" s="27"/>
      <c r="N277" s="27"/>
      <c r="O277" s="27"/>
      <c r="P277" s="27"/>
      <c r="Q277" s="27"/>
      <c r="R277" s="27"/>
      <c r="S277" s="29" t="str">
        <f aca="false">IF(OR(B277="",C277=""),"",IF(COUNTIFS($B$5:B277,B277,$C$5:C277,C277)=1,1,0))</f>
        <v/>
      </c>
      <c r="T277" s="29" t="str">
        <f aca="false">IF(OR(B277="",C277="",E277=""),"",IF(COUNTIFS($B$5:B277,B277,$C$5:C277,C277,$E$5:E277,E277)=1,1,0))</f>
        <v/>
      </c>
      <c r="U277" s="28" t="str">
        <f aca="false">IF(COUNTA(B277:C277,E277:F277,H277:P277)=0,"",IF(OR(B277="",C277="",E277=""),"Check: date, player, and context required",IF(AND(ISNUMBER(J277),ISNUMBER(I277),J277&gt;I277),"Check: solid contacts &gt; swings",IF(AND(ISNUMBER(L277),ISNUMBER(K277),L277&gt;K277),"Check: correct &gt; assessed decisions",IF(AND(ISNUMBER(N277),ISNUMBER(M277),N277&gt;M277),"Check: intended &gt; assessed landings",IF(AND(ISNUMBER(J277),I277=""),"Check: solid contacts without swings","OK"))))))</f>
        <v/>
      </c>
    </row>
    <row r="278" customFormat="false" ht="15" hidden="false" customHeight="false" outlineLevel="0" collapsed="false">
      <c r="B278" s="26"/>
      <c r="C278" s="27"/>
      <c r="D278" s="28" t="str">
        <f aca="false">IF(C278="","",IFERROR(INDEX(Players!$C$5:$C$104,MATCH(C278,Players!$B$5:$B$104,0)),"ID not found"))</f>
        <v/>
      </c>
      <c r="E278" s="27"/>
      <c r="F278" s="27"/>
      <c r="G278" s="28" t="str">
        <f aca="false">IF(F278="","",IFERROR(INDEX('Hitting Drills'!$D$6:$D$45,MATCH(F278,'Hitting Drills'!$B$6:$B$45,0)),"Not a hitting drill ID"))</f>
        <v/>
      </c>
      <c r="H278" s="27"/>
      <c r="I278" s="27"/>
      <c r="J278" s="27"/>
      <c r="K278" s="27"/>
      <c r="L278" s="27"/>
      <c r="M278" s="27"/>
      <c r="N278" s="27"/>
      <c r="O278" s="27"/>
      <c r="P278" s="27"/>
      <c r="Q278" s="27"/>
      <c r="R278" s="27"/>
      <c r="S278" s="29" t="str">
        <f aca="false">IF(OR(B278="",C278=""),"",IF(COUNTIFS($B$5:B278,B278,$C$5:C278,C278)=1,1,0))</f>
        <v/>
      </c>
      <c r="T278" s="29" t="str">
        <f aca="false">IF(OR(B278="",C278="",E278=""),"",IF(COUNTIFS($B$5:B278,B278,$C$5:C278,C278,$E$5:E278,E278)=1,1,0))</f>
        <v/>
      </c>
      <c r="U278" s="28" t="str">
        <f aca="false">IF(COUNTA(B278:C278,E278:F278,H278:P278)=0,"",IF(OR(B278="",C278="",E278=""),"Check: date, player, and context required",IF(AND(ISNUMBER(J278),ISNUMBER(I278),J278&gt;I278),"Check: solid contacts &gt; swings",IF(AND(ISNUMBER(L278),ISNUMBER(K278),L278&gt;K278),"Check: correct &gt; assessed decisions",IF(AND(ISNUMBER(N278),ISNUMBER(M278),N278&gt;M278),"Check: intended &gt; assessed landings",IF(AND(ISNUMBER(J278),I278=""),"Check: solid contacts without swings","OK"))))))</f>
        <v/>
      </c>
    </row>
    <row r="279" customFormat="false" ht="15" hidden="false" customHeight="false" outlineLevel="0" collapsed="false">
      <c r="B279" s="26"/>
      <c r="C279" s="27"/>
      <c r="D279" s="28" t="str">
        <f aca="false">IF(C279="","",IFERROR(INDEX(Players!$C$5:$C$104,MATCH(C279,Players!$B$5:$B$104,0)),"ID not found"))</f>
        <v/>
      </c>
      <c r="E279" s="27"/>
      <c r="F279" s="27"/>
      <c r="G279" s="28" t="str">
        <f aca="false">IF(F279="","",IFERROR(INDEX('Hitting Drills'!$D$6:$D$45,MATCH(F279,'Hitting Drills'!$B$6:$B$45,0)),"Not a hitting drill ID"))</f>
        <v/>
      </c>
      <c r="H279" s="27"/>
      <c r="I279" s="27"/>
      <c r="J279" s="27"/>
      <c r="K279" s="27"/>
      <c r="L279" s="27"/>
      <c r="M279" s="27"/>
      <c r="N279" s="27"/>
      <c r="O279" s="27"/>
      <c r="P279" s="27"/>
      <c r="Q279" s="27"/>
      <c r="R279" s="27"/>
      <c r="S279" s="29" t="str">
        <f aca="false">IF(OR(B279="",C279=""),"",IF(COUNTIFS($B$5:B279,B279,$C$5:C279,C279)=1,1,0))</f>
        <v/>
      </c>
      <c r="T279" s="29" t="str">
        <f aca="false">IF(OR(B279="",C279="",E279=""),"",IF(COUNTIFS($B$5:B279,B279,$C$5:C279,C279,$E$5:E279,E279)=1,1,0))</f>
        <v/>
      </c>
      <c r="U279" s="28" t="str">
        <f aca="false">IF(COUNTA(B279:C279,E279:F279,H279:P279)=0,"",IF(OR(B279="",C279="",E279=""),"Check: date, player, and context required",IF(AND(ISNUMBER(J279),ISNUMBER(I279),J279&gt;I279),"Check: solid contacts &gt; swings",IF(AND(ISNUMBER(L279),ISNUMBER(K279),L279&gt;K279),"Check: correct &gt; assessed decisions",IF(AND(ISNUMBER(N279),ISNUMBER(M279),N279&gt;M279),"Check: intended &gt; assessed landings",IF(AND(ISNUMBER(J279),I279=""),"Check: solid contacts without swings","OK"))))))</f>
        <v/>
      </c>
    </row>
    <row r="280" customFormat="false" ht="15" hidden="false" customHeight="false" outlineLevel="0" collapsed="false">
      <c r="B280" s="26"/>
      <c r="C280" s="27"/>
      <c r="D280" s="28" t="str">
        <f aca="false">IF(C280="","",IFERROR(INDEX(Players!$C$5:$C$104,MATCH(C280,Players!$B$5:$B$104,0)),"ID not found"))</f>
        <v/>
      </c>
      <c r="E280" s="27"/>
      <c r="F280" s="27"/>
      <c r="G280" s="28" t="str">
        <f aca="false">IF(F280="","",IFERROR(INDEX('Hitting Drills'!$D$6:$D$45,MATCH(F280,'Hitting Drills'!$B$6:$B$45,0)),"Not a hitting drill ID"))</f>
        <v/>
      </c>
      <c r="H280" s="27"/>
      <c r="I280" s="27"/>
      <c r="J280" s="27"/>
      <c r="K280" s="27"/>
      <c r="L280" s="27"/>
      <c r="M280" s="27"/>
      <c r="N280" s="27"/>
      <c r="O280" s="27"/>
      <c r="P280" s="27"/>
      <c r="Q280" s="27"/>
      <c r="R280" s="27"/>
      <c r="S280" s="29" t="str">
        <f aca="false">IF(OR(B280="",C280=""),"",IF(COUNTIFS($B$5:B280,B280,$C$5:C280,C280)=1,1,0))</f>
        <v/>
      </c>
      <c r="T280" s="29" t="str">
        <f aca="false">IF(OR(B280="",C280="",E280=""),"",IF(COUNTIFS($B$5:B280,B280,$C$5:C280,C280,$E$5:E280,E280)=1,1,0))</f>
        <v/>
      </c>
      <c r="U280" s="28" t="str">
        <f aca="false">IF(COUNTA(B280:C280,E280:F280,H280:P280)=0,"",IF(OR(B280="",C280="",E280=""),"Check: date, player, and context required",IF(AND(ISNUMBER(J280),ISNUMBER(I280),J280&gt;I280),"Check: solid contacts &gt; swings",IF(AND(ISNUMBER(L280),ISNUMBER(K280),L280&gt;K280),"Check: correct &gt; assessed decisions",IF(AND(ISNUMBER(N280),ISNUMBER(M280),N280&gt;M280),"Check: intended &gt; assessed landings",IF(AND(ISNUMBER(J280),I280=""),"Check: solid contacts without swings","OK"))))))</f>
        <v/>
      </c>
    </row>
    <row r="281" customFormat="false" ht="15" hidden="false" customHeight="false" outlineLevel="0" collapsed="false">
      <c r="B281" s="26"/>
      <c r="C281" s="27"/>
      <c r="D281" s="28" t="str">
        <f aca="false">IF(C281="","",IFERROR(INDEX(Players!$C$5:$C$104,MATCH(C281,Players!$B$5:$B$104,0)),"ID not found"))</f>
        <v/>
      </c>
      <c r="E281" s="27"/>
      <c r="F281" s="27"/>
      <c r="G281" s="28" t="str">
        <f aca="false">IF(F281="","",IFERROR(INDEX('Hitting Drills'!$D$6:$D$45,MATCH(F281,'Hitting Drills'!$B$6:$B$45,0)),"Not a hitting drill ID"))</f>
        <v/>
      </c>
      <c r="H281" s="27"/>
      <c r="I281" s="27"/>
      <c r="J281" s="27"/>
      <c r="K281" s="27"/>
      <c r="L281" s="27"/>
      <c r="M281" s="27"/>
      <c r="N281" s="27"/>
      <c r="O281" s="27"/>
      <c r="P281" s="27"/>
      <c r="Q281" s="27"/>
      <c r="R281" s="27"/>
      <c r="S281" s="29" t="str">
        <f aca="false">IF(OR(B281="",C281=""),"",IF(COUNTIFS($B$5:B281,B281,$C$5:C281,C281)=1,1,0))</f>
        <v/>
      </c>
      <c r="T281" s="29" t="str">
        <f aca="false">IF(OR(B281="",C281="",E281=""),"",IF(COUNTIFS($B$5:B281,B281,$C$5:C281,C281,$E$5:E281,E281)=1,1,0))</f>
        <v/>
      </c>
      <c r="U281" s="28" t="str">
        <f aca="false">IF(COUNTA(B281:C281,E281:F281,H281:P281)=0,"",IF(OR(B281="",C281="",E281=""),"Check: date, player, and context required",IF(AND(ISNUMBER(J281),ISNUMBER(I281),J281&gt;I281),"Check: solid contacts &gt; swings",IF(AND(ISNUMBER(L281),ISNUMBER(K281),L281&gt;K281),"Check: correct &gt; assessed decisions",IF(AND(ISNUMBER(N281),ISNUMBER(M281),N281&gt;M281),"Check: intended &gt; assessed landings",IF(AND(ISNUMBER(J281),I281=""),"Check: solid contacts without swings","OK"))))))</f>
        <v/>
      </c>
    </row>
    <row r="282" customFormat="false" ht="15" hidden="false" customHeight="false" outlineLevel="0" collapsed="false">
      <c r="B282" s="26"/>
      <c r="C282" s="27"/>
      <c r="D282" s="28" t="str">
        <f aca="false">IF(C282="","",IFERROR(INDEX(Players!$C$5:$C$104,MATCH(C282,Players!$B$5:$B$104,0)),"ID not found"))</f>
        <v/>
      </c>
      <c r="E282" s="27"/>
      <c r="F282" s="27"/>
      <c r="G282" s="28" t="str">
        <f aca="false">IF(F282="","",IFERROR(INDEX('Hitting Drills'!$D$6:$D$45,MATCH(F282,'Hitting Drills'!$B$6:$B$45,0)),"Not a hitting drill ID"))</f>
        <v/>
      </c>
      <c r="H282" s="27"/>
      <c r="I282" s="27"/>
      <c r="J282" s="27"/>
      <c r="K282" s="27"/>
      <c r="L282" s="27"/>
      <c r="M282" s="27"/>
      <c r="N282" s="27"/>
      <c r="O282" s="27"/>
      <c r="P282" s="27"/>
      <c r="Q282" s="27"/>
      <c r="R282" s="27"/>
      <c r="S282" s="29" t="str">
        <f aca="false">IF(OR(B282="",C282=""),"",IF(COUNTIFS($B$5:B282,B282,$C$5:C282,C282)=1,1,0))</f>
        <v/>
      </c>
      <c r="T282" s="29" t="str">
        <f aca="false">IF(OR(B282="",C282="",E282=""),"",IF(COUNTIFS($B$5:B282,B282,$C$5:C282,C282,$E$5:E282,E282)=1,1,0))</f>
        <v/>
      </c>
      <c r="U282" s="28" t="str">
        <f aca="false">IF(COUNTA(B282:C282,E282:F282,H282:P282)=0,"",IF(OR(B282="",C282="",E282=""),"Check: date, player, and context required",IF(AND(ISNUMBER(J282),ISNUMBER(I282),J282&gt;I282),"Check: solid contacts &gt; swings",IF(AND(ISNUMBER(L282),ISNUMBER(K282),L282&gt;K282),"Check: correct &gt; assessed decisions",IF(AND(ISNUMBER(N282),ISNUMBER(M282),N282&gt;M282),"Check: intended &gt; assessed landings",IF(AND(ISNUMBER(J282),I282=""),"Check: solid contacts without swings","OK"))))))</f>
        <v/>
      </c>
    </row>
    <row r="283" customFormat="false" ht="15" hidden="false" customHeight="false" outlineLevel="0" collapsed="false">
      <c r="B283" s="26"/>
      <c r="C283" s="27"/>
      <c r="D283" s="28" t="str">
        <f aca="false">IF(C283="","",IFERROR(INDEX(Players!$C$5:$C$104,MATCH(C283,Players!$B$5:$B$104,0)),"ID not found"))</f>
        <v/>
      </c>
      <c r="E283" s="27"/>
      <c r="F283" s="27"/>
      <c r="G283" s="28" t="str">
        <f aca="false">IF(F283="","",IFERROR(INDEX('Hitting Drills'!$D$6:$D$45,MATCH(F283,'Hitting Drills'!$B$6:$B$45,0)),"Not a hitting drill ID"))</f>
        <v/>
      </c>
      <c r="H283" s="27"/>
      <c r="I283" s="27"/>
      <c r="J283" s="27"/>
      <c r="K283" s="27"/>
      <c r="L283" s="27"/>
      <c r="M283" s="27"/>
      <c r="N283" s="27"/>
      <c r="O283" s="27"/>
      <c r="P283" s="27"/>
      <c r="Q283" s="27"/>
      <c r="R283" s="27"/>
      <c r="S283" s="29" t="str">
        <f aca="false">IF(OR(B283="",C283=""),"",IF(COUNTIFS($B$5:B283,B283,$C$5:C283,C283)=1,1,0))</f>
        <v/>
      </c>
      <c r="T283" s="29" t="str">
        <f aca="false">IF(OR(B283="",C283="",E283=""),"",IF(COUNTIFS($B$5:B283,B283,$C$5:C283,C283,$E$5:E283,E283)=1,1,0))</f>
        <v/>
      </c>
      <c r="U283" s="28" t="str">
        <f aca="false">IF(COUNTA(B283:C283,E283:F283,H283:P283)=0,"",IF(OR(B283="",C283="",E283=""),"Check: date, player, and context required",IF(AND(ISNUMBER(J283),ISNUMBER(I283),J283&gt;I283),"Check: solid contacts &gt; swings",IF(AND(ISNUMBER(L283),ISNUMBER(K283),L283&gt;K283),"Check: correct &gt; assessed decisions",IF(AND(ISNUMBER(N283),ISNUMBER(M283),N283&gt;M283),"Check: intended &gt; assessed landings",IF(AND(ISNUMBER(J283),I283=""),"Check: solid contacts without swings","OK"))))))</f>
        <v/>
      </c>
    </row>
    <row r="284" customFormat="false" ht="15" hidden="false" customHeight="false" outlineLevel="0" collapsed="false">
      <c r="B284" s="26"/>
      <c r="C284" s="27"/>
      <c r="D284" s="28" t="str">
        <f aca="false">IF(C284="","",IFERROR(INDEX(Players!$C$5:$C$104,MATCH(C284,Players!$B$5:$B$104,0)),"ID not found"))</f>
        <v/>
      </c>
      <c r="E284" s="27"/>
      <c r="F284" s="27"/>
      <c r="G284" s="28" t="str">
        <f aca="false">IF(F284="","",IFERROR(INDEX('Hitting Drills'!$D$6:$D$45,MATCH(F284,'Hitting Drills'!$B$6:$B$45,0)),"Not a hitting drill ID"))</f>
        <v/>
      </c>
      <c r="H284" s="27"/>
      <c r="I284" s="27"/>
      <c r="J284" s="27"/>
      <c r="K284" s="27"/>
      <c r="L284" s="27"/>
      <c r="M284" s="27"/>
      <c r="N284" s="27"/>
      <c r="O284" s="27"/>
      <c r="P284" s="27"/>
      <c r="Q284" s="27"/>
      <c r="R284" s="27"/>
      <c r="S284" s="29" t="str">
        <f aca="false">IF(OR(B284="",C284=""),"",IF(COUNTIFS($B$5:B284,B284,$C$5:C284,C284)=1,1,0))</f>
        <v/>
      </c>
      <c r="T284" s="29" t="str">
        <f aca="false">IF(OR(B284="",C284="",E284=""),"",IF(COUNTIFS($B$5:B284,B284,$C$5:C284,C284,$E$5:E284,E284)=1,1,0))</f>
        <v/>
      </c>
      <c r="U284" s="28" t="str">
        <f aca="false">IF(COUNTA(B284:C284,E284:F284,H284:P284)=0,"",IF(OR(B284="",C284="",E284=""),"Check: date, player, and context required",IF(AND(ISNUMBER(J284),ISNUMBER(I284),J284&gt;I284),"Check: solid contacts &gt; swings",IF(AND(ISNUMBER(L284),ISNUMBER(K284),L284&gt;K284),"Check: correct &gt; assessed decisions",IF(AND(ISNUMBER(N284),ISNUMBER(M284),N284&gt;M284),"Check: intended &gt; assessed landings",IF(AND(ISNUMBER(J284),I284=""),"Check: solid contacts without swings","OK"))))))</f>
        <v/>
      </c>
    </row>
    <row r="285" customFormat="false" ht="15" hidden="false" customHeight="false" outlineLevel="0" collapsed="false">
      <c r="B285" s="26"/>
      <c r="C285" s="27"/>
      <c r="D285" s="28" t="str">
        <f aca="false">IF(C285="","",IFERROR(INDEX(Players!$C$5:$C$104,MATCH(C285,Players!$B$5:$B$104,0)),"ID not found"))</f>
        <v/>
      </c>
      <c r="E285" s="27"/>
      <c r="F285" s="27"/>
      <c r="G285" s="28" t="str">
        <f aca="false">IF(F285="","",IFERROR(INDEX('Hitting Drills'!$D$6:$D$45,MATCH(F285,'Hitting Drills'!$B$6:$B$45,0)),"Not a hitting drill ID"))</f>
        <v/>
      </c>
      <c r="H285" s="27"/>
      <c r="I285" s="27"/>
      <c r="J285" s="27"/>
      <c r="K285" s="27"/>
      <c r="L285" s="27"/>
      <c r="M285" s="27"/>
      <c r="N285" s="27"/>
      <c r="O285" s="27"/>
      <c r="P285" s="27"/>
      <c r="Q285" s="27"/>
      <c r="R285" s="27"/>
      <c r="S285" s="29" t="str">
        <f aca="false">IF(OR(B285="",C285=""),"",IF(COUNTIFS($B$5:B285,B285,$C$5:C285,C285)=1,1,0))</f>
        <v/>
      </c>
      <c r="T285" s="29" t="str">
        <f aca="false">IF(OR(B285="",C285="",E285=""),"",IF(COUNTIFS($B$5:B285,B285,$C$5:C285,C285,$E$5:E285,E285)=1,1,0))</f>
        <v/>
      </c>
      <c r="U285" s="28" t="str">
        <f aca="false">IF(COUNTA(B285:C285,E285:F285,H285:P285)=0,"",IF(OR(B285="",C285="",E285=""),"Check: date, player, and context required",IF(AND(ISNUMBER(J285),ISNUMBER(I285),J285&gt;I285),"Check: solid contacts &gt; swings",IF(AND(ISNUMBER(L285),ISNUMBER(K285),L285&gt;K285),"Check: correct &gt; assessed decisions",IF(AND(ISNUMBER(N285),ISNUMBER(M285),N285&gt;M285),"Check: intended &gt; assessed landings",IF(AND(ISNUMBER(J285),I285=""),"Check: solid contacts without swings","OK"))))))</f>
        <v/>
      </c>
    </row>
    <row r="286" customFormat="false" ht="15" hidden="false" customHeight="false" outlineLevel="0" collapsed="false">
      <c r="B286" s="26"/>
      <c r="C286" s="27"/>
      <c r="D286" s="28" t="str">
        <f aca="false">IF(C286="","",IFERROR(INDEX(Players!$C$5:$C$104,MATCH(C286,Players!$B$5:$B$104,0)),"ID not found"))</f>
        <v/>
      </c>
      <c r="E286" s="27"/>
      <c r="F286" s="27"/>
      <c r="G286" s="28" t="str">
        <f aca="false">IF(F286="","",IFERROR(INDEX('Hitting Drills'!$D$6:$D$45,MATCH(F286,'Hitting Drills'!$B$6:$B$45,0)),"Not a hitting drill ID"))</f>
        <v/>
      </c>
      <c r="H286" s="27"/>
      <c r="I286" s="27"/>
      <c r="J286" s="27"/>
      <c r="K286" s="27"/>
      <c r="L286" s="27"/>
      <c r="M286" s="27"/>
      <c r="N286" s="27"/>
      <c r="O286" s="27"/>
      <c r="P286" s="27"/>
      <c r="Q286" s="27"/>
      <c r="R286" s="27"/>
      <c r="S286" s="29" t="str">
        <f aca="false">IF(OR(B286="",C286=""),"",IF(COUNTIFS($B$5:B286,B286,$C$5:C286,C286)=1,1,0))</f>
        <v/>
      </c>
      <c r="T286" s="29" t="str">
        <f aca="false">IF(OR(B286="",C286="",E286=""),"",IF(COUNTIFS($B$5:B286,B286,$C$5:C286,C286,$E$5:E286,E286)=1,1,0))</f>
        <v/>
      </c>
      <c r="U286" s="28" t="str">
        <f aca="false">IF(COUNTA(B286:C286,E286:F286,H286:P286)=0,"",IF(OR(B286="",C286="",E286=""),"Check: date, player, and context required",IF(AND(ISNUMBER(J286),ISNUMBER(I286),J286&gt;I286),"Check: solid contacts &gt; swings",IF(AND(ISNUMBER(L286),ISNUMBER(K286),L286&gt;K286),"Check: correct &gt; assessed decisions",IF(AND(ISNUMBER(N286),ISNUMBER(M286),N286&gt;M286),"Check: intended &gt; assessed landings",IF(AND(ISNUMBER(J286),I286=""),"Check: solid contacts without swings","OK"))))))</f>
        <v/>
      </c>
    </row>
    <row r="287" customFormat="false" ht="15" hidden="false" customHeight="false" outlineLevel="0" collapsed="false">
      <c r="B287" s="26"/>
      <c r="C287" s="27"/>
      <c r="D287" s="28" t="str">
        <f aca="false">IF(C287="","",IFERROR(INDEX(Players!$C$5:$C$104,MATCH(C287,Players!$B$5:$B$104,0)),"ID not found"))</f>
        <v/>
      </c>
      <c r="E287" s="27"/>
      <c r="F287" s="27"/>
      <c r="G287" s="28" t="str">
        <f aca="false">IF(F287="","",IFERROR(INDEX('Hitting Drills'!$D$6:$D$45,MATCH(F287,'Hitting Drills'!$B$6:$B$45,0)),"Not a hitting drill ID"))</f>
        <v/>
      </c>
      <c r="H287" s="27"/>
      <c r="I287" s="27"/>
      <c r="J287" s="27"/>
      <c r="K287" s="27"/>
      <c r="L287" s="27"/>
      <c r="M287" s="27"/>
      <c r="N287" s="27"/>
      <c r="O287" s="27"/>
      <c r="P287" s="27"/>
      <c r="Q287" s="27"/>
      <c r="R287" s="27"/>
      <c r="S287" s="29" t="str">
        <f aca="false">IF(OR(B287="",C287=""),"",IF(COUNTIFS($B$5:B287,B287,$C$5:C287,C287)=1,1,0))</f>
        <v/>
      </c>
      <c r="T287" s="29" t="str">
        <f aca="false">IF(OR(B287="",C287="",E287=""),"",IF(COUNTIFS($B$5:B287,B287,$C$5:C287,C287,$E$5:E287,E287)=1,1,0))</f>
        <v/>
      </c>
      <c r="U287" s="28" t="str">
        <f aca="false">IF(COUNTA(B287:C287,E287:F287,H287:P287)=0,"",IF(OR(B287="",C287="",E287=""),"Check: date, player, and context required",IF(AND(ISNUMBER(J287),ISNUMBER(I287),J287&gt;I287),"Check: solid contacts &gt; swings",IF(AND(ISNUMBER(L287),ISNUMBER(K287),L287&gt;K287),"Check: correct &gt; assessed decisions",IF(AND(ISNUMBER(N287),ISNUMBER(M287),N287&gt;M287),"Check: intended &gt; assessed landings",IF(AND(ISNUMBER(J287),I287=""),"Check: solid contacts without swings","OK"))))))</f>
        <v/>
      </c>
    </row>
    <row r="288" customFormat="false" ht="15" hidden="false" customHeight="false" outlineLevel="0" collapsed="false">
      <c r="B288" s="26"/>
      <c r="C288" s="27"/>
      <c r="D288" s="28" t="str">
        <f aca="false">IF(C288="","",IFERROR(INDEX(Players!$C$5:$C$104,MATCH(C288,Players!$B$5:$B$104,0)),"ID not found"))</f>
        <v/>
      </c>
      <c r="E288" s="27"/>
      <c r="F288" s="27"/>
      <c r="G288" s="28" t="str">
        <f aca="false">IF(F288="","",IFERROR(INDEX('Hitting Drills'!$D$6:$D$45,MATCH(F288,'Hitting Drills'!$B$6:$B$45,0)),"Not a hitting drill ID"))</f>
        <v/>
      </c>
      <c r="H288" s="27"/>
      <c r="I288" s="27"/>
      <c r="J288" s="27"/>
      <c r="K288" s="27"/>
      <c r="L288" s="27"/>
      <c r="M288" s="27"/>
      <c r="N288" s="27"/>
      <c r="O288" s="27"/>
      <c r="P288" s="27"/>
      <c r="Q288" s="27"/>
      <c r="R288" s="27"/>
      <c r="S288" s="29" t="str">
        <f aca="false">IF(OR(B288="",C288=""),"",IF(COUNTIFS($B$5:B288,B288,$C$5:C288,C288)=1,1,0))</f>
        <v/>
      </c>
      <c r="T288" s="29" t="str">
        <f aca="false">IF(OR(B288="",C288="",E288=""),"",IF(COUNTIFS($B$5:B288,B288,$C$5:C288,C288,$E$5:E288,E288)=1,1,0))</f>
        <v/>
      </c>
      <c r="U288" s="28" t="str">
        <f aca="false">IF(COUNTA(B288:C288,E288:F288,H288:P288)=0,"",IF(OR(B288="",C288="",E288=""),"Check: date, player, and context required",IF(AND(ISNUMBER(J288),ISNUMBER(I288),J288&gt;I288),"Check: solid contacts &gt; swings",IF(AND(ISNUMBER(L288),ISNUMBER(K288),L288&gt;K288),"Check: correct &gt; assessed decisions",IF(AND(ISNUMBER(N288),ISNUMBER(M288),N288&gt;M288),"Check: intended &gt; assessed landings",IF(AND(ISNUMBER(J288),I288=""),"Check: solid contacts without swings","OK"))))))</f>
        <v/>
      </c>
    </row>
    <row r="289" customFormat="false" ht="15" hidden="false" customHeight="false" outlineLevel="0" collapsed="false">
      <c r="B289" s="26"/>
      <c r="C289" s="27"/>
      <c r="D289" s="28" t="str">
        <f aca="false">IF(C289="","",IFERROR(INDEX(Players!$C$5:$C$104,MATCH(C289,Players!$B$5:$B$104,0)),"ID not found"))</f>
        <v/>
      </c>
      <c r="E289" s="27"/>
      <c r="F289" s="27"/>
      <c r="G289" s="28" t="str">
        <f aca="false">IF(F289="","",IFERROR(INDEX('Hitting Drills'!$D$6:$D$45,MATCH(F289,'Hitting Drills'!$B$6:$B$45,0)),"Not a hitting drill ID"))</f>
        <v/>
      </c>
      <c r="H289" s="27"/>
      <c r="I289" s="27"/>
      <c r="J289" s="27"/>
      <c r="K289" s="27"/>
      <c r="L289" s="27"/>
      <c r="M289" s="27"/>
      <c r="N289" s="27"/>
      <c r="O289" s="27"/>
      <c r="P289" s="27"/>
      <c r="Q289" s="27"/>
      <c r="R289" s="27"/>
      <c r="S289" s="29" t="str">
        <f aca="false">IF(OR(B289="",C289=""),"",IF(COUNTIFS($B$5:B289,B289,$C$5:C289,C289)=1,1,0))</f>
        <v/>
      </c>
      <c r="T289" s="29" t="str">
        <f aca="false">IF(OR(B289="",C289="",E289=""),"",IF(COUNTIFS($B$5:B289,B289,$C$5:C289,C289,$E$5:E289,E289)=1,1,0))</f>
        <v/>
      </c>
      <c r="U289" s="28" t="str">
        <f aca="false">IF(COUNTA(B289:C289,E289:F289,H289:P289)=0,"",IF(OR(B289="",C289="",E289=""),"Check: date, player, and context required",IF(AND(ISNUMBER(J289),ISNUMBER(I289),J289&gt;I289),"Check: solid contacts &gt; swings",IF(AND(ISNUMBER(L289),ISNUMBER(K289),L289&gt;K289),"Check: correct &gt; assessed decisions",IF(AND(ISNUMBER(N289),ISNUMBER(M289),N289&gt;M289),"Check: intended &gt; assessed landings",IF(AND(ISNUMBER(J289),I289=""),"Check: solid contacts without swings","OK"))))))</f>
        <v/>
      </c>
    </row>
    <row r="290" customFormat="false" ht="15" hidden="false" customHeight="false" outlineLevel="0" collapsed="false">
      <c r="B290" s="26"/>
      <c r="C290" s="27"/>
      <c r="D290" s="28" t="str">
        <f aca="false">IF(C290="","",IFERROR(INDEX(Players!$C$5:$C$104,MATCH(C290,Players!$B$5:$B$104,0)),"ID not found"))</f>
        <v/>
      </c>
      <c r="E290" s="27"/>
      <c r="F290" s="27"/>
      <c r="G290" s="28" t="str">
        <f aca="false">IF(F290="","",IFERROR(INDEX('Hitting Drills'!$D$6:$D$45,MATCH(F290,'Hitting Drills'!$B$6:$B$45,0)),"Not a hitting drill ID"))</f>
        <v/>
      </c>
      <c r="H290" s="27"/>
      <c r="I290" s="27"/>
      <c r="J290" s="27"/>
      <c r="K290" s="27"/>
      <c r="L290" s="27"/>
      <c r="M290" s="27"/>
      <c r="N290" s="27"/>
      <c r="O290" s="27"/>
      <c r="P290" s="27"/>
      <c r="Q290" s="27"/>
      <c r="R290" s="27"/>
      <c r="S290" s="29" t="str">
        <f aca="false">IF(OR(B290="",C290=""),"",IF(COUNTIFS($B$5:B290,B290,$C$5:C290,C290)=1,1,0))</f>
        <v/>
      </c>
      <c r="T290" s="29" t="str">
        <f aca="false">IF(OR(B290="",C290="",E290=""),"",IF(COUNTIFS($B$5:B290,B290,$C$5:C290,C290,$E$5:E290,E290)=1,1,0))</f>
        <v/>
      </c>
      <c r="U290" s="28" t="str">
        <f aca="false">IF(COUNTA(B290:C290,E290:F290,H290:P290)=0,"",IF(OR(B290="",C290="",E290=""),"Check: date, player, and context required",IF(AND(ISNUMBER(J290),ISNUMBER(I290),J290&gt;I290),"Check: solid contacts &gt; swings",IF(AND(ISNUMBER(L290),ISNUMBER(K290),L290&gt;K290),"Check: correct &gt; assessed decisions",IF(AND(ISNUMBER(N290),ISNUMBER(M290),N290&gt;M290),"Check: intended &gt; assessed landings",IF(AND(ISNUMBER(J290),I290=""),"Check: solid contacts without swings","OK"))))))</f>
        <v/>
      </c>
    </row>
    <row r="291" customFormat="false" ht="15" hidden="false" customHeight="false" outlineLevel="0" collapsed="false">
      <c r="B291" s="26"/>
      <c r="C291" s="27"/>
      <c r="D291" s="28" t="str">
        <f aca="false">IF(C291="","",IFERROR(INDEX(Players!$C$5:$C$104,MATCH(C291,Players!$B$5:$B$104,0)),"ID not found"))</f>
        <v/>
      </c>
      <c r="E291" s="27"/>
      <c r="F291" s="27"/>
      <c r="G291" s="28" t="str">
        <f aca="false">IF(F291="","",IFERROR(INDEX('Hitting Drills'!$D$6:$D$45,MATCH(F291,'Hitting Drills'!$B$6:$B$45,0)),"Not a hitting drill ID"))</f>
        <v/>
      </c>
      <c r="H291" s="27"/>
      <c r="I291" s="27"/>
      <c r="J291" s="27"/>
      <c r="K291" s="27"/>
      <c r="L291" s="27"/>
      <c r="M291" s="27"/>
      <c r="N291" s="27"/>
      <c r="O291" s="27"/>
      <c r="P291" s="27"/>
      <c r="Q291" s="27"/>
      <c r="R291" s="27"/>
      <c r="S291" s="29" t="str">
        <f aca="false">IF(OR(B291="",C291=""),"",IF(COUNTIFS($B$5:B291,B291,$C$5:C291,C291)=1,1,0))</f>
        <v/>
      </c>
      <c r="T291" s="29" t="str">
        <f aca="false">IF(OR(B291="",C291="",E291=""),"",IF(COUNTIFS($B$5:B291,B291,$C$5:C291,C291,$E$5:E291,E291)=1,1,0))</f>
        <v/>
      </c>
      <c r="U291" s="28" t="str">
        <f aca="false">IF(COUNTA(B291:C291,E291:F291,H291:P291)=0,"",IF(OR(B291="",C291="",E291=""),"Check: date, player, and context required",IF(AND(ISNUMBER(J291),ISNUMBER(I291),J291&gt;I291),"Check: solid contacts &gt; swings",IF(AND(ISNUMBER(L291),ISNUMBER(K291),L291&gt;K291),"Check: correct &gt; assessed decisions",IF(AND(ISNUMBER(N291),ISNUMBER(M291),N291&gt;M291),"Check: intended &gt; assessed landings",IF(AND(ISNUMBER(J291),I291=""),"Check: solid contacts without swings","OK"))))))</f>
        <v/>
      </c>
    </row>
    <row r="292" customFormat="false" ht="15" hidden="false" customHeight="false" outlineLevel="0" collapsed="false">
      <c r="B292" s="26"/>
      <c r="C292" s="27"/>
      <c r="D292" s="28" t="str">
        <f aca="false">IF(C292="","",IFERROR(INDEX(Players!$C$5:$C$104,MATCH(C292,Players!$B$5:$B$104,0)),"ID not found"))</f>
        <v/>
      </c>
      <c r="E292" s="27"/>
      <c r="F292" s="27"/>
      <c r="G292" s="28" t="str">
        <f aca="false">IF(F292="","",IFERROR(INDEX('Hitting Drills'!$D$6:$D$45,MATCH(F292,'Hitting Drills'!$B$6:$B$45,0)),"Not a hitting drill ID"))</f>
        <v/>
      </c>
      <c r="H292" s="27"/>
      <c r="I292" s="27"/>
      <c r="J292" s="27"/>
      <c r="K292" s="27"/>
      <c r="L292" s="27"/>
      <c r="M292" s="27"/>
      <c r="N292" s="27"/>
      <c r="O292" s="27"/>
      <c r="P292" s="27"/>
      <c r="Q292" s="27"/>
      <c r="R292" s="27"/>
      <c r="S292" s="29" t="str">
        <f aca="false">IF(OR(B292="",C292=""),"",IF(COUNTIFS($B$5:B292,B292,$C$5:C292,C292)=1,1,0))</f>
        <v/>
      </c>
      <c r="T292" s="29" t="str">
        <f aca="false">IF(OR(B292="",C292="",E292=""),"",IF(COUNTIFS($B$5:B292,B292,$C$5:C292,C292,$E$5:E292,E292)=1,1,0))</f>
        <v/>
      </c>
      <c r="U292" s="28" t="str">
        <f aca="false">IF(COUNTA(B292:C292,E292:F292,H292:P292)=0,"",IF(OR(B292="",C292="",E292=""),"Check: date, player, and context required",IF(AND(ISNUMBER(J292),ISNUMBER(I292),J292&gt;I292),"Check: solid contacts &gt; swings",IF(AND(ISNUMBER(L292),ISNUMBER(K292),L292&gt;K292),"Check: correct &gt; assessed decisions",IF(AND(ISNUMBER(N292),ISNUMBER(M292),N292&gt;M292),"Check: intended &gt; assessed landings",IF(AND(ISNUMBER(J292),I292=""),"Check: solid contacts without swings","OK"))))))</f>
        <v/>
      </c>
    </row>
    <row r="293" customFormat="false" ht="15" hidden="false" customHeight="false" outlineLevel="0" collapsed="false">
      <c r="B293" s="26"/>
      <c r="C293" s="27"/>
      <c r="D293" s="28" t="str">
        <f aca="false">IF(C293="","",IFERROR(INDEX(Players!$C$5:$C$104,MATCH(C293,Players!$B$5:$B$104,0)),"ID not found"))</f>
        <v/>
      </c>
      <c r="E293" s="27"/>
      <c r="F293" s="27"/>
      <c r="G293" s="28" t="str">
        <f aca="false">IF(F293="","",IFERROR(INDEX('Hitting Drills'!$D$6:$D$45,MATCH(F293,'Hitting Drills'!$B$6:$B$45,0)),"Not a hitting drill ID"))</f>
        <v/>
      </c>
      <c r="H293" s="27"/>
      <c r="I293" s="27"/>
      <c r="J293" s="27"/>
      <c r="K293" s="27"/>
      <c r="L293" s="27"/>
      <c r="M293" s="27"/>
      <c r="N293" s="27"/>
      <c r="O293" s="27"/>
      <c r="P293" s="27"/>
      <c r="Q293" s="27"/>
      <c r="R293" s="27"/>
      <c r="S293" s="29" t="str">
        <f aca="false">IF(OR(B293="",C293=""),"",IF(COUNTIFS($B$5:B293,B293,$C$5:C293,C293)=1,1,0))</f>
        <v/>
      </c>
      <c r="T293" s="29" t="str">
        <f aca="false">IF(OR(B293="",C293="",E293=""),"",IF(COUNTIFS($B$5:B293,B293,$C$5:C293,C293,$E$5:E293,E293)=1,1,0))</f>
        <v/>
      </c>
      <c r="U293" s="28" t="str">
        <f aca="false">IF(COUNTA(B293:C293,E293:F293,H293:P293)=0,"",IF(OR(B293="",C293="",E293=""),"Check: date, player, and context required",IF(AND(ISNUMBER(J293),ISNUMBER(I293),J293&gt;I293),"Check: solid contacts &gt; swings",IF(AND(ISNUMBER(L293),ISNUMBER(K293),L293&gt;K293),"Check: correct &gt; assessed decisions",IF(AND(ISNUMBER(N293),ISNUMBER(M293),N293&gt;M293),"Check: intended &gt; assessed landings",IF(AND(ISNUMBER(J293),I293=""),"Check: solid contacts without swings","OK"))))))</f>
        <v/>
      </c>
    </row>
    <row r="294" customFormat="false" ht="15" hidden="false" customHeight="false" outlineLevel="0" collapsed="false">
      <c r="B294" s="26"/>
      <c r="C294" s="27"/>
      <c r="D294" s="28" t="str">
        <f aca="false">IF(C294="","",IFERROR(INDEX(Players!$C$5:$C$104,MATCH(C294,Players!$B$5:$B$104,0)),"ID not found"))</f>
        <v/>
      </c>
      <c r="E294" s="27"/>
      <c r="F294" s="27"/>
      <c r="G294" s="28" t="str">
        <f aca="false">IF(F294="","",IFERROR(INDEX('Hitting Drills'!$D$6:$D$45,MATCH(F294,'Hitting Drills'!$B$6:$B$45,0)),"Not a hitting drill ID"))</f>
        <v/>
      </c>
      <c r="H294" s="27"/>
      <c r="I294" s="27"/>
      <c r="J294" s="27"/>
      <c r="K294" s="27"/>
      <c r="L294" s="27"/>
      <c r="M294" s="27"/>
      <c r="N294" s="27"/>
      <c r="O294" s="27"/>
      <c r="P294" s="27"/>
      <c r="Q294" s="27"/>
      <c r="R294" s="27"/>
      <c r="S294" s="29" t="str">
        <f aca="false">IF(OR(B294="",C294=""),"",IF(COUNTIFS($B$5:B294,B294,$C$5:C294,C294)=1,1,0))</f>
        <v/>
      </c>
      <c r="T294" s="29" t="str">
        <f aca="false">IF(OR(B294="",C294="",E294=""),"",IF(COUNTIFS($B$5:B294,B294,$C$5:C294,C294,$E$5:E294,E294)=1,1,0))</f>
        <v/>
      </c>
      <c r="U294" s="28" t="str">
        <f aca="false">IF(COUNTA(B294:C294,E294:F294,H294:P294)=0,"",IF(OR(B294="",C294="",E294=""),"Check: date, player, and context required",IF(AND(ISNUMBER(J294),ISNUMBER(I294),J294&gt;I294),"Check: solid contacts &gt; swings",IF(AND(ISNUMBER(L294),ISNUMBER(K294),L294&gt;K294),"Check: correct &gt; assessed decisions",IF(AND(ISNUMBER(N294),ISNUMBER(M294),N294&gt;M294),"Check: intended &gt; assessed landings",IF(AND(ISNUMBER(J294),I294=""),"Check: solid contacts without swings","OK"))))))</f>
        <v/>
      </c>
    </row>
    <row r="295" customFormat="false" ht="15" hidden="false" customHeight="false" outlineLevel="0" collapsed="false">
      <c r="B295" s="26"/>
      <c r="C295" s="27"/>
      <c r="D295" s="28" t="str">
        <f aca="false">IF(C295="","",IFERROR(INDEX(Players!$C$5:$C$104,MATCH(C295,Players!$B$5:$B$104,0)),"ID not found"))</f>
        <v/>
      </c>
      <c r="E295" s="27"/>
      <c r="F295" s="27"/>
      <c r="G295" s="28" t="str">
        <f aca="false">IF(F295="","",IFERROR(INDEX('Hitting Drills'!$D$6:$D$45,MATCH(F295,'Hitting Drills'!$B$6:$B$45,0)),"Not a hitting drill ID"))</f>
        <v/>
      </c>
      <c r="H295" s="27"/>
      <c r="I295" s="27"/>
      <c r="J295" s="27"/>
      <c r="K295" s="27"/>
      <c r="L295" s="27"/>
      <c r="M295" s="27"/>
      <c r="N295" s="27"/>
      <c r="O295" s="27"/>
      <c r="P295" s="27"/>
      <c r="Q295" s="27"/>
      <c r="R295" s="27"/>
      <c r="S295" s="29" t="str">
        <f aca="false">IF(OR(B295="",C295=""),"",IF(COUNTIFS($B$5:B295,B295,$C$5:C295,C295)=1,1,0))</f>
        <v/>
      </c>
      <c r="T295" s="29" t="str">
        <f aca="false">IF(OR(B295="",C295="",E295=""),"",IF(COUNTIFS($B$5:B295,B295,$C$5:C295,C295,$E$5:E295,E295)=1,1,0))</f>
        <v/>
      </c>
      <c r="U295" s="28" t="str">
        <f aca="false">IF(COUNTA(B295:C295,E295:F295,H295:P295)=0,"",IF(OR(B295="",C295="",E295=""),"Check: date, player, and context required",IF(AND(ISNUMBER(J295),ISNUMBER(I295),J295&gt;I295),"Check: solid contacts &gt; swings",IF(AND(ISNUMBER(L295),ISNUMBER(K295),L295&gt;K295),"Check: correct &gt; assessed decisions",IF(AND(ISNUMBER(N295),ISNUMBER(M295),N295&gt;M295),"Check: intended &gt; assessed landings",IF(AND(ISNUMBER(J295),I295=""),"Check: solid contacts without swings","OK"))))))</f>
        <v/>
      </c>
    </row>
    <row r="296" customFormat="false" ht="15" hidden="false" customHeight="false" outlineLevel="0" collapsed="false">
      <c r="B296" s="26"/>
      <c r="C296" s="27"/>
      <c r="D296" s="28" t="str">
        <f aca="false">IF(C296="","",IFERROR(INDEX(Players!$C$5:$C$104,MATCH(C296,Players!$B$5:$B$104,0)),"ID not found"))</f>
        <v/>
      </c>
      <c r="E296" s="27"/>
      <c r="F296" s="27"/>
      <c r="G296" s="28" t="str">
        <f aca="false">IF(F296="","",IFERROR(INDEX('Hitting Drills'!$D$6:$D$45,MATCH(F296,'Hitting Drills'!$B$6:$B$45,0)),"Not a hitting drill ID"))</f>
        <v/>
      </c>
      <c r="H296" s="27"/>
      <c r="I296" s="27"/>
      <c r="J296" s="27"/>
      <c r="K296" s="27"/>
      <c r="L296" s="27"/>
      <c r="M296" s="27"/>
      <c r="N296" s="27"/>
      <c r="O296" s="27"/>
      <c r="P296" s="27"/>
      <c r="Q296" s="27"/>
      <c r="R296" s="27"/>
      <c r="S296" s="29" t="str">
        <f aca="false">IF(OR(B296="",C296=""),"",IF(COUNTIFS($B$5:B296,B296,$C$5:C296,C296)=1,1,0))</f>
        <v/>
      </c>
      <c r="T296" s="29" t="str">
        <f aca="false">IF(OR(B296="",C296="",E296=""),"",IF(COUNTIFS($B$5:B296,B296,$C$5:C296,C296,$E$5:E296,E296)=1,1,0))</f>
        <v/>
      </c>
      <c r="U296" s="28" t="str">
        <f aca="false">IF(COUNTA(B296:C296,E296:F296,H296:P296)=0,"",IF(OR(B296="",C296="",E296=""),"Check: date, player, and context required",IF(AND(ISNUMBER(J296),ISNUMBER(I296),J296&gt;I296),"Check: solid contacts &gt; swings",IF(AND(ISNUMBER(L296),ISNUMBER(K296),L296&gt;K296),"Check: correct &gt; assessed decisions",IF(AND(ISNUMBER(N296),ISNUMBER(M296),N296&gt;M296),"Check: intended &gt; assessed landings",IF(AND(ISNUMBER(J296),I296=""),"Check: solid contacts without swings","OK"))))))</f>
        <v/>
      </c>
    </row>
    <row r="297" customFormat="false" ht="15" hidden="false" customHeight="false" outlineLevel="0" collapsed="false">
      <c r="B297" s="26"/>
      <c r="C297" s="27"/>
      <c r="D297" s="28" t="str">
        <f aca="false">IF(C297="","",IFERROR(INDEX(Players!$C$5:$C$104,MATCH(C297,Players!$B$5:$B$104,0)),"ID not found"))</f>
        <v/>
      </c>
      <c r="E297" s="27"/>
      <c r="F297" s="27"/>
      <c r="G297" s="28" t="str">
        <f aca="false">IF(F297="","",IFERROR(INDEX('Hitting Drills'!$D$6:$D$45,MATCH(F297,'Hitting Drills'!$B$6:$B$45,0)),"Not a hitting drill ID"))</f>
        <v/>
      </c>
      <c r="H297" s="27"/>
      <c r="I297" s="27"/>
      <c r="J297" s="27"/>
      <c r="K297" s="27"/>
      <c r="L297" s="27"/>
      <c r="M297" s="27"/>
      <c r="N297" s="27"/>
      <c r="O297" s="27"/>
      <c r="P297" s="27"/>
      <c r="Q297" s="27"/>
      <c r="R297" s="27"/>
      <c r="S297" s="29" t="str">
        <f aca="false">IF(OR(B297="",C297=""),"",IF(COUNTIFS($B$5:B297,B297,$C$5:C297,C297)=1,1,0))</f>
        <v/>
      </c>
      <c r="T297" s="29" t="str">
        <f aca="false">IF(OR(B297="",C297="",E297=""),"",IF(COUNTIFS($B$5:B297,B297,$C$5:C297,C297,$E$5:E297,E297)=1,1,0))</f>
        <v/>
      </c>
      <c r="U297" s="28" t="str">
        <f aca="false">IF(COUNTA(B297:C297,E297:F297,H297:P297)=0,"",IF(OR(B297="",C297="",E297=""),"Check: date, player, and context required",IF(AND(ISNUMBER(J297),ISNUMBER(I297),J297&gt;I297),"Check: solid contacts &gt; swings",IF(AND(ISNUMBER(L297),ISNUMBER(K297),L297&gt;K297),"Check: correct &gt; assessed decisions",IF(AND(ISNUMBER(N297),ISNUMBER(M297),N297&gt;M297),"Check: intended &gt; assessed landings",IF(AND(ISNUMBER(J297),I297=""),"Check: solid contacts without swings","OK"))))))</f>
        <v/>
      </c>
    </row>
    <row r="298" customFormat="false" ht="15" hidden="false" customHeight="false" outlineLevel="0" collapsed="false">
      <c r="B298" s="26"/>
      <c r="C298" s="27"/>
      <c r="D298" s="28" t="str">
        <f aca="false">IF(C298="","",IFERROR(INDEX(Players!$C$5:$C$104,MATCH(C298,Players!$B$5:$B$104,0)),"ID not found"))</f>
        <v/>
      </c>
      <c r="E298" s="27"/>
      <c r="F298" s="27"/>
      <c r="G298" s="28" t="str">
        <f aca="false">IF(F298="","",IFERROR(INDEX('Hitting Drills'!$D$6:$D$45,MATCH(F298,'Hitting Drills'!$B$6:$B$45,0)),"Not a hitting drill ID"))</f>
        <v/>
      </c>
      <c r="H298" s="27"/>
      <c r="I298" s="27"/>
      <c r="J298" s="27"/>
      <c r="K298" s="27"/>
      <c r="L298" s="27"/>
      <c r="M298" s="27"/>
      <c r="N298" s="27"/>
      <c r="O298" s="27"/>
      <c r="P298" s="27"/>
      <c r="Q298" s="27"/>
      <c r="R298" s="27"/>
      <c r="S298" s="29" t="str">
        <f aca="false">IF(OR(B298="",C298=""),"",IF(COUNTIFS($B$5:B298,B298,$C$5:C298,C298)=1,1,0))</f>
        <v/>
      </c>
      <c r="T298" s="29" t="str">
        <f aca="false">IF(OR(B298="",C298="",E298=""),"",IF(COUNTIFS($B$5:B298,B298,$C$5:C298,C298,$E$5:E298,E298)=1,1,0))</f>
        <v/>
      </c>
      <c r="U298" s="28" t="str">
        <f aca="false">IF(COUNTA(B298:C298,E298:F298,H298:P298)=0,"",IF(OR(B298="",C298="",E298=""),"Check: date, player, and context required",IF(AND(ISNUMBER(J298),ISNUMBER(I298),J298&gt;I298),"Check: solid contacts &gt; swings",IF(AND(ISNUMBER(L298),ISNUMBER(K298),L298&gt;K298),"Check: correct &gt; assessed decisions",IF(AND(ISNUMBER(N298),ISNUMBER(M298),N298&gt;M298),"Check: intended &gt; assessed landings",IF(AND(ISNUMBER(J298),I298=""),"Check: solid contacts without swings","OK"))))))</f>
        <v/>
      </c>
    </row>
    <row r="299" customFormat="false" ht="15" hidden="false" customHeight="false" outlineLevel="0" collapsed="false">
      <c r="B299" s="26"/>
      <c r="C299" s="27"/>
      <c r="D299" s="28" t="str">
        <f aca="false">IF(C299="","",IFERROR(INDEX(Players!$C$5:$C$104,MATCH(C299,Players!$B$5:$B$104,0)),"ID not found"))</f>
        <v/>
      </c>
      <c r="E299" s="27"/>
      <c r="F299" s="27"/>
      <c r="G299" s="28" t="str">
        <f aca="false">IF(F299="","",IFERROR(INDEX('Hitting Drills'!$D$6:$D$45,MATCH(F299,'Hitting Drills'!$B$6:$B$45,0)),"Not a hitting drill ID"))</f>
        <v/>
      </c>
      <c r="H299" s="27"/>
      <c r="I299" s="27"/>
      <c r="J299" s="27"/>
      <c r="K299" s="27"/>
      <c r="L299" s="27"/>
      <c r="M299" s="27"/>
      <c r="N299" s="27"/>
      <c r="O299" s="27"/>
      <c r="P299" s="27"/>
      <c r="Q299" s="27"/>
      <c r="R299" s="27"/>
      <c r="S299" s="29" t="str">
        <f aca="false">IF(OR(B299="",C299=""),"",IF(COUNTIFS($B$5:B299,B299,$C$5:C299,C299)=1,1,0))</f>
        <v/>
      </c>
      <c r="T299" s="29" t="str">
        <f aca="false">IF(OR(B299="",C299="",E299=""),"",IF(COUNTIFS($B$5:B299,B299,$C$5:C299,C299,$E$5:E299,E299)=1,1,0))</f>
        <v/>
      </c>
      <c r="U299" s="28" t="str">
        <f aca="false">IF(COUNTA(B299:C299,E299:F299,H299:P299)=0,"",IF(OR(B299="",C299="",E299=""),"Check: date, player, and context required",IF(AND(ISNUMBER(J299),ISNUMBER(I299),J299&gt;I299),"Check: solid contacts &gt; swings",IF(AND(ISNUMBER(L299),ISNUMBER(K299),L299&gt;K299),"Check: correct &gt; assessed decisions",IF(AND(ISNUMBER(N299),ISNUMBER(M299),N299&gt;M299),"Check: intended &gt; assessed landings",IF(AND(ISNUMBER(J299),I299=""),"Check: solid contacts without swings","OK"))))))</f>
        <v/>
      </c>
    </row>
    <row r="300" customFormat="false" ht="15" hidden="false" customHeight="false" outlineLevel="0" collapsed="false">
      <c r="B300" s="26"/>
      <c r="C300" s="27"/>
      <c r="D300" s="28" t="str">
        <f aca="false">IF(C300="","",IFERROR(INDEX(Players!$C$5:$C$104,MATCH(C300,Players!$B$5:$B$104,0)),"ID not found"))</f>
        <v/>
      </c>
      <c r="E300" s="27"/>
      <c r="F300" s="27"/>
      <c r="G300" s="28" t="str">
        <f aca="false">IF(F300="","",IFERROR(INDEX('Hitting Drills'!$D$6:$D$45,MATCH(F300,'Hitting Drills'!$B$6:$B$45,0)),"Not a hitting drill ID"))</f>
        <v/>
      </c>
      <c r="H300" s="27"/>
      <c r="I300" s="27"/>
      <c r="J300" s="27"/>
      <c r="K300" s="27"/>
      <c r="L300" s="27"/>
      <c r="M300" s="27"/>
      <c r="N300" s="27"/>
      <c r="O300" s="27"/>
      <c r="P300" s="27"/>
      <c r="Q300" s="27"/>
      <c r="R300" s="27"/>
      <c r="S300" s="29" t="str">
        <f aca="false">IF(OR(B300="",C300=""),"",IF(COUNTIFS($B$5:B300,B300,$C$5:C300,C300)=1,1,0))</f>
        <v/>
      </c>
      <c r="T300" s="29" t="str">
        <f aca="false">IF(OR(B300="",C300="",E300=""),"",IF(COUNTIFS($B$5:B300,B300,$C$5:C300,C300,$E$5:E300,E300)=1,1,0))</f>
        <v/>
      </c>
      <c r="U300" s="28" t="str">
        <f aca="false">IF(COUNTA(B300:C300,E300:F300,H300:P300)=0,"",IF(OR(B300="",C300="",E300=""),"Check: date, player, and context required",IF(AND(ISNUMBER(J300),ISNUMBER(I300),J300&gt;I300),"Check: solid contacts &gt; swings",IF(AND(ISNUMBER(L300),ISNUMBER(K300),L300&gt;K300),"Check: correct &gt; assessed decisions",IF(AND(ISNUMBER(N300),ISNUMBER(M300),N300&gt;M300),"Check: intended &gt; assessed landings",IF(AND(ISNUMBER(J300),I300=""),"Check: solid contacts without swings","OK"))))))</f>
        <v/>
      </c>
    </row>
    <row r="301" customFormat="false" ht="15" hidden="false" customHeight="false" outlineLevel="0" collapsed="false">
      <c r="B301" s="26"/>
      <c r="C301" s="27"/>
      <c r="D301" s="28" t="str">
        <f aca="false">IF(C301="","",IFERROR(INDEX(Players!$C$5:$C$104,MATCH(C301,Players!$B$5:$B$104,0)),"ID not found"))</f>
        <v/>
      </c>
      <c r="E301" s="27"/>
      <c r="F301" s="27"/>
      <c r="G301" s="28" t="str">
        <f aca="false">IF(F301="","",IFERROR(INDEX('Hitting Drills'!$D$6:$D$45,MATCH(F301,'Hitting Drills'!$B$6:$B$45,0)),"Not a hitting drill ID"))</f>
        <v/>
      </c>
      <c r="H301" s="27"/>
      <c r="I301" s="27"/>
      <c r="J301" s="27"/>
      <c r="K301" s="27"/>
      <c r="L301" s="27"/>
      <c r="M301" s="27"/>
      <c r="N301" s="27"/>
      <c r="O301" s="27"/>
      <c r="P301" s="27"/>
      <c r="Q301" s="27"/>
      <c r="R301" s="27"/>
      <c r="S301" s="29" t="str">
        <f aca="false">IF(OR(B301="",C301=""),"",IF(COUNTIFS($B$5:B301,B301,$C$5:C301,C301)=1,1,0))</f>
        <v/>
      </c>
      <c r="T301" s="29" t="str">
        <f aca="false">IF(OR(B301="",C301="",E301=""),"",IF(COUNTIFS($B$5:B301,B301,$C$5:C301,C301,$E$5:E301,E301)=1,1,0))</f>
        <v/>
      </c>
      <c r="U301" s="28" t="str">
        <f aca="false">IF(COUNTA(B301:C301,E301:F301,H301:P301)=0,"",IF(OR(B301="",C301="",E301=""),"Check: date, player, and context required",IF(AND(ISNUMBER(J301),ISNUMBER(I301),J301&gt;I301),"Check: solid contacts &gt; swings",IF(AND(ISNUMBER(L301),ISNUMBER(K301),L301&gt;K301),"Check: correct &gt; assessed decisions",IF(AND(ISNUMBER(N301),ISNUMBER(M301),N301&gt;M301),"Check: intended &gt; assessed landings",IF(AND(ISNUMBER(J301),I301=""),"Check: solid contacts without swings","OK"))))))</f>
        <v/>
      </c>
    </row>
    <row r="302" customFormat="false" ht="15" hidden="false" customHeight="false" outlineLevel="0" collapsed="false">
      <c r="B302" s="26"/>
      <c r="C302" s="27"/>
      <c r="D302" s="28" t="str">
        <f aca="false">IF(C302="","",IFERROR(INDEX(Players!$C$5:$C$104,MATCH(C302,Players!$B$5:$B$104,0)),"ID not found"))</f>
        <v/>
      </c>
      <c r="E302" s="27"/>
      <c r="F302" s="27"/>
      <c r="G302" s="28" t="str">
        <f aca="false">IF(F302="","",IFERROR(INDEX('Hitting Drills'!$D$6:$D$45,MATCH(F302,'Hitting Drills'!$B$6:$B$45,0)),"Not a hitting drill ID"))</f>
        <v/>
      </c>
      <c r="H302" s="27"/>
      <c r="I302" s="27"/>
      <c r="J302" s="27"/>
      <c r="K302" s="27"/>
      <c r="L302" s="27"/>
      <c r="M302" s="27"/>
      <c r="N302" s="27"/>
      <c r="O302" s="27"/>
      <c r="P302" s="27"/>
      <c r="Q302" s="27"/>
      <c r="R302" s="27"/>
      <c r="S302" s="29" t="str">
        <f aca="false">IF(OR(B302="",C302=""),"",IF(COUNTIFS($B$5:B302,B302,$C$5:C302,C302)=1,1,0))</f>
        <v/>
      </c>
      <c r="T302" s="29" t="str">
        <f aca="false">IF(OR(B302="",C302="",E302=""),"",IF(COUNTIFS($B$5:B302,B302,$C$5:C302,C302,$E$5:E302,E302)=1,1,0))</f>
        <v/>
      </c>
      <c r="U302" s="28" t="str">
        <f aca="false">IF(COUNTA(B302:C302,E302:F302,H302:P302)=0,"",IF(OR(B302="",C302="",E302=""),"Check: date, player, and context required",IF(AND(ISNUMBER(J302),ISNUMBER(I302),J302&gt;I302),"Check: solid contacts &gt; swings",IF(AND(ISNUMBER(L302),ISNUMBER(K302),L302&gt;K302),"Check: correct &gt; assessed decisions",IF(AND(ISNUMBER(N302),ISNUMBER(M302),N302&gt;M302),"Check: intended &gt; assessed landings",IF(AND(ISNUMBER(J302),I302=""),"Check: solid contacts without swings","OK"))))))</f>
        <v/>
      </c>
    </row>
    <row r="303" customFormat="false" ht="15" hidden="false" customHeight="false" outlineLevel="0" collapsed="false">
      <c r="B303" s="26"/>
      <c r="C303" s="27"/>
      <c r="D303" s="28" t="str">
        <f aca="false">IF(C303="","",IFERROR(INDEX(Players!$C$5:$C$104,MATCH(C303,Players!$B$5:$B$104,0)),"ID not found"))</f>
        <v/>
      </c>
      <c r="E303" s="27"/>
      <c r="F303" s="27"/>
      <c r="G303" s="28" t="str">
        <f aca="false">IF(F303="","",IFERROR(INDEX('Hitting Drills'!$D$6:$D$45,MATCH(F303,'Hitting Drills'!$B$6:$B$45,0)),"Not a hitting drill ID"))</f>
        <v/>
      </c>
      <c r="H303" s="27"/>
      <c r="I303" s="27"/>
      <c r="J303" s="27"/>
      <c r="K303" s="27"/>
      <c r="L303" s="27"/>
      <c r="M303" s="27"/>
      <c r="N303" s="27"/>
      <c r="O303" s="27"/>
      <c r="P303" s="27"/>
      <c r="Q303" s="27"/>
      <c r="R303" s="27"/>
      <c r="S303" s="29" t="str">
        <f aca="false">IF(OR(B303="",C303=""),"",IF(COUNTIFS($B$5:B303,B303,$C$5:C303,C303)=1,1,0))</f>
        <v/>
      </c>
      <c r="T303" s="29" t="str">
        <f aca="false">IF(OR(B303="",C303="",E303=""),"",IF(COUNTIFS($B$5:B303,B303,$C$5:C303,C303,$E$5:E303,E303)=1,1,0))</f>
        <v/>
      </c>
      <c r="U303" s="28" t="str">
        <f aca="false">IF(COUNTA(B303:C303,E303:F303,H303:P303)=0,"",IF(OR(B303="",C303="",E303=""),"Check: date, player, and context required",IF(AND(ISNUMBER(J303),ISNUMBER(I303),J303&gt;I303),"Check: solid contacts &gt; swings",IF(AND(ISNUMBER(L303),ISNUMBER(K303),L303&gt;K303),"Check: correct &gt; assessed decisions",IF(AND(ISNUMBER(N303),ISNUMBER(M303),N303&gt;M303),"Check: intended &gt; assessed landings",IF(AND(ISNUMBER(J303),I303=""),"Check: solid contacts without swings","OK"))))))</f>
        <v/>
      </c>
    </row>
    <row r="304" customFormat="false" ht="15" hidden="false" customHeight="false" outlineLevel="0" collapsed="false">
      <c r="B304" s="26"/>
      <c r="C304" s="27"/>
      <c r="D304" s="28" t="str">
        <f aca="false">IF(C304="","",IFERROR(INDEX(Players!$C$5:$C$104,MATCH(C304,Players!$B$5:$B$104,0)),"ID not found"))</f>
        <v/>
      </c>
      <c r="E304" s="27"/>
      <c r="F304" s="27"/>
      <c r="G304" s="28" t="str">
        <f aca="false">IF(F304="","",IFERROR(INDEX('Hitting Drills'!$D$6:$D$45,MATCH(F304,'Hitting Drills'!$B$6:$B$45,0)),"Not a hitting drill ID"))</f>
        <v/>
      </c>
      <c r="H304" s="27"/>
      <c r="I304" s="27"/>
      <c r="J304" s="27"/>
      <c r="K304" s="27"/>
      <c r="L304" s="27"/>
      <c r="M304" s="27"/>
      <c r="N304" s="27"/>
      <c r="O304" s="27"/>
      <c r="P304" s="27"/>
      <c r="Q304" s="27"/>
      <c r="R304" s="27"/>
      <c r="S304" s="29" t="str">
        <f aca="false">IF(OR(B304="",C304=""),"",IF(COUNTIFS($B$5:B304,B304,$C$5:C304,C304)=1,1,0))</f>
        <v/>
      </c>
      <c r="T304" s="29" t="str">
        <f aca="false">IF(OR(B304="",C304="",E304=""),"",IF(COUNTIFS($B$5:B304,B304,$C$5:C304,C304,$E$5:E304,E304)=1,1,0))</f>
        <v/>
      </c>
      <c r="U304" s="28" t="str">
        <f aca="false">IF(COUNTA(B304:C304,E304:F304,H304:P304)=0,"",IF(OR(B304="",C304="",E304=""),"Check: date, player, and context required",IF(AND(ISNUMBER(J304),ISNUMBER(I304),J304&gt;I304),"Check: solid contacts &gt; swings",IF(AND(ISNUMBER(L304),ISNUMBER(K304),L304&gt;K304),"Check: correct &gt; assessed decisions",IF(AND(ISNUMBER(N304),ISNUMBER(M304),N304&gt;M304),"Check: intended &gt; assessed landings",IF(AND(ISNUMBER(J304),I304=""),"Check: solid contacts without swings","OK"))))))</f>
        <v/>
      </c>
    </row>
    <row r="305" customFormat="false" ht="15" hidden="false" customHeight="false" outlineLevel="0" collapsed="false">
      <c r="B305" s="26"/>
      <c r="C305" s="27"/>
      <c r="D305" s="28" t="str">
        <f aca="false">IF(C305="","",IFERROR(INDEX(Players!$C$5:$C$104,MATCH(C305,Players!$B$5:$B$104,0)),"ID not found"))</f>
        <v/>
      </c>
      <c r="E305" s="27"/>
      <c r="F305" s="27"/>
      <c r="G305" s="28" t="str">
        <f aca="false">IF(F305="","",IFERROR(INDEX('Hitting Drills'!$D$6:$D$45,MATCH(F305,'Hitting Drills'!$B$6:$B$45,0)),"Not a hitting drill ID"))</f>
        <v/>
      </c>
      <c r="H305" s="27"/>
      <c r="I305" s="27"/>
      <c r="J305" s="27"/>
      <c r="K305" s="27"/>
      <c r="L305" s="27"/>
      <c r="M305" s="27"/>
      <c r="N305" s="27"/>
      <c r="O305" s="27"/>
      <c r="P305" s="27"/>
      <c r="Q305" s="27"/>
      <c r="R305" s="27"/>
      <c r="S305" s="29" t="str">
        <f aca="false">IF(OR(B305="",C305=""),"",IF(COUNTIFS($B$5:B305,B305,$C$5:C305,C305)=1,1,0))</f>
        <v/>
      </c>
      <c r="T305" s="29" t="str">
        <f aca="false">IF(OR(B305="",C305="",E305=""),"",IF(COUNTIFS($B$5:B305,B305,$C$5:C305,C305,$E$5:E305,E305)=1,1,0))</f>
        <v/>
      </c>
      <c r="U305" s="28" t="str">
        <f aca="false">IF(COUNTA(B305:C305,E305:F305,H305:P305)=0,"",IF(OR(B305="",C305="",E305=""),"Check: date, player, and context required",IF(AND(ISNUMBER(J305),ISNUMBER(I305),J305&gt;I305),"Check: solid contacts &gt; swings",IF(AND(ISNUMBER(L305),ISNUMBER(K305),L305&gt;K305),"Check: correct &gt; assessed decisions",IF(AND(ISNUMBER(N305),ISNUMBER(M305),N305&gt;M305),"Check: intended &gt; assessed landings",IF(AND(ISNUMBER(J305),I305=""),"Check: solid contacts without swings","OK"))))))</f>
        <v/>
      </c>
    </row>
    <row r="306" customFormat="false" ht="15" hidden="false" customHeight="false" outlineLevel="0" collapsed="false">
      <c r="B306" s="26"/>
      <c r="C306" s="27"/>
      <c r="D306" s="28" t="str">
        <f aca="false">IF(C306="","",IFERROR(INDEX(Players!$C$5:$C$104,MATCH(C306,Players!$B$5:$B$104,0)),"ID not found"))</f>
        <v/>
      </c>
      <c r="E306" s="27"/>
      <c r="F306" s="27"/>
      <c r="G306" s="28" t="str">
        <f aca="false">IF(F306="","",IFERROR(INDEX('Hitting Drills'!$D$6:$D$45,MATCH(F306,'Hitting Drills'!$B$6:$B$45,0)),"Not a hitting drill ID"))</f>
        <v/>
      </c>
      <c r="H306" s="27"/>
      <c r="I306" s="27"/>
      <c r="J306" s="27"/>
      <c r="K306" s="27"/>
      <c r="L306" s="27"/>
      <c r="M306" s="27"/>
      <c r="N306" s="27"/>
      <c r="O306" s="27"/>
      <c r="P306" s="27"/>
      <c r="Q306" s="27"/>
      <c r="R306" s="27"/>
      <c r="S306" s="29" t="str">
        <f aca="false">IF(OR(B306="",C306=""),"",IF(COUNTIFS($B$5:B306,B306,$C$5:C306,C306)=1,1,0))</f>
        <v/>
      </c>
      <c r="T306" s="29" t="str">
        <f aca="false">IF(OR(B306="",C306="",E306=""),"",IF(COUNTIFS($B$5:B306,B306,$C$5:C306,C306,$E$5:E306,E306)=1,1,0))</f>
        <v/>
      </c>
      <c r="U306" s="28" t="str">
        <f aca="false">IF(COUNTA(B306:C306,E306:F306,H306:P306)=0,"",IF(OR(B306="",C306="",E306=""),"Check: date, player, and context required",IF(AND(ISNUMBER(J306),ISNUMBER(I306),J306&gt;I306),"Check: solid contacts &gt; swings",IF(AND(ISNUMBER(L306),ISNUMBER(K306),L306&gt;K306),"Check: correct &gt; assessed decisions",IF(AND(ISNUMBER(N306),ISNUMBER(M306),N306&gt;M306),"Check: intended &gt; assessed landings",IF(AND(ISNUMBER(J306),I306=""),"Check: solid contacts without swings","OK"))))))</f>
        <v/>
      </c>
    </row>
    <row r="307" customFormat="false" ht="15" hidden="false" customHeight="false" outlineLevel="0" collapsed="false">
      <c r="B307" s="26"/>
      <c r="C307" s="27"/>
      <c r="D307" s="28" t="str">
        <f aca="false">IF(C307="","",IFERROR(INDEX(Players!$C$5:$C$104,MATCH(C307,Players!$B$5:$B$104,0)),"ID not found"))</f>
        <v/>
      </c>
      <c r="E307" s="27"/>
      <c r="F307" s="27"/>
      <c r="G307" s="28" t="str">
        <f aca="false">IF(F307="","",IFERROR(INDEX('Hitting Drills'!$D$6:$D$45,MATCH(F307,'Hitting Drills'!$B$6:$B$45,0)),"Not a hitting drill ID"))</f>
        <v/>
      </c>
      <c r="H307" s="27"/>
      <c r="I307" s="27"/>
      <c r="J307" s="27"/>
      <c r="K307" s="27"/>
      <c r="L307" s="27"/>
      <c r="M307" s="27"/>
      <c r="N307" s="27"/>
      <c r="O307" s="27"/>
      <c r="P307" s="27"/>
      <c r="Q307" s="27"/>
      <c r="R307" s="27"/>
      <c r="S307" s="29" t="str">
        <f aca="false">IF(OR(B307="",C307=""),"",IF(COUNTIFS($B$5:B307,B307,$C$5:C307,C307)=1,1,0))</f>
        <v/>
      </c>
      <c r="T307" s="29" t="str">
        <f aca="false">IF(OR(B307="",C307="",E307=""),"",IF(COUNTIFS($B$5:B307,B307,$C$5:C307,C307,$E$5:E307,E307)=1,1,0))</f>
        <v/>
      </c>
      <c r="U307" s="28" t="str">
        <f aca="false">IF(COUNTA(B307:C307,E307:F307,H307:P307)=0,"",IF(OR(B307="",C307="",E307=""),"Check: date, player, and context required",IF(AND(ISNUMBER(J307),ISNUMBER(I307),J307&gt;I307),"Check: solid contacts &gt; swings",IF(AND(ISNUMBER(L307),ISNUMBER(K307),L307&gt;K307),"Check: correct &gt; assessed decisions",IF(AND(ISNUMBER(N307),ISNUMBER(M307),N307&gt;M307),"Check: intended &gt; assessed landings",IF(AND(ISNUMBER(J307),I307=""),"Check: solid contacts without swings","OK"))))))</f>
        <v/>
      </c>
    </row>
    <row r="308" customFormat="false" ht="15" hidden="false" customHeight="false" outlineLevel="0" collapsed="false">
      <c r="B308" s="26"/>
      <c r="C308" s="27"/>
      <c r="D308" s="28" t="str">
        <f aca="false">IF(C308="","",IFERROR(INDEX(Players!$C$5:$C$104,MATCH(C308,Players!$B$5:$B$104,0)),"ID not found"))</f>
        <v/>
      </c>
      <c r="E308" s="27"/>
      <c r="F308" s="27"/>
      <c r="G308" s="28" t="str">
        <f aca="false">IF(F308="","",IFERROR(INDEX('Hitting Drills'!$D$6:$D$45,MATCH(F308,'Hitting Drills'!$B$6:$B$45,0)),"Not a hitting drill ID"))</f>
        <v/>
      </c>
      <c r="H308" s="27"/>
      <c r="I308" s="27"/>
      <c r="J308" s="27"/>
      <c r="K308" s="27"/>
      <c r="L308" s="27"/>
      <c r="M308" s="27"/>
      <c r="N308" s="27"/>
      <c r="O308" s="27"/>
      <c r="P308" s="27"/>
      <c r="Q308" s="27"/>
      <c r="R308" s="27"/>
      <c r="S308" s="29" t="str">
        <f aca="false">IF(OR(B308="",C308=""),"",IF(COUNTIFS($B$5:B308,B308,$C$5:C308,C308)=1,1,0))</f>
        <v/>
      </c>
      <c r="T308" s="29" t="str">
        <f aca="false">IF(OR(B308="",C308="",E308=""),"",IF(COUNTIFS($B$5:B308,B308,$C$5:C308,C308,$E$5:E308,E308)=1,1,0))</f>
        <v/>
      </c>
      <c r="U308" s="28" t="str">
        <f aca="false">IF(COUNTA(B308:C308,E308:F308,H308:P308)=0,"",IF(OR(B308="",C308="",E308=""),"Check: date, player, and context required",IF(AND(ISNUMBER(J308),ISNUMBER(I308),J308&gt;I308),"Check: solid contacts &gt; swings",IF(AND(ISNUMBER(L308),ISNUMBER(K308),L308&gt;K308),"Check: correct &gt; assessed decisions",IF(AND(ISNUMBER(N308),ISNUMBER(M308),N308&gt;M308),"Check: intended &gt; assessed landings",IF(AND(ISNUMBER(J308),I308=""),"Check: solid contacts without swings","OK"))))))</f>
        <v/>
      </c>
    </row>
    <row r="309" customFormat="false" ht="15" hidden="false" customHeight="false" outlineLevel="0" collapsed="false">
      <c r="B309" s="26"/>
      <c r="C309" s="27"/>
      <c r="D309" s="28" t="str">
        <f aca="false">IF(C309="","",IFERROR(INDEX(Players!$C$5:$C$104,MATCH(C309,Players!$B$5:$B$104,0)),"ID not found"))</f>
        <v/>
      </c>
      <c r="E309" s="27"/>
      <c r="F309" s="27"/>
      <c r="G309" s="28" t="str">
        <f aca="false">IF(F309="","",IFERROR(INDEX('Hitting Drills'!$D$6:$D$45,MATCH(F309,'Hitting Drills'!$B$6:$B$45,0)),"Not a hitting drill ID"))</f>
        <v/>
      </c>
      <c r="H309" s="27"/>
      <c r="I309" s="27"/>
      <c r="J309" s="27"/>
      <c r="K309" s="27"/>
      <c r="L309" s="27"/>
      <c r="M309" s="27"/>
      <c r="N309" s="27"/>
      <c r="O309" s="27"/>
      <c r="P309" s="27"/>
      <c r="Q309" s="27"/>
      <c r="R309" s="27"/>
      <c r="S309" s="29" t="str">
        <f aca="false">IF(OR(B309="",C309=""),"",IF(COUNTIFS($B$5:B309,B309,$C$5:C309,C309)=1,1,0))</f>
        <v/>
      </c>
      <c r="T309" s="29" t="str">
        <f aca="false">IF(OR(B309="",C309="",E309=""),"",IF(COUNTIFS($B$5:B309,B309,$C$5:C309,C309,$E$5:E309,E309)=1,1,0))</f>
        <v/>
      </c>
      <c r="U309" s="28" t="str">
        <f aca="false">IF(COUNTA(B309:C309,E309:F309,H309:P309)=0,"",IF(OR(B309="",C309="",E309=""),"Check: date, player, and context required",IF(AND(ISNUMBER(J309),ISNUMBER(I309),J309&gt;I309),"Check: solid contacts &gt; swings",IF(AND(ISNUMBER(L309),ISNUMBER(K309),L309&gt;K309),"Check: correct &gt; assessed decisions",IF(AND(ISNUMBER(N309),ISNUMBER(M309),N309&gt;M309),"Check: intended &gt; assessed landings",IF(AND(ISNUMBER(J309),I309=""),"Check: solid contacts without swings","OK"))))))</f>
        <v/>
      </c>
    </row>
    <row r="310" customFormat="false" ht="15" hidden="false" customHeight="false" outlineLevel="0" collapsed="false">
      <c r="B310" s="26"/>
      <c r="C310" s="27"/>
      <c r="D310" s="28" t="str">
        <f aca="false">IF(C310="","",IFERROR(INDEX(Players!$C$5:$C$104,MATCH(C310,Players!$B$5:$B$104,0)),"ID not found"))</f>
        <v/>
      </c>
      <c r="E310" s="27"/>
      <c r="F310" s="27"/>
      <c r="G310" s="28" t="str">
        <f aca="false">IF(F310="","",IFERROR(INDEX('Hitting Drills'!$D$6:$D$45,MATCH(F310,'Hitting Drills'!$B$6:$B$45,0)),"Not a hitting drill ID"))</f>
        <v/>
      </c>
      <c r="H310" s="27"/>
      <c r="I310" s="27"/>
      <c r="J310" s="27"/>
      <c r="K310" s="27"/>
      <c r="L310" s="27"/>
      <c r="M310" s="27"/>
      <c r="N310" s="27"/>
      <c r="O310" s="27"/>
      <c r="P310" s="27"/>
      <c r="Q310" s="27"/>
      <c r="R310" s="27"/>
      <c r="S310" s="29" t="str">
        <f aca="false">IF(OR(B310="",C310=""),"",IF(COUNTIFS($B$5:B310,B310,$C$5:C310,C310)=1,1,0))</f>
        <v/>
      </c>
      <c r="T310" s="29" t="str">
        <f aca="false">IF(OR(B310="",C310="",E310=""),"",IF(COUNTIFS($B$5:B310,B310,$C$5:C310,C310,$E$5:E310,E310)=1,1,0))</f>
        <v/>
      </c>
      <c r="U310" s="28" t="str">
        <f aca="false">IF(COUNTA(B310:C310,E310:F310,H310:P310)=0,"",IF(OR(B310="",C310="",E310=""),"Check: date, player, and context required",IF(AND(ISNUMBER(J310),ISNUMBER(I310),J310&gt;I310),"Check: solid contacts &gt; swings",IF(AND(ISNUMBER(L310),ISNUMBER(K310),L310&gt;K310),"Check: correct &gt; assessed decisions",IF(AND(ISNUMBER(N310),ISNUMBER(M310),N310&gt;M310),"Check: intended &gt; assessed landings",IF(AND(ISNUMBER(J310),I310=""),"Check: solid contacts without swings","OK"))))))</f>
        <v/>
      </c>
    </row>
    <row r="311" customFormat="false" ht="15" hidden="false" customHeight="false" outlineLevel="0" collapsed="false">
      <c r="B311" s="26"/>
      <c r="C311" s="27"/>
      <c r="D311" s="28" t="str">
        <f aca="false">IF(C311="","",IFERROR(INDEX(Players!$C$5:$C$104,MATCH(C311,Players!$B$5:$B$104,0)),"ID not found"))</f>
        <v/>
      </c>
      <c r="E311" s="27"/>
      <c r="F311" s="27"/>
      <c r="G311" s="28" t="str">
        <f aca="false">IF(F311="","",IFERROR(INDEX('Hitting Drills'!$D$6:$D$45,MATCH(F311,'Hitting Drills'!$B$6:$B$45,0)),"Not a hitting drill ID"))</f>
        <v/>
      </c>
      <c r="H311" s="27"/>
      <c r="I311" s="27"/>
      <c r="J311" s="27"/>
      <c r="K311" s="27"/>
      <c r="L311" s="27"/>
      <c r="M311" s="27"/>
      <c r="N311" s="27"/>
      <c r="O311" s="27"/>
      <c r="P311" s="27"/>
      <c r="Q311" s="27"/>
      <c r="R311" s="27"/>
      <c r="S311" s="29" t="str">
        <f aca="false">IF(OR(B311="",C311=""),"",IF(COUNTIFS($B$5:B311,B311,$C$5:C311,C311)=1,1,0))</f>
        <v/>
      </c>
      <c r="T311" s="29" t="str">
        <f aca="false">IF(OR(B311="",C311="",E311=""),"",IF(COUNTIFS($B$5:B311,B311,$C$5:C311,C311,$E$5:E311,E311)=1,1,0))</f>
        <v/>
      </c>
      <c r="U311" s="28" t="str">
        <f aca="false">IF(COUNTA(B311:C311,E311:F311,H311:P311)=0,"",IF(OR(B311="",C311="",E311=""),"Check: date, player, and context required",IF(AND(ISNUMBER(J311),ISNUMBER(I311),J311&gt;I311),"Check: solid contacts &gt; swings",IF(AND(ISNUMBER(L311),ISNUMBER(K311),L311&gt;K311),"Check: correct &gt; assessed decisions",IF(AND(ISNUMBER(N311),ISNUMBER(M311),N311&gt;M311),"Check: intended &gt; assessed landings",IF(AND(ISNUMBER(J311),I311=""),"Check: solid contacts without swings","OK"))))))</f>
        <v/>
      </c>
    </row>
    <row r="312" customFormat="false" ht="15" hidden="false" customHeight="false" outlineLevel="0" collapsed="false">
      <c r="B312" s="26"/>
      <c r="C312" s="27"/>
      <c r="D312" s="28" t="str">
        <f aca="false">IF(C312="","",IFERROR(INDEX(Players!$C$5:$C$104,MATCH(C312,Players!$B$5:$B$104,0)),"ID not found"))</f>
        <v/>
      </c>
      <c r="E312" s="27"/>
      <c r="F312" s="27"/>
      <c r="G312" s="28" t="str">
        <f aca="false">IF(F312="","",IFERROR(INDEX('Hitting Drills'!$D$6:$D$45,MATCH(F312,'Hitting Drills'!$B$6:$B$45,0)),"Not a hitting drill ID"))</f>
        <v/>
      </c>
      <c r="H312" s="27"/>
      <c r="I312" s="27"/>
      <c r="J312" s="27"/>
      <c r="K312" s="27"/>
      <c r="L312" s="27"/>
      <c r="M312" s="27"/>
      <c r="N312" s="27"/>
      <c r="O312" s="27"/>
      <c r="P312" s="27"/>
      <c r="Q312" s="27"/>
      <c r="R312" s="27"/>
      <c r="S312" s="29" t="str">
        <f aca="false">IF(OR(B312="",C312=""),"",IF(COUNTIFS($B$5:B312,B312,$C$5:C312,C312)=1,1,0))</f>
        <v/>
      </c>
      <c r="T312" s="29" t="str">
        <f aca="false">IF(OR(B312="",C312="",E312=""),"",IF(COUNTIFS($B$5:B312,B312,$C$5:C312,C312,$E$5:E312,E312)=1,1,0))</f>
        <v/>
      </c>
      <c r="U312" s="28" t="str">
        <f aca="false">IF(COUNTA(B312:C312,E312:F312,H312:P312)=0,"",IF(OR(B312="",C312="",E312=""),"Check: date, player, and context required",IF(AND(ISNUMBER(J312),ISNUMBER(I312),J312&gt;I312),"Check: solid contacts &gt; swings",IF(AND(ISNUMBER(L312),ISNUMBER(K312),L312&gt;K312),"Check: correct &gt; assessed decisions",IF(AND(ISNUMBER(N312),ISNUMBER(M312),N312&gt;M312),"Check: intended &gt; assessed landings",IF(AND(ISNUMBER(J312),I312=""),"Check: solid contacts without swings","OK"))))))</f>
        <v/>
      </c>
    </row>
    <row r="313" customFormat="false" ht="15" hidden="false" customHeight="false" outlineLevel="0" collapsed="false">
      <c r="B313" s="26"/>
      <c r="C313" s="27"/>
      <c r="D313" s="28" t="str">
        <f aca="false">IF(C313="","",IFERROR(INDEX(Players!$C$5:$C$104,MATCH(C313,Players!$B$5:$B$104,0)),"ID not found"))</f>
        <v/>
      </c>
      <c r="E313" s="27"/>
      <c r="F313" s="27"/>
      <c r="G313" s="28" t="str">
        <f aca="false">IF(F313="","",IFERROR(INDEX('Hitting Drills'!$D$6:$D$45,MATCH(F313,'Hitting Drills'!$B$6:$B$45,0)),"Not a hitting drill ID"))</f>
        <v/>
      </c>
      <c r="H313" s="27"/>
      <c r="I313" s="27"/>
      <c r="J313" s="27"/>
      <c r="K313" s="27"/>
      <c r="L313" s="27"/>
      <c r="M313" s="27"/>
      <c r="N313" s="27"/>
      <c r="O313" s="27"/>
      <c r="P313" s="27"/>
      <c r="Q313" s="27"/>
      <c r="R313" s="27"/>
      <c r="S313" s="29" t="str">
        <f aca="false">IF(OR(B313="",C313=""),"",IF(COUNTIFS($B$5:B313,B313,$C$5:C313,C313)=1,1,0))</f>
        <v/>
      </c>
      <c r="T313" s="29" t="str">
        <f aca="false">IF(OR(B313="",C313="",E313=""),"",IF(COUNTIFS($B$5:B313,B313,$C$5:C313,C313,$E$5:E313,E313)=1,1,0))</f>
        <v/>
      </c>
      <c r="U313" s="28" t="str">
        <f aca="false">IF(COUNTA(B313:C313,E313:F313,H313:P313)=0,"",IF(OR(B313="",C313="",E313=""),"Check: date, player, and context required",IF(AND(ISNUMBER(J313),ISNUMBER(I313),J313&gt;I313),"Check: solid contacts &gt; swings",IF(AND(ISNUMBER(L313),ISNUMBER(K313),L313&gt;K313),"Check: correct &gt; assessed decisions",IF(AND(ISNUMBER(N313),ISNUMBER(M313),N313&gt;M313),"Check: intended &gt; assessed landings",IF(AND(ISNUMBER(J313),I313=""),"Check: solid contacts without swings","OK"))))))</f>
        <v/>
      </c>
    </row>
    <row r="314" customFormat="false" ht="15" hidden="false" customHeight="false" outlineLevel="0" collapsed="false">
      <c r="B314" s="26"/>
      <c r="C314" s="27"/>
      <c r="D314" s="28" t="str">
        <f aca="false">IF(C314="","",IFERROR(INDEX(Players!$C$5:$C$104,MATCH(C314,Players!$B$5:$B$104,0)),"ID not found"))</f>
        <v/>
      </c>
      <c r="E314" s="27"/>
      <c r="F314" s="27"/>
      <c r="G314" s="28" t="str">
        <f aca="false">IF(F314="","",IFERROR(INDEX('Hitting Drills'!$D$6:$D$45,MATCH(F314,'Hitting Drills'!$B$6:$B$45,0)),"Not a hitting drill ID"))</f>
        <v/>
      </c>
      <c r="H314" s="27"/>
      <c r="I314" s="27"/>
      <c r="J314" s="27"/>
      <c r="K314" s="27"/>
      <c r="L314" s="27"/>
      <c r="M314" s="27"/>
      <c r="N314" s="27"/>
      <c r="O314" s="27"/>
      <c r="P314" s="27"/>
      <c r="Q314" s="27"/>
      <c r="R314" s="27"/>
      <c r="S314" s="29" t="str">
        <f aca="false">IF(OR(B314="",C314=""),"",IF(COUNTIFS($B$5:B314,B314,$C$5:C314,C314)=1,1,0))</f>
        <v/>
      </c>
      <c r="T314" s="29" t="str">
        <f aca="false">IF(OR(B314="",C314="",E314=""),"",IF(COUNTIFS($B$5:B314,B314,$C$5:C314,C314,$E$5:E314,E314)=1,1,0))</f>
        <v/>
      </c>
      <c r="U314" s="28" t="str">
        <f aca="false">IF(COUNTA(B314:C314,E314:F314,H314:P314)=0,"",IF(OR(B314="",C314="",E314=""),"Check: date, player, and context required",IF(AND(ISNUMBER(J314),ISNUMBER(I314),J314&gt;I314),"Check: solid contacts &gt; swings",IF(AND(ISNUMBER(L314),ISNUMBER(K314),L314&gt;K314),"Check: correct &gt; assessed decisions",IF(AND(ISNUMBER(N314),ISNUMBER(M314),N314&gt;M314),"Check: intended &gt; assessed landings",IF(AND(ISNUMBER(J314),I314=""),"Check: solid contacts without swings","OK"))))))</f>
        <v/>
      </c>
    </row>
    <row r="315" customFormat="false" ht="15" hidden="false" customHeight="false" outlineLevel="0" collapsed="false">
      <c r="B315" s="26"/>
      <c r="C315" s="27"/>
      <c r="D315" s="28" t="str">
        <f aca="false">IF(C315="","",IFERROR(INDEX(Players!$C$5:$C$104,MATCH(C315,Players!$B$5:$B$104,0)),"ID not found"))</f>
        <v/>
      </c>
      <c r="E315" s="27"/>
      <c r="F315" s="27"/>
      <c r="G315" s="28" t="str">
        <f aca="false">IF(F315="","",IFERROR(INDEX('Hitting Drills'!$D$6:$D$45,MATCH(F315,'Hitting Drills'!$B$6:$B$45,0)),"Not a hitting drill ID"))</f>
        <v/>
      </c>
      <c r="H315" s="27"/>
      <c r="I315" s="27"/>
      <c r="J315" s="27"/>
      <c r="K315" s="27"/>
      <c r="L315" s="27"/>
      <c r="M315" s="27"/>
      <c r="N315" s="27"/>
      <c r="O315" s="27"/>
      <c r="P315" s="27"/>
      <c r="Q315" s="27"/>
      <c r="R315" s="27"/>
      <c r="S315" s="29" t="str">
        <f aca="false">IF(OR(B315="",C315=""),"",IF(COUNTIFS($B$5:B315,B315,$C$5:C315,C315)=1,1,0))</f>
        <v/>
      </c>
      <c r="T315" s="29" t="str">
        <f aca="false">IF(OR(B315="",C315="",E315=""),"",IF(COUNTIFS($B$5:B315,B315,$C$5:C315,C315,$E$5:E315,E315)=1,1,0))</f>
        <v/>
      </c>
      <c r="U315" s="28" t="str">
        <f aca="false">IF(COUNTA(B315:C315,E315:F315,H315:P315)=0,"",IF(OR(B315="",C315="",E315=""),"Check: date, player, and context required",IF(AND(ISNUMBER(J315),ISNUMBER(I315),J315&gt;I315),"Check: solid contacts &gt; swings",IF(AND(ISNUMBER(L315),ISNUMBER(K315),L315&gt;K315),"Check: correct &gt; assessed decisions",IF(AND(ISNUMBER(N315),ISNUMBER(M315),N315&gt;M315),"Check: intended &gt; assessed landings",IF(AND(ISNUMBER(J315),I315=""),"Check: solid contacts without swings","OK"))))))</f>
        <v/>
      </c>
    </row>
    <row r="316" customFormat="false" ht="15" hidden="false" customHeight="false" outlineLevel="0" collapsed="false">
      <c r="B316" s="26"/>
      <c r="C316" s="27"/>
      <c r="D316" s="28" t="str">
        <f aca="false">IF(C316="","",IFERROR(INDEX(Players!$C$5:$C$104,MATCH(C316,Players!$B$5:$B$104,0)),"ID not found"))</f>
        <v/>
      </c>
      <c r="E316" s="27"/>
      <c r="F316" s="27"/>
      <c r="G316" s="28" t="str">
        <f aca="false">IF(F316="","",IFERROR(INDEX('Hitting Drills'!$D$6:$D$45,MATCH(F316,'Hitting Drills'!$B$6:$B$45,0)),"Not a hitting drill ID"))</f>
        <v/>
      </c>
      <c r="H316" s="27"/>
      <c r="I316" s="27"/>
      <c r="J316" s="27"/>
      <c r="K316" s="27"/>
      <c r="L316" s="27"/>
      <c r="M316" s="27"/>
      <c r="N316" s="27"/>
      <c r="O316" s="27"/>
      <c r="P316" s="27"/>
      <c r="Q316" s="27"/>
      <c r="R316" s="27"/>
      <c r="S316" s="29" t="str">
        <f aca="false">IF(OR(B316="",C316=""),"",IF(COUNTIFS($B$5:B316,B316,$C$5:C316,C316)=1,1,0))</f>
        <v/>
      </c>
      <c r="T316" s="29" t="str">
        <f aca="false">IF(OR(B316="",C316="",E316=""),"",IF(COUNTIFS($B$5:B316,B316,$C$5:C316,C316,$E$5:E316,E316)=1,1,0))</f>
        <v/>
      </c>
      <c r="U316" s="28" t="str">
        <f aca="false">IF(COUNTA(B316:C316,E316:F316,H316:P316)=0,"",IF(OR(B316="",C316="",E316=""),"Check: date, player, and context required",IF(AND(ISNUMBER(J316),ISNUMBER(I316),J316&gt;I316),"Check: solid contacts &gt; swings",IF(AND(ISNUMBER(L316),ISNUMBER(K316),L316&gt;K316),"Check: correct &gt; assessed decisions",IF(AND(ISNUMBER(N316),ISNUMBER(M316),N316&gt;M316),"Check: intended &gt; assessed landings",IF(AND(ISNUMBER(J316),I316=""),"Check: solid contacts without swings","OK"))))))</f>
        <v/>
      </c>
    </row>
    <row r="317" customFormat="false" ht="15" hidden="false" customHeight="false" outlineLevel="0" collapsed="false">
      <c r="B317" s="26"/>
      <c r="C317" s="27"/>
      <c r="D317" s="28" t="str">
        <f aca="false">IF(C317="","",IFERROR(INDEX(Players!$C$5:$C$104,MATCH(C317,Players!$B$5:$B$104,0)),"ID not found"))</f>
        <v/>
      </c>
      <c r="E317" s="27"/>
      <c r="F317" s="27"/>
      <c r="G317" s="28" t="str">
        <f aca="false">IF(F317="","",IFERROR(INDEX('Hitting Drills'!$D$6:$D$45,MATCH(F317,'Hitting Drills'!$B$6:$B$45,0)),"Not a hitting drill ID"))</f>
        <v/>
      </c>
      <c r="H317" s="27"/>
      <c r="I317" s="27"/>
      <c r="J317" s="27"/>
      <c r="K317" s="27"/>
      <c r="L317" s="27"/>
      <c r="M317" s="27"/>
      <c r="N317" s="27"/>
      <c r="O317" s="27"/>
      <c r="P317" s="27"/>
      <c r="Q317" s="27"/>
      <c r="R317" s="27"/>
      <c r="S317" s="29" t="str">
        <f aca="false">IF(OR(B317="",C317=""),"",IF(COUNTIFS($B$5:B317,B317,$C$5:C317,C317)=1,1,0))</f>
        <v/>
      </c>
      <c r="T317" s="29" t="str">
        <f aca="false">IF(OR(B317="",C317="",E317=""),"",IF(COUNTIFS($B$5:B317,B317,$C$5:C317,C317,$E$5:E317,E317)=1,1,0))</f>
        <v/>
      </c>
      <c r="U317" s="28" t="str">
        <f aca="false">IF(COUNTA(B317:C317,E317:F317,H317:P317)=0,"",IF(OR(B317="",C317="",E317=""),"Check: date, player, and context required",IF(AND(ISNUMBER(J317),ISNUMBER(I317),J317&gt;I317),"Check: solid contacts &gt; swings",IF(AND(ISNUMBER(L317),ISNUMBER(K317),L317&gt;K317),"Check: correct &gt; assessed decisions",IF(AND(ISNUMBER(N317),ISNUMBER(M317),N317&gt;M317),"Check: intended &gt; assessed landings",IF(AND(ISNUMBER(J317),I317=""),"Check: solid contacts without swings","OK"))))))</f>
        <v/>
      </c>
    </row>
    <row r="318" customFormat="false" ht="15" hidden="false" customHeight="false" outlineLevel="0" collapsed="false">
      <c r="B318" s="26"/>
      <c r="C318" s="27"/>
      <c r="D318" s="28" t="str">
        <f aca="false">IF(C318="","",IFERROR(INDEX(Players!$C$5:$C$104,MATCH(C318,Players!$B$5:$B$104,0)),"ID not found"))</f>
        <v/>
      </c>
      <c r="E318" s="27"/>
      <c r="F318" s="27"/>
      <c r="G318" s="28" t="str">
        <f aca="false">IF(F318="","",IFERROR(INDEX('Hitting Drills'!$D$6:$D$45,MATCH(F318,'Hitting Drills'!$B$6:$B$45,0)),"Not a hitting drill ID"))</f>
        <v/>
      </c>
      <c r="H318" s="27"/>
      <c r="I318" s="27"/>
      <c r="J318" s="27"/>
      <c r="K318" s="27"/>
      <c r="L318" s="27"/>
      <c r="M318" s="27"/>
      <c r="N318" s="27"/>
      <c r="O318" s="27"/>
      <c r="P318" s="27"/>
      <c r="Q318" s="27"/>
      <c r="R318" s="27"/>
      <c r="S318" s="29" t="str">
        <f aca="false">IF(OR(B318="",C318=""),"",IF(COUNTIFS($B$5:B318,B318,$C$5:C318,C318)=1,1,0))</f>
        <v/>
      </c>
      <c r="T318" s="29" t="str">
        <f aca="false">IF(OR(B318="",C318="",E318=""),"",IF(COUNTIFS($B$5:B318,B318,$C$5:C318,C318,$E$5:E318,E318)=1,1,0))</f>
        <v/>
      </c>
      <c r="U318" s="28" t="str">
        <f aca="false">IF(COUNTA(B318:C318,E318:F318,H318:P318)=0,"",IF(OR(B318="",C318="",E318=""),"Check: date, player, and context required",IF(AND(ISNUMBER(J318),ISNUMBER(I318),J318&gt;I318),"Check: solid contacts &gt; swings",IF(AND(ISNUMBER(L318),ISNUMBER(K318),L318&gt;K318),"Check: correct &gt; assessed decisions",IF(AND(ISNUMBER(N318),ISNUMBER(M318),N318&gt;M318),"Check: intended &gt; assessed landings",IF(AND(ISNUMBER(J318),I318=""),"Check: solid contacts without swings","OK"))))))</f>
        <v/>
      </c>
    </row>
    <row r="319" customFormat="false" ht="15" hidden="false" customHeight="false" outlineLevel="0" collapsed="false">
      <c r="B319" s="26"/>
      <c r="C319" s="27"/>
      <c r="D319" s="28" t="str">
        <f aca="false">IF(C319="","",IFERROR(INDEX(Players!$C$5:$C$104,MATCH(C319,Players!$B$5:$B$104,0)),"ID not found"))</f>
        <v/>
      </c>
      <c r="E319" s="27"/>
      <c r="F319" s="27"/>
      <c r="G319" s="28" t="str">
        <f aca="false">IF(F319="","",IFERROR(INDEX('Hitting Drills'!$D$6:$D$45,MATCH(F319,'Hitting Drills'!$B$6:$B$45,0)),"Not a hitting drill ID"))</f>
        <v/>
      </c>
      <c r="H319" s="27"/>
      <c r="I319" s="27"/>
      <c r="J319" s="27"/>
      <c r="K319" s="27"/>
      <c r="L319" s="27"/>
      <c r="M319" s="27"/>
      <c r="N319" s="27"/>
      <c r="O319" s="27"/>
      <c r="P319" s="27"/>
      <c r="Q319" s="27"/>
      <c r="R319" s="27"/>
      <c r="S319" s="29" t="str">
        <f aca="false">IF(OR(B319="",C319=""),"",IF(COUNTIFS($B$5:B319,B319,$C$5:C319,C319)=1,1,0))</f>
        <v/>
      </c>
      <c r="T319" s="29" t="str">
        <f aca="false">IF(OR(B319="",C319="",E319=""),"",IF(COUNTIFS($B$5:B319,B319,$C$5:C319,C319,$E$5:E319,E319)=1,1,0))</f>
        <v/>
      </c>
      <c r="U319" s="28" t="str">
        <f aca="false">IF(COUNTA(B319:C319,E319:F319,H319:P319)=0,"",IF(OR(B319="",C319="",E319=""),"Check: date, player, and context required",IF(AND(ISNUMBER(J319),ISNUMBER(I319),J319&gt;I319),"Check: solid contacts &gt; swings",IF(AND(ISNUMBER(L319),ISNUMBER(K319),L319&gt;K319),"Check: correct &gt; assessed decisions",IF(AND(ISNUMBER(N319),ISNUMBER(M319),N319&gt;M319),"Check: intended &gt; assessed landings",IF(AND(ISNUMBER(J319),I319=""),"Check: solid contacts without swings","OK"))))))</f>
        <v/>
      </c>
    </row>
    <row r="320" customFormat="false" ht="15" hidden="false" customHeight="false" outlineLevel="0" collapsed="false">
      <c r="B320" s="26"/>
      <c r="C320" s="27"/>
      <c r="D320" s="28" t="str">
        <f aca="false">IF(C320="","",IFERROR(INDEX(Players!$C$5:$C$104,MATCH(C320,Players!$B$5:$B$104,0)),"ID not found"))</f>
        <v/>
      </c>
      <c r="E320" s="27"/>
      <c r="F320" s="27"/>
      <c r="G320" s="28" t="str">
        <f aca="false">IF(F320="","",IFERROR(INDEX('Hitting Drills'!$D$6:$D$45,MATCH(F320,'Hitting Drills'!$B$6:$B$45,0)),"Not a hitting drill ID"))</f>
        <v/>
      </c>
      <c r="H320" s="27"/>
      <c r="I320" s="27"/>
      <c r="J320" s="27"/>
      <c r="K320" s="27"/>
      <c r="L320" s="27"/>
      <c r="M320" s="27"/>
      <c r="N320" s="27"/>
      <c r="O320" s="27"/>
      <c r="P320" s="27"/>
      <c r="Q320" s="27"/>
      <c r="R320" s="27"/>
      <c r="S320" s="29" t="str">
        <f aca="false">IF(OR(B320="",C320=""),"",IF(COUNTIFS($B$5:B320,B320,$C$5:C320,C320)=1,1,0))</f>
        <v/>
      </c>
      <c r="T320" s="29" t="str">
        <f aca="false">IF(OR(B320="",C320="",E320=""),"",IF(COUNTIFS($B$5:B320,B320,$C$5:C320,C320,$E$5:E320,E320)=1,1,0))</f>
        <v/>
      </c>
      <c r="U320" s="28" t="str">
        <f aca="false">IF(COUNTA(B320:C320,E320:F320,H320:P320)=0,"",IF(OR(B320="",C320="",E320=""),"Check: date, player, and context required",IF(AND(ISNUMBER(J320),ISNUMBER(I320),J320&gt;I320),"Check: solid contacts &gt; swings",IF(AND(ISNUMBER(L320),ISNUMBER(K320),L320&gt;K320),"Check: correct &gt; assessed decisions",IF(AND(ISNUMBER(N320),ISNUMBER(M320),N320&gt;M320),"Check: intended &gt; assessed landings",IF(AND(ISNUMBER(J320),I320=""),"Check: solid contacts without swings","OK"))))))</f>
        <v/>
      </c>
    </row>
    <row r="321" customFormat="false" ht="15" hidden="false" customHeight="false" outlineLevel="0" collapsed="false">
      <c r="B321" s="26"/>
      <c r="C321" s="27"/>
      <c r="D321" s="28" t="str">
        <f aca="false">IF(C321="","",IFERROR(INDEX(Players!$C$5:$C$104,MATCH(C321,Players!$B$5:$B$104,0)),"ID not found"))</f>
        <v/>
      </c>
      <c r="E321" s="27"/>
      <c r="F321" s="27"/>
      <c r="G321" s="28" t="str">
        <f aca="false">IF(F321="","",IFERROR(INDEX('Hitting Drills'!$D$6:$D$45,MATCH(F321,'Hitting Drills'!$B$6:$B$45,0)),"Not a hitting drill ID"))</f>
        <v/>
      </c>
      <c r="H321" s="27"/>
      <c r="I321" s="27"/>
      <c r="J321" s="27"/>
      <c r="K321" s="27"/>
      <c r="L321" s="27"/>
      <c r="M321" s="27"/>
      <c r="N321" s="27"/>
      <c r="O321" s="27"/>
      <c r="P321" s="27"/>
      <c r="Q321" s="27"/>
      <c r="R321" s="27"/>
      <c r="S321" s="29" t="str">
        <f aca="false">IF(OR(B321="",C321=""),"",IF(COUNTIFS($B$5:B321,B321,$C$5:C321,C321)=1,1,0))</f>
        <v/>
      </c>
      <c r="T321" s="29" t="str">
        <f aca="false">IF(OR(B321="",C321="",E321=""),"",IF(COUNTIFS($B$5:B321,B321,$C$5:C321,C321,$E$5:E321,E321)=1,1,0))</f>
        <v/>
      </c>
      <c r="U321" s="28" t="str">
        <f aca="false">IF(COUNTA(B321:C321,E321:F321,H321:P321)=0,"",IF(OR(B321="",C321="",E321=""),"Check: date, player, and context required",IF(AND(ISNUMBER(J321),ISNUMBER(I321),J321&gt;I321),"Check: solid contacts &gt; swings",IF(AND(ISNUMBER(L321),ISNUMBER(K321),L321&gt;K321),"Check: correct &gt; assessed decisions",IF(AND(ISNUMBER(N321),ISNUMBER(M321),N321&gt;M321),"Check: intended &gt; assessed landings",IF(AND(ISNUMBER(J321),I321=""),"Check: solid contacts without swings","OK"))))))</f>
        <v/>
      </c>
    </row>
    <row r="322" customFormat="false" ht="15" hidden="false" customHeight="false" outlineLevel="0" collapsed="false">
      <c r="B322" s="26"/>
      <c r="C322" s="27"/>
      <c r="D322" s="28" t="str">
        <f aca="false">IF(C322="","",IFERROR(INDEX(Players!$C$5:$C$104,MATCH(C322,Players!$B$5:$B$104,0)),"ID not found"))</f>
        <v/>
      </c>
      <c r="E322" s="27"/>
      <c r="F322" s="27"/>
      <c r="G322" s="28" t="str">
        <f aca="false">IF(F322="","",IFERROR(INDEX('Hitting Drills'!$D$6:$D$45,MATCH(F322,'Hitting Drills'!$B$6:$B$45,0)),"Not a hitting drill ID"))</f>
        <v/>
      </c>
      <c r="H322" s="27"/>
      <c r="I322" s="27"/>
      <c r="J322" s="27"/>
      <c r="K322" s="27"/>
      <c r="L322" s="27"/>
      <c r="M322" s="27"/>
      <c r="N322" s="27"/>
      <c r="O322" s="27"/>
      <c r="P322" s="27"/>
      <c r="Q322" s="27"/>
      <c r="R322" s="27"/>
      <c r="S322" s="29" t="str">
        <f aca="false">IF(OR(B322="",C322=""),"",IF(COUNTIFS($B$5:B322,B322,$C$5:C322,C322)=1,1,0))</f>
        <v/>
      </c>
      <c r="T322" s="29" t="str">
        <f aca="false">IF(OR(B322="",C322="",E322=""),"",IF(COUNTIFS($B$5:B322,B322,$C$5:C322,C322,$E$5:E322,E322)=1,1,0))</f>
        <v/>
      </c>
      <c r="U322" s="28" t="str">
        <f aca="false">IF(COUNTA(B322:C322,E322:F322,H322:P322)=0,"",IF(OR(B322="",C322="",E322=""),"Check: date, player, and context required",IF(AND(ISNUMBER(J322),ISNUMBER(I322),J322&gt;I322),"Check: solid contacts &gt; swings",IF(AND(ISNUMBER(L322),ISNUMBER(K322),L322&gt;K322),"Check: correct &gt; assessed decisions",IF(AND(ISNUMBER(N322),ISNUMBER(M322),N322&gt;M322),"Check: intended &gt; assessed landings",IF(AND(ISNUMBER(J322),I322=""),"Check: solid contacts without swings","OK"))))))</f>
        <v/>
      </c>
    </row>
    <row r="323" customFormat="false" ht="15" hidden="false" customHeight="false" outlineLevel="0" collapsed="false">
      <c r="B323" s="26"/>
      <c r="C323" s="27"/>
      <c r="D323" s="28" t="str">
        <f aca="false">IF(C323="","",IFERROR(INDEX(Players!$C$5:$C$104,MATCH(C323,Players!$B$5:$B$104,0)),"ID not found"))</f>
        <v/>
      </c>
      <c r="E323" s="27"/>
      <c r="F323" s="27"/>
      <c r="G323" s="28" t="str">
        <f aca="false">IF(F323="","",IFERROR(INDEX('Hitting Drills'!$D$6:$D$45,MATCH(F323,'Hitting Drills'!$B$6:$B$45,0)),"Not a hitting drill ID"))</f>
        <v/>
      </c>
      <c r="H323" s="27"/>
      <c r="I323" s="27"/>
      <c r="J323" s="27"/>
      <c r="K323" s="27"/>
      <c r="L323" s="27"/>
      <c r="M323" s="27"/>
      <c r="N323" s="27"/>
      <c r="O323" s="27"/>
      <c r="P323" s="27"/>
      <c r="Q323" s="27"/>
      <c r="R323" s="27"/>
      <c r="S323" s="29" t="str">
        <f aca="false">IF(OR(B323="",C323=""),"",IF(COUNTIFS($B$5:B323,B323,$C$5:C323,C323)=1,1,0))</f>
        <v/>
      </c>
      <c r="T323" s="29" t="str">
        <f aca="false">IF(OR(B323="",C323="",E323=""),"",IF(COUNTIFS($B$5:B323,B323,$C$5:C323,C323,$E$5:E323,E323)=1,1,0))</f>
        <v/>
      </c>
      <c r="U323" s="28" t="str">
        <f aca="false">IF(COUNTA(B323:C323,E323:F323,H323:P323)=0,"",IF(OR(B323="",C323="",E323=""),"Check: date, player, and context required",IF(AND(ISNUMBER(J323),ISNUMBER(I323),J323&gt;I323),"Check: solid contacts &gt; swings",IF(AND(ISNUMBER(L323),ISNUMBER(K323),L323&gt;K323),"Check: correct &gt; assessed decisions",IF(AND(ISNUMBER(N323),ISNUMBER(M323),N323&gt;M323),"Check: intended &gt; assessed landings",IF(AND(ISNUMBER(J323),I323=""),"Check: solid contacts without swings","OK"))))))</f>
        <v/>
      </c>
    </row>
    <row r="324" customFormat="false" ht="15" hidden="false" customHeight="false" outlineLevel="0" collapsed="false">
      <c r="B324" s="26"/>
      <c r="C324" s="27"/>
      <c r="D324" s="28" t="str">
        <f aca="false">IF(C324="","",IFERROR(INDEX(Players!$C$5:$C$104,MATCH(C324,Players!$B$5:$B$104,0)),"ID not found"))</f>
        <v/>
      </c>
      <c r="E324" s="27"/>
      <c r="F324" s="27"/>
      <c r="G324" s="28" t="str">
        <f aca="false">IF(F324="","",IFERROR(INDEX('Hitting Drills'!$D$6:$D$45,MATCH(F324,'Hitting Drills'!$B$6:$B$45,0)),"Not a hitting drill ID"))</f>
        <v/>
      </c>
      <c r="H324" s="27"/>
      <c r="I324" s="27"/>
      <c r="J324" s="27"/>
      <c r="K324" s="27"/>
      <c r="L324" s="27"/>
      <c r="M324" s="27"/>
      <c r="N324" s="27"/>
      <c r="O324" s="27"/>
      <c r="P324" s="27"/>
      <c r="Q324" s="27"/>
      <c r="R324" s="27"/>
      <c r="S324" s="29" t="str">
        <f aca="false">IF(OR(B324="",C324=""),"",IF(COUNTIFS($B$5:B324,B324,$C$5:C324,C324)=1,1,0))</f>
        <v/>
      </c>
      <c r="T324" s="29" t="str">
        <f aca="false">IF(OR(B324="",C324="",E324=""),"",IF(COUNTIFS($B$5:B324,B324,$C$5:C324,C324,$E$5:E324,E324)=1,1,0))</f>
        <v/>
      </c>
      <c r="U324" s="28" t="str">
        <f aca="false">IF(COUNTA(B324:C324,E324:F324,H324:P324)=0,"",IF(OR(B324="",C324="",E324=""),"Check: date, player, and context required",IF(AND(ISNUMBER(J324),ISNUMBER(I324),J324&gt;I324),"Check: solid contacts &gt; swings",IF(AND(ISNUMBER(L324),ISNUMBER(K324),L324&gt;K324),"Check: correct &gt; assessed decisions",IF(AND(ISNUMBER(N324),ISNUMBER(M324),N324&gt;M324),"Check: intended &gt; assessed landings",IF(AND(ISNUMBER(J324),I324=""),"Check: solid contacts without swings","OK"))))))</f>
        <v/>
      </c>
    </row>
    <row r="325" customFormat="false" ht="15" hidden="false" customHeight="false" outlineLevel="0" collapsed="false">
      <c r="B325" s="26"/>
      <c r="C325" s="27"/>
      <c r="D325" s="28" t="str">
        <f aca="false">IF(C325="","",IFERROR(INDEX(Players!$C$5:$C$104,MATCH(C325,Players!$B$5:$B$104,0)),"ID not found"))</f>
        <v/>
      </c>
      <c r="E325" s="27"/>
      <c r="F325" s="27"/>
      <c r="G325" s="28" t="str">
        <f aca="false">IF(F325="","",IFERROR(INDEX('Hitting Drills'!$D$6:$D$45,MATCH(F325,'Hitting Drills'!$B$6:$B$45,0)),"Not a hitting drill ID"))</f>
        <v/>
      </c>
      <c r="H325" s="27"/>
      <c r="I325" s="27"/>
      <c r="J325" s="27"/>
      <c r="K325" s="27"/>
      <c r="L325" s="27"/>
      <c r="M325" s="27"/>
      <c r="N325" s="27"/>
      <c r="O325" s="27"/>
      <c r="P325" s="27"/>
      <c r="Q325" s="27"/>
      <c r="R325" s="27"/>
      <c r="S325" s="29" t="str">
        <f aca="false">IF(OR(B325="",C325=""),"",IF(COUNTIFS($B$5:B325,B325,$C$5:C325,C325)=1,1,0))</f>
        <v/>
      </c>
      <c r="T325" s="29" t="str">
        <f aca="false">IF(OR(B325="",C325="",E325=""),"",IF(COUNTIFS($B$5:B325,B325,$C$5:C325,C325,$E$5:E325,E325)=1,1,0))</f>
        <v/>
      </c>
      <c r="U325" s="28" t="str">
        <f aca="false">IF(COUNTA(B325:C325,E325:F325,H325:P325)=0,"",IF(OR(B325="",C325="",E325=""),"Check: date, player, and context required",IF(AND(ISNUMBER(J325),ISNUMBER(I325),J325&gt;I325),"Check: solid contacts &gt; swings",IF(AND(ISNUMBER(L325),ISNUMBER(K325),L325&gt;K325),"Check: correct &gt; assessed decisions",IF(AND(ISNUMBER(N325),ISNUMBER(M325),N325&gt;M325),"Check: intended &gt; assessed landings",IF(AND(ISNUMBER(J325),I325=""),"Check: solid contacts without swings","OK"))))))</f>
        <v/>
      </c>
    </row>
    <row r="326" customFormat="false" ht="15" hidden="false" customHeight="false" outlineLevel="0" collapsed="false">
      <c r="B326" s="26"/>
      <c r="C326" s="27"/>
      <c r="D326" s="28" t="str">
        <f aca="false">IF(C326="","",IFERROR(INDEX(Players!$C$5:$C$104,MATCH(C326,Players!$B$5:$B$104,0)),"ID not found"))</f>
        <v/>
      </c>
      <c r="E326" s="27"/>
      <c r="F326" s="27"/>
      <c r="G326" s="28" t="str">
        <f aca="false">IF(F326="","",IFERROR(INDEX('Hitting Drills'!$D$6:$D$45,MATCH(F326,'Hitting Drills'!$B$6:$B$45,0)),"Not a hitting drill ID"))</f>
        <v/>
      </c>
      <c r="H326" s="27"/>
      <c r="I326" s="27"/>
      <c r="J326" s="27"/>
      <c r="K326" s="27"/>
      <c r="L326" s="27"/>
      <c r="M326" s="27"/>
      <c r="N326" s="27"/>
      <c r="O326" s="27"/>
      <c r="P326" s="27"/>
      <c r="Q326" s="27"/>
      <c r="R326" s="27"/>
      <c r="S326" s="29" t="str">
        <f aca="false">IF(OR(B326="",C326=""),"",IF(COUNTIFS($B$5:B326,B326,$C$5:C326,C326)=1,1,0))</f>
        <v/>
      </c>
      <c r="T326" s="29" t="str">
        <f aca="false">IF(OR(B326="",C326="",E326=""),"",IF(COUNTIFS($B$5:B326,B326,$C$5:C326,C326,$E$5:E326,E326)=1,1,0))</f>
        <v/>
      </c>
      <c r="U326" s="28" t="str">
        <f aca="false">IF(COUNTA(B326:C326,E326:F326,H326:P326)=0,"",IF(OR(B326="",C326="",E326=""),"Check: date, player, and context required",IF(AND(ISNUMBER(J326),ISNUMBER(I326),J326&gt;I326),"Check: solid contacts &gt; swings",IF(AND(ISNUMBER(L326),ISNUMBER(K326),L326&gt;K326),"Check: correct &gt; assessed decisions",IF(AND(ISNUMBER(N326),ISNUMBER(M326),N326&gt;M326),"Check: intended &gt; assessed landings",IF(AND(ISNUMBER(J326),I326=""),"Check: solid contacts without swings","OK"))))))</f>
        <v/>
      </c>
    </row>
    <row r="327" customFormat="false" ht="15" hidden="false" customHeight="false" outlineLevel="0" collapsed="false">
      <c r="B327" s="26"/>
      <c r="C327" s="27"/>
      <c r="D327" s="28" t="str">
        <f aca="false">IF(C327="","",IFERROR(INDEX(Players!$C$5:$C$104,MATCH(C327,Players!$B$5:$B$104,0)),"ID not found"))</f>
        <v/>
      </c>
      <c r="E327" s="27"/>
      <c r="F327" s="27"/>
      <c r="G327" s="28" t="str">
        <f aca="false">IF(F327="","",IFERROR(INDEX('Hitting Drills'!$D$6:$D$45,MATCH(F327,'Hitting Drills'!$B$6:$B$45,0)),"Not a hitting drill ID"))</f>
        <v/>
      </c>
      <c r="H327" s="27"/>
      <c r="I327" s="27"/>
      <c r="J327" s="27"/>
      <c r="K327" s="27"/>
      <c r="L327" s="27"/>
      <c r="M327" s="27"/>
      <c r="N327" s="27"/>
      <c r="O327" s="27"/>
      <c r="P327" s="27"/>
      <c r="Q327" s="27"/>
      <c r="R327" s="27"/>
      <c r="S327" s="29" t="str">
        <f aca="false">IF(OR(B327="",C327=""),"",IF(COUNTIFS($B$5:B327,B327,$C$5:C327,C327)=1,1,0))</f>
        <v/>
      </c>
      <c r="T327" s="29" t="str">
        <f aca="false">IF(OR(B327="",C327="",E327=""),"",IF(COUNTIFS($B$5:B327,B327,$C$5:C327,C327,$E$5:E327,E327)=1,1,0))</f>
        <v/>
      </c>
      <c r="U327" s="28" t="str">
        <f aca="false">IF(COUNTA(B327:C327,E327:F327,H327:P327)=0,"",IF(OR(B327="",C327="",E327=""),"Check: date, player, and context required",IF(AND(ISNUMBER(J327),ISNUMBER(I327),J327&gt;I327),"Check: solid contacts &gt; swings",IF(AND(ISNUMBER(L327),ISNUMBER(K327),L327&gt;K327),"Check: correct &gt; assessed decisions",IF(AND(ISNUMBER(N327),ISNUMBER(M327),N327&gt;M327),"Check: intended &gt; assessed landings",IF(AND(ISNUMBER(J327),I327=""),"Check: solid contacts without swings","OK"))))))</f>
        <v/>
      </c>
    </row>
    <row r="328" customFormat="false" ht="15" hidden="false" customHeight="false" outlineLevel="0" collapsed="false">
      <c r="B328" s="26"/>
      <c r="C328" s="27"/>
      <c r="D328" s="28" t="str">
        <f aca="false">IF(C328="","",IFERROR(INDEX(Players!$C$5:$C$104,MATCH(C328,Players!$B$5:$B$104,0)),"ID not found"))</f>
        <v/>
      </c>
      <c r="E328" s="27"/>
      <c r="F328" s="27"/>
      <c r="G328" s="28" t="str">
        <f aca="false">IF(F328="","",IFERROR(INDEX('Hitting Drills'!$D$6:$D$45,MATCH(F328,'Hitting Drills'!$B$6:$B$45,0)),"Not a hitting drill ID"))</f>
        <v/>
      </c>
      <c r="H328" s="27"/>
      <c r="I328" s="27"/>
      <c r="J328" s="27"/>
      <c r="K328" s="27"/>
      <c r="L328" s="27"/>
      <c r="M328" s="27"/>
      <c r="N328" s="27"/>
      <c r="O328" s="27"/>
      <c r="P328" s="27"/>
      <c r="Q328" s="27"/>
      <c r="R328" s="27"/>
      <c r="S328" s="29" t="str">
        <f aca="false">IF(OR(B328="",C328=""),"",IF(COUNTIFS($B$5:B328,B328,$C$5:C328,C328)=1,1,0))</f>
        <v/>
      </c>
      <c r="T328" s="29" t="str">
        <f aca="false">IF(OR(B328="",C328="",E328=""),"",IF(COUNTIFS($B$5:B328,B328,$C$5:C328,C328,$E$5:E328,E328)=1,1,0))</f>
        <v/>
      </c>
      <c r="U328" s="28" t="str">
        <f aca="false">IF(COUNTA(B328:C328,E328:F328,H328:P328)=0,"",IF(OR(B328="",C328="",E328=""),"Check: date, player, and context required",IF(AND(ISNUMBER(J328),ISNUMBER(I328),J328&gt;I328),"Check: solid contacts &gt; swings",IF(AND(ISNUMBER(L328),ISNUMBER(K328),L328&gt;K328),"Check: correct &gt; assessed decisions",IF(AND(ISNUMBER(N328),ISNUMBER(M328),N328&gt;M328),"Check: intended &gt; assessed landings",IF(AND(ISNUMBER(J328),I328=""),"Check: solid contacts without swings","OK"))))))</f>
        <v/>
      </c>
    </row>
    <row r="329" customFormat="false" ht="15" hidden="false" customHeight="false" outlineLevel="0" collapsed="false">
      <c r="B329" s="26"/>
      <c r="C329" s="27"/>
      <c r="D329" s="28" t="str">
        <f aca="false">IF(C329="","",IFERROR(INDEX(Players!$C$5:$C$104,MATCH(C329,Players!$B$5:$B$104,0)),"ID not found"))</f>
        <v/>
      </c>
      <c r="E329" s="27"/>
      <c r="F329" s="27"/>
      <c r="G329" s="28" t="str">
        <f aca="false">IF(F329="","",IFERROR(INDEX('Hitting Drills'!$D$6:$D$45,MATCH(F329,'Hitting Drills'!$B$6:$B$45,0)),"Not a hitting drill ID"))</f>
        <v/>
      </c>
      <c r="H329" s="27"/>
      <c r="I329" s="27"/>
      <c r="J329" s="27"/>
      <c r="K329" s="27"/>
      <c r="L329" s="27"/>
      <c r="M329" s="27"/>
      <c r="N329" s="27"/>
      <c r="O329" s="27"/>
      <c r="P329" s="27"/>
      <c r="Q329" s="27"/>
      <c r="R329" s="27"/>
      <c r="S329" s="29" t="str">
        <f aca="false">IF(OR(B329="",C329=""),"",IF(COUNTIFS($B$5:B329,B329,$C$5:C329,C329)=1,1,0))</f>
        <v/>
      </c>
      <c r="T329" s="29" t="str">
        <f aca="false">IF(OR(B329="",C329="",E329=""),"",IF(COUNTIFS($B$5:B329,B329,$C$5:C329,C329,$E$5:E329,E329)=1,1,0))</f>
        <v/>
      </c>
      <c r="U329" s="28" t="str">
        <f aca="false">IF(COUNTA(B329:C329,E329:F329,H329:P329)=0,"",IF(OR(B329="",C329="",E329=""),"Check: date, player, and context required",IF(AND(ISNUMBER(J329),ISNUMBER(I329),J329&gt;I329),"Check: solid contacts &gt; swings",IF(AND(ISNUMBER(L329),ISNUMBER(K329),L329&gt;K329),"Check: correct &gt; assessed decisions",IF(AND(ISNUMBER(N329),ISNUMBER(M329),N329&gt;M329),"Check: intended &gt; assessed landings",IF(AND(ISNUMBER(J329),I329=""),"Check: solid contacts without swings","OK"))))))</f>
        <v/>
      </c>
    </row>
    <row r="330" customFormat="false" ht="15" hidden="false" customHeight="false" outlineLevel="0" collapsed="false">
      <c r="B330" s="26"/>
      <c r="C330" s="27"/>
      <c r="D330" s="28" t="str">
        <f aca="false">IF(C330="","",IFERROR(INDEX(Players!$C$5:$C$104,MATCH(C330,Players!$B$5:$B$104,0)),"ID not found"))</f>
        <v/>
      </c>
      <c r="E330" s="27"/>
      <c r="F330" s="27"/>
      <c r="G330" s="28" t="str">
        <f aca="false">IF(F330="","",IFERROR(INDEX('Hitting Drills'!$D$6:$D$45,MATCH(F330,'Hitting Drills'!$B$6:$B$45,0)),"Not a hitting drill ID"))</f>
        <v/>
      </c>
      <c r="H330" s="27"/>
      <c r="I330" s="27"/>
      <c r="J330" s="27"/>
      <c r="K330" s="27"/>
      <c r="L330" s="27"/>
      <c r="M330" s="27"/>
      <c r="N330" s="27"/>
      <c r="O330" s="27"/>
      <c r="P330" s="27"/>
      <c r="Q330" s="27"/>
      <c r="R330" s="27"/>
      <c r="S330" s="29" t="str">
        <f aca="false">IF(OR(B330="",C330=""),"",IF(COUNTIFS($B$5:B330,B330,$C$5:C330,C330)=1,1,0))</f>
        <v/>
      </c>
      <c r="T330" s="29" t="str">
        <f aca="false">IF(OR(B330="",C330="",E330=""),"",IF(COUNTIFS($B$5:B330,B330,$C$5:C330,C330,$E$5:E330,E330)=1,1,0))</f>
        <v/>
      </c>
      <c r="U330" s="28" t="str">
        <f aca="false">IF(COUNTA(B330:C330,E330:F330,H330:P330)=0,"",IF(OR(B330="",C330="",E330=""),"Check: date, player, and context required",IF(AND(ISNUMBER(J330),ISNUMBER(I330),J330&gt;I330),"Check: solid contacts &gt; swings",IF(AND(ISNUMBER(L330),ISNUMBER(K330),L330&gt;K330),"Check: correct &gt; assessed decisions",IF(AND(ISNUMBER(N330),ISNUMBER(M330),N330&gt;M330),"Check: intended &gt; assessed landings",IF(AND(ISNUMBER(J330),I330=""),"Check: solid contacts without swings","OK"))))))</f>
        <v/>
      </c>
    </row>
    <row r="331" customFormat="false" ht="15" hidden="false" customHeight="false" outlineLevel="0" collapsed="false">
      <c r="B331" s="26"/>
      <c r="C331" s="27"/>
      <c r="D331" s="28" t="str">
        <f aca="false">IF(C331="","",IFERROR(INDEX(Players!$C$5:$C$104,MATCH(C331,Players!$B$5:$B$104,0)),"ID not found"))</f>
        <v/>
      </c>
      <c r="E331" s="27"/>
      <c r="F331" s="27"/>
      <c r="G331" s="28" t="str">
        <f aca="false">IF(F331="","",IFERROR(INDEX('Hitting Drills'!$D$6:$D$45,MATCH(F331,'Hitting Drills'!$B$6:$B$45,0)),"Not a hitting drill ID"))</f>
        <v/>
      </c>
      <c r="H331" s="27"/>
      <c r="I331" s="27"/>
      <c r="J331" s="27"/>
      <c r="K331" s="27"/>
      <c r="L331" s="27"/>
      <c r="M331" s="27"/>
      <c r="N331" s="27"/>
      <c r="O331" s="27"/>
      <c r="P331" s="27"/>
      <c r="Q331" s="27"/>
      <c r="R331" s="27"/>
      <c r="S331" s="29" t="str">
        <f aca="false">IF(OR(B331="",C331=""),"",IF(COUNTIFS($B$5:B331,B331,$C$5:C331,C331)=1,1,0))</f>
        <v/>
      </c>
      <c r="T331" s="29" t="str">
        <f aca="false">IF(OR(B331="",C331="",E331=""),"",IF(COUNTIFS($B$5:B331,B331,$C$5:C331,C331,$E$5:E331,E331)=1,1,0))</f>
        <v/>
      </c>
      <c r="U331" s="28" t="str">
        <f aca="false">IF(COUNTA(B331:C331,E331:F331,H331:P331)=0,"",IF(OR(B331="",C331="",E331=""),"Check: date, player, and context required",IF(AND(ISNUMBER(J331),ISNUMBER(I331),J331&gt;I331),"Check: solid contacts &gt; swings",IF(AND(ISNUMBER(L331),ISNUMBER(K331),L331&gt;K331),"Check: correct &gt; assessed decisions",IF(AND(ISNUMBER(N331),ISNUMBER(M331),N331&gt;M331),"Check: intended &gt; assessed landings",IF(AND(ISNUMBER(J331),I331=""),"Check: solid contacts without swings","OK"))))))</f>
        <v/>
      </c>
    </row>
    <row r="332" customFormat="false" ht="15" hidden="false" customHeight="false" outlineLevel="0" collapsed="false">
      <c r="B332" s="26"/>
      <c r="C332" s="27"/>
      <c r="D332" s="28" t="str">
        <f aca="false">IF(C332="","",IFERROR(INDEX(Players!$C$5:$C$104,MATCH(C332,Players!$B$5:$B$104,0)),"ID not found"))</f>
        <v/>
      </c>
      <c r="E332" s="27"/>
      <c r="F332" s="27"/>
      <c r="G332" s="28" t="str">
        <f aca="false">IF(F332="","",IFERROR(INDEX('Hitting Drills'!$D$6:$D$45,MATCH(F332,'Hitting Drills'!$B$6:$B$45,0)),"Not a hitting drill ID"))</f>
        <v/>
      </c>
      <c r="H332" s="27"/>
      <c r="I332" s="27"/>
      <c r="J332" s="27"/>
      <c r="K332" s="27"/>
      <c r="L332" s="27"/>
      <c r="M332" s="27"/>
      <c r="N332" s="27"/>
      <c r="O332" s="27"/>
      <c r="P332" s="27"/>
      <c r="Q332" s="27"/>
      <c r="R332" s="27"/>
      <c r="S332" s="29" t="str">
        <f aca="false">IF(OR(B332="",C332=""),"",IF(COUNTIFS($B$5:B332,B332,$C$5:C332,C332)=1,1,0))</f>
        <v/>
      </c>
      <c r="T332" s="29" t="str">
        <f aca="false">IF(OR(B332="",C332="",E332=""),"",IF(COUNTIFS($B$5:B332,B332,$C$5:C332,C332,$E$5:E332,E332)=1,1,0))</f>
        <v/>
      </c>
      <c r="U332" s="28" t="str">
        <f aca="false">IF(COUNTA(B332:C332,E332:F332,H332:P332)=0,"",IF(OR(B332="",C332="",E332=""),"Check: date, player, and context required",IF(AND(ISNUMBER(J332),ISNUMBER(I332),J332&gt;I332),"Check: solid contacts &gt; swings",IF(AND(ISNUMBER(L332),ISNUMBER(K332),L332&gt;K332),"Check: correct &gt; assessed decisions",IF(AND(ISNUMBER(N332),ISNUMBER(M332),N332&gt;M332),"Check: intended &gt; assessed landings",IF(AND(ISNUMBER(J332),I332=""),"Check: solid contacts without swings","OK"))))))</f>
        <v/>
      </c>
    </row>
    <row r="333" customFormat="false" ht="15" hidden="false" customHeight="false" outlineLevel="0" collapsed="false">
      <c r="B333" s="26"/>
      <c r="C333" s="27"/>
      <c r="D333" s="28" t="str">
        <f aca="false">IF(C333="","",IFERROR(INDEX(Players!$C$5:$C$104,MATCH(C333,Players!$B$5:$B$104,0)),"ID not found"))</f>
        <v/>
      </c>
      <c r="E333" s="27"/>
      <c r="F333" s="27"/>
      <c r="G333" s="28" t="str">
        <f aca="false">IF(F333="","",IFERROR(INDEX('Hitting Drills'!$D$6:$D$45,MATCH(F333,'Hitting Drills'!$B$6:$B$45,0)),"Not a hitting drill ID"))</f>
        <v/>
      </c>
      <c r="H333" s="27"/>
      <c r="I333" s="27"/>
      <c r="J333" s="27"/>
      <c r="K333" s="27"/>
      <c r="L333" s="27"/>
      <c r="M333" s="27"/>
      <c r="N333" s="27"/>
      <c r="O333" s="27"/>
      <c r="P333" s="27"/>
      <c r="Q333" s="27"/>
      <c r="R333" s="27"/>
      <c r="S333" s="29" t="str">
        <f aca="false">IF(OR(B333="",C333=""),"",IF(COUNTIFS($B$5:B333,B333,$C$5:C333,C333)=1,1,0))</f>
        <v/>
      </c>
      <c r="T333" s="29" t="str">
        <f aca="false">IF(OR(B333="",C333="",E333=""),"",IF(COUNTIFS($B$5:B333,B333,$C$5:C333,C333,$E$5:E333,E333)=1,1,0))</f>
        <v/>
      </c>
      <c r="U333" s="28" t="str">
        <f aca="false">IF(COUNTA(B333:C333,E333:F333,H333:P333)=0,"",IF(OR(B333="",C333="",E333=""),"Check: date, player, and context required",IF(AND(ISNUMBER(J333),ISNUMBER(I333),J333&gt;I333),"Check: solid contacts &gt; swings",IF(AND(ISNUMBER(L333),ISNUMBER(K333),L333&gt;K333),"Check: correct &gt; assessed decisions",IF(AND(ISNUMBER(N333),ISNUMBER(M333),N333&gt;M333),"Check: intended &gt; assessed landings",IF(AND(ISNUMBER(J333),I333=""),"Check: solid contacts without swings","OK"))))))</f>
        <v/>
      </c>
    </row>
    <row r="334" customFormat="false" ht="15" hidden="false" customHeight="false" outlineLevel="0" collapsed="false">
      <c r="B334" s="26"/>
      <c r="C334" s="27"/>
      <c r="D334" s="28" t="str">
        <f aca="false">IF(C334="","",IFERROR(INDEX(Players!$C$5:$C$104,MATCH(C334,Players!$B$5:$B$104,0)),"ID not found"))</f>
        <v/>
      </c>
      <c r="E334" s="27"/>
      <c r="F334" s="27"/>
      <c r="G334" s="28" t="str">
        <f aca="false">IF(F334="","",IFERROR(INDEX('Hitting Drills'!$D$6:$D$45,MATCH(F334,'Hitting Drills'!$B$6:$B$45,0)),"Not a hitting drill ID"))</f>
        <v/>
      </c>
      <c r="H334" s="27"/>
      <c r="I334" s="27"/>
      <c r="J334" s="27"/>
      <c r="K334" s="27"/>
      <c r="L334" s="27"/>
      <c r="M334" s="27"/>
      <c r="N334" s="27"/>
      <c r="O334" s="27"/>
      <c r="P334" s="27"/>
      <c r="Q334" s="27"/>
      <c r="R334" s="27"/>
      <c r="S334" s="29" t="str">
        <f aca="false">IF(OR(B334="",C334=""),"",IF(COUNTIFS($B$5:B334,B334,$C$5:C334,C334)=1,1,0))</f>
        <v/>
      </c>
      <c r="T334" s="29" t="str">
        <f aca="false">IF(OR(B334="",C334="",E334=""),"",IF(COUNTIFS($B$5:B334,B334,$C$5:C334,C334,$E$5:E334,E334)=1,1,0))</f>
        <v/>
      </c>
      <c r="U334" s="28" t="str">
        <f aca="false">IF(COUNTA(B334:C334,E334:F334,H334:P334)=0,"",IF(OR(B334="",C334="",E334=""),"Check: date, player, and context required",IF(AND(ISNUMBER(J334),ISNUMBER(I334),J334&gt;I334),"Check: solid contacts &gt; swings",IF(AND(ISNUMBER(L334),ISNUMBER(K334),L334&gt;K334),"Check: correct &gt; assessed decisions",IF(AND(ISNUMBER(N334),ISNUMBER(M334),N334&gt;M334),"Check: intended &gt; assessed landings",IF(AND(ISNUMBER(J334),I334=""),"Check: solid contacts without swings","OK"))))))</f>
        <v/>
      </c>
    </row>
    <row r="335" customFormat="false" ht="15" hidden="false" customHeight="false" outlineLevel="0" collapsed="false">
      <c r="B335" s="26"/>
      <c r="C335" s="27"/>
      <c r="D335" s="28" t="str">
        <f aca="false">IF(C335="","",IFERROR(INDEX(Players!$C$5:$C$104,MATCH(C335,Players!$B$5:$B$104,0)),"ID not found"))</f>
        <v/>
      </c>
      <c r="E335" s="27"/>
      <c r="F335" s="27"/>
      <c r="G335" s="28" t="str">
        <f aca="false">IF(F335="","",IFERROR(INDEX('Hitting Drills'!$D$6:$D$45,MATCH(F335,'Hitting Drills'!$B$6:$B$45,0)),"Not a hitting drill ID"))</f>
        <v/>
      </c>
      <c r="H335" s="27"/>
      <c r="I335" s="27"/>
      <c r="J335" s="27"/>
      <c r="K335" s="27"/>
      <c r="L335" s="27"/>
      <c r="M335" s="27"/>
      <c r="N335" s="27"/>
      <c r="O335" s="27"/>
      <c r="P335" s="27"/>
      <c r="Q335" s="27"/>
      <c r="R335" s="27"/>
      <c r="S335" s="29" t="str">
        <f aca="false">IF(OR(B335="",C335=""),"",IF(COUNTIFS($B$5:B335,B335,$C$5:C335,C335)=1,1,0))</f>
        <v/>
      </c>
      <c r="T335" s="29" t="str">
        <f aca="false">IF(OR(B335="",C335="",E335=""),"",IF(COUNTIFS($B$5:B335,B335,$C$5:C335,C335,$E$5:E335,E335)=1,1,0))</f>
        <v/>
      </c>
      <c r="U335" s="28" t="str">
        <f aca="false">IF(COUNTA(B335:C335,E335:F335,H335:P335)=0,"",IF(OR(B335="",C335="",E335=""),"Check: date, player, and context required",IF(AND(ISNUMBER(J335),ISNUMBER(I335),J335&gt;I335),"Check: solid contacts &gt; swings",IF(AND(ISNUMBER(L335),ISNUMBER(K335),L335&gt;K335),"Check: correct &gt; assessed decisions",IF(AND(ISNUMBER(N335),ISNUMBER(M335),N335&gt;M335),"Check: intended &gt; assessed landings",IF(AND(ISNUMBER(J335),I335=""),"Check: solid contacts without swings","OK"))))))</f>
        <v/>
      </c>
    </row>
    <row r="336" customFormat="false" ht="15" hidden="false" customHeight="false" outlineLevel="0" collapsed="false">
      <c r="B336" s="26"/>
      <c r="C336" s="27"/>
      <c r="D336" s="28" t="str">
        <f aca="false">IF(C336="","",IFERROR(INDEX(Players!$C$5:$C$104,MATCH(C336,Players!$B$5:$B$104,0)),"ID not found"))</f>
        <v/>
      </c>
      <c r="E336" s="27"/>
      <c r="F336" s="27"/>
      <c r="G336" s="28" t="str">
        <f aca="false">IF(F336="","",IFERROR(INDEX('Hitting Drills'!$D$6:$D$45,MATCH(F336,'Hitting Drills'!$B$6:$B$45,0)),"Not a hitting drill ID"))</f>
        <v/>
      </c>
      <c r="H336" s="27"/>
      <c r="I336" s="27"/>
      <c r="J336" s="27"/>
      <c r="K336" s="27"/>
      <c r="L336" s="27"/>
      <c r="M336" s="27"/>
      <c r="N336" s="27"/>
      <c r="O336" s="27"/>
      <c r="P336" s="27"/>
      <c r="Q336" s="27"/>
      <c r="R336" s="27"/>
      <c r="S336" s="29" t="str">
        <f aca="false">IF(OR(B336="",C336=""),"",IF(COUNTIFS($B$5:B336,B336,$C$5:C336,C336)=1,1,0))</f>
        <v/>
      </c>
      <c r="T336" s="29" t="str">
        <f aca="false">IF(OR(B336="",C336="",E336=""),"",IF(COUNTIFS($B$5:B336,B336,$C$5:C336,C336,$E$5:E336,E336)=1,1,0))</f>
        <v/>
      </c>
      <c r="U336" s="28" t="str">
        <f aca="false">IF(COUNTA(B336:C336,E336:F336,H336:P336)=0,"",IF(OR(B336="",C336="",E336=""),"Check: date, player, and context required",IF(AND(ISNUMBER(J336),ISNUMBER(I336),J336&gt;I336),"Check: solid contacts &gt; swings",IF(AND(ISNUMBER(L336),ISNUMBER(K336),L336&gt;K336),"Check: correct &gt; assessed decisions",IF(AND(ISNUMBER(N336),ISNUMBER(M336),N336&gt;M336),"Check: intended &gt; assessed landings",IF(AND(ISNUMBER(J336),I336=""),"Check: solid contacts without swings","OK"))))))</f>
        <v/>
      </c>
    </row>
    <row r="337" customFormat="false" ht="15" hidden="false" customHeight="false" outlineLevel="0" collapsed="false">
      <c r="B337" s="26"/>
      <c r="C337" s="27"/>
      <c r="D337" s="28" t="str">
        <f aca="false">IF(C337="","",IFERROR(INDEX(Players!$C$5:$C$104,MATCH(C337,Players!$B$5:$B$104,0)),"ID not found"))</f>
        <v/>
      </c>
      <c r="E337" s="27"/>
      <c r="F337" s="27"/>
      <c r="G337" s="28" t="str">
        <f aca="false">IF(F337="","",IFERROR(INDEX('Hitting Drills'!$D$6:$D$45,MATCH(F337,'Hitting Drills'!$B$6:$B$45,0)),"Not a hitting drill ID"))</f>
        <v/>
      </c>
      <c r="H337" s="27"/>
      <c r="I337" s="27"/>
      <c r="J337" s="27"/>
      <c r="K337" s="27"/>
      <c r="L337" s="27"/>
      <c r="M337" s="27"/>
      <c r="N337" s="27"/>
      <c r="O337" s="27"/>
      <c r="P337" s="27"/>
      <c r="Q337" s="27"/>
      <c r="R337" s="27"/>
      <c r="S337" s="29" t="str">
        <f aca="false">IF(OR(B337="",C337=""),"",IF(COUNTIFS($B$5:B337,B337,$C$5:C337,C337)=1,1,0))</f>
        <v/>
      </c>
      <c r="T337" s="29" t="str">
        <f aca="false">IF(OR(B337="",C337="",E337=""),"",IF(COUNTIFS($B$5:B337,B337,$C$5:C337,C337,$E$5:E337,E337)=1,1,0))</f>
        <v/>
      </c>
      <c r="U337" s="28" t="str">
        <f aca="false">IF(COUNTA(B337:C337,E337:F337,H337:P337)=0,"",IF(OR(B337="",C337="",E337=""),"Check: date, player, and context required",IF(AND(ISNUMBER(J337),ISNUMBER(I337),J337&gt;I337),"Check: solid contacts &gt; swings",IF(AND(ISNUMBER(L337),ISNUMBER(K337),L337&gt;K337),"Check: correct &gt; assessed decisions",IF(AND(ISNUMBER(N337),ISNUMBER(M337),N337&gt;M337),"Check: intended &gt; assessed landings",IF(AND(ISNUMBER(J337),I337=""),"Check: solid contacts without swings","OK"))))))</f>
        <v/>
      </c>
    </row>
    <row r="338" customFormat="false" ht="15" hidden="false" customHeight="false" outlineLevel="0" collapsed="false">
      <c r="B338" s="26"/>
      <c r="C338" s="27"/>
      <c r="D338" s="28" t="str">
        <f aca="false">IF(C338="","",IFERROR(INDEX(Players!$C$5:$C$104,MATCH(C338,Players!$B$5:$B$104,0)),"ID not found"))</f>
        <v/>
      </c>
      <c r="E338" s="27"/>
      <c r="F338" s="27"/>
      <c r="G338" s="28" t="str">
        <f aca="false">IF(F338="","",IFERROR(INDEX('Hitting Drills'!$D$6:$D$45,MATCH(F338,'Hitting Drills'!$B$6:$B$45,0)),"Not a hitting drill ID"))</f>
        <v/>
      </c>
      <c r="H338" s="27"/>
      <c r="I338" s="27"/>
      <c r="J338" s="27"/>
      <c r="K338" s="27"/>
      <c r="L338" s="27"/>
      <c r="M338" s="27"/>
      <c r="N338" s="27"/>
      <c r="O338" s="27"/>
      <c r="P338" s="27"/>
      <c r="Q338" s="27"/>
      <c r="R338" s="27"/>
      <c r="S338" s="29" t="str">
        <f aca="false">IF(OR(B338="",C338=""),"",IF(COUNTIFS($B$5:B338,B338,$C$5:C338,C338)=1,1,0))</f>
        <v/>
      </c>
      <c r="T338" s="29" t="str">
        <f aca="false">IF(OR(B338="",C338="",E338=""),"",IF(COUNTIFS($B$5:B338,B338,$C$5:C338,C338,$E$5:E338,E338)=1,1,0))</f>
        <v/>
      </c>
      <c r="U338" s="28" t="str">
        <f aca="false">IF(COUNTA(B338:C338,E338:F338,H338:P338)=0,"",IF(OR(B338="",C338="",E338=""),"Check: date, player, and context required",IF(AND(ISNUMBER(J338),ISNUMBER(I338),J338&gt;I338),"Check: solid contacts &gt; swings",IF(AND(ISNUMBER(L338),ISNUMBER(K338),L338&gt;K338),"Check: correct &gt; assessed decisions",IF(AND(ISNUMBER(N338),ISNUMBER(M338),N338&gt;M338),"Check: intended &gt; assessed landings",IF(AND(ISNUMBER(J338),I338=""),"Check: solid contacts without swings","OK"))))))</f>
        <v/>
      </c>
    </row>
    <row r="339" customFormat="false" ht="15" hidden="false" customHeight="false" outlineLevel="0" collapsed="false">
      <c r="B339" s="26"/>
      <c r="C339" s="27"/>
      <c r="D339" s="28" t="str">
        <f aca="false">IF(C339="","",IFERROR(INDEX(Players!$C$5:$C$104,MATCH(C339,Players!$B$5:$B$104,0)),"ID not found"))</f>
        <v/>
      </c>
      <c r="E339" s="27"/>
      <c r="F339" s="27"/>
      <c r="G339" s="28" t="str">
        <f aca="false">IF(F339="","",IFERROR(INDEX('Hitting Drills'!$D$6:$D$45,MATCH(F339,'Hitting Drills'!$B$6:$B$45,0)),"Not a hitting drill ID"))</f>
        <v/>
      </c>
      <c r="H339" s="27"/>
      <c r="I339" s="27"/>
      <c r="J339" s="27"/>
      <c r="K339" s="27"/>
      <c r="L339" s="27"/>
      <c r="M339" s="27"/>
      <c r="N339" s="27"/>
      <c r="O339" s="27"/>
      <c r="P339" s="27"/>
      <c r="Q339" s="27"/>
      <c r="R339" s="27"/>
      <c r="S339" s="29" t="str">
        <f aca="false">IF(OR(B339="",C339=""),"",IF(COUNTIFS($B$5:B339,B339,$C$5:C339,C339)=1,1,0))</f>
        <v/>
      </c>
      <c r="T339" s="29" t="str">
        <f aca="false">IF(OR(B339="",C339="",E339=""),"",IF(COUNTIFS($B$5:B339,B339,$C$5:C339,C339,$E$5:E339,E339)=1,1,0))</f>
        <v/>
      </c>
      <c r="U339" s="28" t="str">
        <f aca="false">IF(COUNTA(B339:C339,E339:F339,H339:P339)=0,"",IF(OR(B339="",C339="",E339=""),"Check: date, player, and context required",IF(AND(ISNUMBER(J339),ISNUMBER(I339),J339&gt;I339),"Check: solid contacts &gt; swings",IF(AND(ISNUMBER(L339),ISNUMBER(K339),L339&gt;K339),"Check: correct &gt; assessed decisions",IF(AND(ISNUMBER(N339),ISNUMBER(M339),N339&gt;M339),"Check: intended &gt; assessed landings",IF(AND(ISNUMBER(J339),I339=""),"Check: solid contacts without swings","OK"))))))</f>
        <v/>
      </c>
    </row>
    <row r="340" customFormat="false" ht="15" hidden="false" customHeight="false" outlineLevel="0" collapsed="false">
      <c r="B340" s="26"/>
      <c r="C340" s="27"/>
      <c r="D340" s="28" t="str">
        <f aca="false">IF(C340="","",IFERROR(INDEX(Players!$C$5:$C$104,MATCH(C340,Players!$B$5:$B$104,0)),"ID not found"))</f>
        <v/>
      </c>
      <c r="E340" s="27"/>
      <c r="F340" s="27"/>
      <c r="G340" s="28" t="str">
        <f aca="false">IF(F340="","",IFERROR(INDEX('Hitting Drills'!$D$6:$D$45,MATCH(F340,'Hitting Drills'!$B$6:$B$45,0)),"Not a hitting drill ID"))</f>
        <v/>
      </c>
      <c r="H340" s="27"/>
      <c r="I340" s="27"/>
      <c r="J340" s="27"/>
      <c r="K340" s="27"/>
      <c r="L340" s="27"/>
      <c r="M340" s="27"/>
      <c r="N340" s="27"/>
      <c r="O340" s="27"/>
      <c r="P340" s="27"/>
      <c r="Q340" s="27"/>
      <c r="R340" s="27"/>
      <c r="S340" s="29" t="str">
        <f aca="false">IF(OR(B340="",C340=""),"",IF(COUNTIFS($B$5:B340,B340,$C$5:C340,C340)=1,1,0))</f>
        <v/>
      </c>
      <c r="T340" s="29" t="str">
        <f aca="false">IF(OR(B340="",C340="",E340=""),"",IF(COUNTIFS($B$5:B340,B340,$C$5:C340,C340,$E$5:E340,E340)=1,1,0))</f>
        <v/>
      </c>
      <c r="U340" s="28" t="str">
        <f aca="false">IF(COUNTA(B340:C340,E340:F340,H340:P340)=0,"",IF(OR(B340="",C340="",E340=""),"Check: date, player, and context required",IF(AND(ISNUMBER(J340),ISNUMBER(I340),J340&gt;I340),"Check: solid contacts &gt; swings",IF(AND(ISNUMBER(L340),ISNUMBER(K340),L340&gt;K340),"Check: correct &gt; assessed decisions",IF(AND(ISNUMBER(N340),ISNUMBER(M340),N340&gt;M340),"Check: intended &gt; assessed landings",IF(AND(ISNUMBER(J340),I340=""),"Check: solid contacts without swings","OK"))))))</f>
        <v/>
      </c>
    </row>
    <row r="341" customFormat="false" ht="15" hidden="false" customHeight="false" outlineLevel="0" collapsed="false">
      <c r="B341" s="26"/>
      <c r="C341" s="27"/>
      <c r="D341" s="28" t="str">
        <f aca="false">IF(C341="","",IFERROR(INDEX(Players!$C$5:$C$104,MATCH(C341,Players!$B$5:$B$104,0)),"ID not found"))</f>
        <v/>
      </c>
      <c r="E341" s="27"/>
      <c r="F341" s="27"/>
      <c r="G341" s="28" t="str">
        <f aca="false">IF(F341="","",IFERROR(INDEX('Hitting Drills'!$D$6:$D$45,MATCH(F341,'Hitting Drills'!$B$6:$B$45,0)),"Not a hitting drill ID"))</f>
        <v/>
      </c>
      <c r="H341" s="27"/>
      <c r="I341" s="27"/>
      <c r="J341" s="27"/>
      <c r="K341" s="27"/>
      <c r="L341" s="27"/>
      <c r="M341" s="27"/>
      <c r="N341" s="27"/>
      <c r="O341" s="27"/>
      <c r="P341" s="27"/>
      <c r="Q341" s="27"/>
      <c r="R341" s="27"/>
      <c r="S341" s="29" t="str">
        <f aca="false">IF(OR(B341="",C341=""),"",IF(COUNTIFS($B$5:B341,B341,$C$5:C341,C341)=1,1,0))</f>
        <v/>
      </c>
      <c r="T341" s="29" t="str">
        <f aca="false">IF(OR(B341="",C341="",E341=""),"",IF(COUNTIFS($B$5:B341,B341,$C$5:C341,C341,$E$5:E341,E341)=1,1,0))</f>
        <v/>
      </c>
      <c r="U341" s="28" t="str">
        <f aca="false">IF(COUNTA(B341:C341,E341:F341,H341:P341)=0,"",IF(OR(B341="",C341="",E341=""),"Check: date, player, and context required",IF(AND(ISNUMBER(J341),ISNUMBER(I341),J341&gt;I341),"Check: solid contacts &gt; swings",IF(AND(ISNUMBER(L341),ISNUMBER(K341),L341&gt;K341),"Check: correct &gt; assessed decisions",IF(AND(ISNUMBER(N341),ISNUMBER(M341),N341&gt;M341),"Check: intended &gt; assessed landings",IF(AND(ISNUMBER(J341),I341=""),"Check: solid contacts without swings","OK"))))))</f>
        <v/>
      </c>
    </row>
    <row r="342" customFormat="false" ht="15" hidden="false" customHeight="false" outlineLevel="0" collapsed="false">
      <c r="B342" s="26"/>
      <c r="C342" s="27"/>
      <c r="D342" s="28" t="str">
        <f aca="false">IF(C342="","",IFERROR(INDEX(Players!$C$5:$C$104,MATCH(C342,Players!$B$5:$B$104,0)),"ID not found"))</f>
        <v/>
      </c>
      <c r="E342" s="27"/>
      <c r="F342" s="27"/>
      <c r="G342" s="28" t="str">
        <f aca="false">IF(F342="","",IFERROR(INDEX('Hitting Drills'!$D$6:$D$45,MATCH(F342,'Hitting Drills'!$B$6:$B$45,0)),"Not a hitting drill ID"))</f>
        <v/>
      </c>
      <c r="H342" s="27"/>
      <c r="I342" s="27"/>
      <c r="J342" s="27"/>
      <c r="K342" s="27"/>
      <c r="L342" s="27"/>
      <c r="M342" s="27"/>
      <c r="N342" s="27"/>
      <c r="O342" s="27"/>
      <c r="P342" s="27"/>
      <c r="Q342" s="27"/>
      <c r="R342" s="27"/>
      <c r="S342" s="29" t="str">
        <f aca="false">IF(OR(B342="",C342=""),"",IF(COUNTIFS($B$5:B342,B342,$C$5:C342,C342)=1,1,0))</f>
        <v/>
      </c>
      <c r="T342" s="29" t="str">
        <f aca="false">IF(OR(B342="",C342="",E342=""),"",IF(COUNTIFS($B$5:B342,B342,$C$5:C342,C342,$E$5:E342,E342)=1,1,0))</f>
        <v/>
      </c>
      <c r="U342" s="28" t="str">
        <f aca="false">IF(COUNTA(B342:C342,E342:F342,H342:P342)=0,"",IF(OR(B342="",C342="",E342=""),"Check: date, player, and context required",IF(AND(ISNUMBER(J342),ISNUMBER(I342),J342&gt;I342),"Check: solid contacts &gt; swings",IF(AND(ISNUMBER(L342),ISNUMBER(K342),L342&gt;K342),"Check: correct &gt; assessed decisions",IF(AND(ISNUMBER(N342),ISNUMBER(M342),N342&gt;M342),"Check: intended &gt; assessed landings",IF(AND(ISNUMBER(J342),I342=""),"Check: solid contacts without swings","OK"))))))</f>
        <v/>
      </c>
    </row>
    <row r="343" customFormat="false" ht="15" hidden="false" customHeight="false" outlineLevel="0" collapsed="false">
      <c r="B343" s="26"/>
      <c r="C343" s="27"/>
      <c r="D343" s="28" t="str">
        <f aca="false">IF(C343="","",IFERROR(INDEX(Players!$C$5:$C$104,MATCH(C343,Players!$B$5:$B$104,0)),"ID not found"))</f>
        <v/>
      </c>
      <c r="E343" s="27"/>
      <c r="F343" s="27"/>
      <c r="G343" s="28" t="str">
        <f aca="false">IF(F343="","",IFERROR(INDEX('Hitting Drills'!$D$6:$D$45,MATCH(F343,'Hitting Drills'!$B$6:$B$45,0)),"Not a hitting drill ID"))</f>
        <v/>
      </c>
      <c r="H343" s="27"/>
      <c r="I343" s="27"/>
      <c r="J343" s="27"/>
      <c r="K343" s="27"/>
      <c r="L343" s="27"/>
      <c r="M343" s="27"/>
      <c r="N343" s="27"/>
      <c r="O343" s="27"/>
      <c r="P343" s="27"/>
      <c r="Q343" s="27"/>
      <c r="R343" s="27"/>
      <c r="S343" s="29" t="str">
        <f aca="false">IF(OR(B343="",C343=""),"",IF(COUNTIFS($B$5:B343,B343,$C$5:C343,C343)=1,1,0))</f>
        <v/>
      </c>
      <c r="T343" s="29" t="str">
        <f aca="false">IF(OR(B343="",C343="",E343=""),"",IF(COUNTIFS($B$5:B343,B343,$C$5:C343,C343,$E$5:E343,E343)=1,1,0))</f>
        <v/>
      </c>
      <c r="U343" s="28" t="str">
        <f aca="false">IF(COUNTA(B343:C343,E343:F343,H343:P343)=0,"",IF(OR(B343="",C343="",E343=""),"Check: date, player, and context required",IF(AND(ISNUMBER(J343),ISNUMBER(I343),J343&gt;I343),"Check: solid contacts &gt; swings",IF(AND(ISNUMBER(L343),ISNUMBER(K343),L343&gt;K343),"Check: correct &gt; assessed decisions",IF(AND(ISNUMBER(N343),ISNUMBER(M343),N343&gt;M343),"Check: intended &gt; assessed landings",IF(AND(ISNUMBER(J343),I343=""),"Check: solid contacts without swings","OK"))))))</f>
        <v/>
      </c>
    </row>
    <row r="344" customFormat="false" ht="15" hidden="false" customHeight="false" outlineLevel="0" collapsed="false">
      <c r="B344" s="26"/>
      <c r="C344" s="27"/>
      <c r="D344" s="28" t="str">
        <f aca="false">IF(C344="","",IFERROR(INDEX(Players!$C$5:$C$104,MATCH(C344,Players!$B$5:$B$104,0)),"ID not found"))</f>
        <v/>
      </c>
      <c r="E344" s="27"/>
      <c r="F344" s="27"/>
      <c r="G344" s="28" t="str">
        <f aca="false">IF(F344="","",IFERROR(INDEX('Hitting Drills'!$D$6:$D$45,MATCH(F344,'Hitting Drills'!$B$6:$B$45,0)),"Not a hitting drill ID"))</f>
        <v/>
      </c>
      <c r="H344" s="27"/>
      <c r="I344" s="27"/>
      <c r="J344" s="27"/>
      <c r="K344" s="27"/>
      <c r="L344" s="27"/>
      <c r="M344" s="27"/>
      <c r="N344" s="27"/>
      <c r="O344" s="27"/>
      <c r="P344" s="27"/>
      <c r="Q344" s="27"/>
      <c r="R344" s="27"/>
      <c r="S344" s="29" t="str">
        <f aca="false">IF(OR(B344="",C344=""),"",IF(COUNTIFS($B$5:B344,B344,$C$5:C344,C344)=1,1,0))</f>
        <v/>
      </c>
      <c r="T344" s="29" t="str">
        <f aca="false">IF(OR(B344="",C344="",E344=""),"",IF(COUNTIFS($B$5:B344,B344,$C$5:C344,C344,$E$5:E344,E344)=1,1,0))</f>
        <v/>
      </c>
      <c r="U344" s="28" t="str">
        <f aca="false">IF(COUNTA(B344:C344,E344:F344,H344:P344)=0,"",IF(OR(B344="",C344="",E344=""),"Check: date, player, and context required",IF(AND(ISNUMBER(J344),ISNUMBER(I344),J344&gt;I344),"Check: solid contacts &gt; swings",IF(AND(ISNUMBER(L344),ISNUMBER(K344),L344&gt;K344),"Check: correct &gt; assessed decisions",IF(AND(ISNUMBER(N344),ISNUMBER(M344),N344&gt;M344),"Check: intended &gt; assessed landings",IF(AND(ISNUMBER(J344),I344=""),"Check: solid contacts without swings","OK"))))))</f>
        <v/>
      </c>
    </row>
    <row r="345" customFormat="false" ht="15" hidden="false" customHeight="false" outlineLevel="0" collapsed="false">
      <c r="B345" s="26"/>
      <c r="C345" s="27"/>
      <c r="D345" s="28" t="str">
        <f aca="false">IF(C345="","",IFERROR(INDEX(Players!$C$5:$C$104,MATCH(C345,Players!$B$5:$B$104,0)),"ID not found"))</f>
        <v/>
      </c>
      <c r="E345" s="27"/>
      <c r="F345" s="27"/>
      <c r="G345" s="28" t="str">
        <f aca="false">IF(F345="","",IFERROR(INDEX('Hitting Drills'!$D$6:$D$45,MATCH(F345,'Hitting Drills'!$B$6:$B$45,0)),"Not a hitting drill ID"))</f>
        <v/>
      </c>
      <c r="H345" s="27"/>
      <c r="I345" s="27"/>
      <c r="J345" s="27"/>
      <c r="K345" s="27"/>
      <c r="L345" s="27"/>
      <c r="M345" s="27"/>
      <c r="N345" s="27"/>
      <c r="O345" s="27"/>
      <c r="P345" s="27"/>
      <c r="Q345" s="27"/>
      <c r="R345" s="27"/>
      <c r="S345" s="29" t="str">
        <f aca="false">IF(OR(B345="",C345=""),"",IF(COUNTIFS($B$5:B345,B345,$C$5:C345,C345)=1,1,0))</f>
        <v/>
      </c>
      <c r="T345" s="29" t="str">
        <f aca="false">IF(OR(B345="",C345="",E345=""),"",IF(COUNTIFS($B$5:B345,B345,$C$5:C345,C345,$E$5:E345,E345)=1,1,0))</f>
        <v/>
      </c>
      <c r="U345" s="28" t="str">
        <f aca="false">IF(COUNTA(B345:C345,E345:F345,H345:P345)=0,"",IF(OR(B345="",C345="",E345=""),"Check: date, player, and context required",IF(AND(ISNUMBER(J345),ISNUMBER(I345),J345&gt;I345),"Check: solid contacts &gt; swings",IF(AND(ISNUMBER(L345),ISNUMBER(K345),L345&gt;K345),"Check: correct &gt; assessed decisions",IF(AND(ISNUMBER(N345),ISNUMBER(M345),N345&gt;M345),"Check: intended &gt; assessed landings",IF(AND(ISNUMBER(J345),I345=""),"Check: solid contacts without swings","OK"))))))</f>
        <v/>
      </c>
    </row>
    <row r="346" customFormat="false" ht="15" hidden="false" customHeight="false" outlineLevel="0" collapsed="false">
      <c r="B346" s="26"/>
      <c r="C346" s="27"/>
      <c r="D346" s="28" t="str">
        <f aca="false">IF(C346="","",IFERROR(INDEX(Players!$C$5:$C$104,MATCH(C346,Players!$B$5:$B$104,0)),"ID not found"))</f>
        <v/>
      </c>
      <c r="E346" s="27"/>
      <c r="F346" s="27"/>
      <c r="G346" s="28" t="str">
        <f aca="false">IF(F346="","",IFERROR(INDEX('Hitting Drills'!$D$6:$D$45,MATCH(F346,'Hitting Drills'!$B$6:$B$45,0)),"Not a hitting drill ID"))</f>
        <v/>
      </c>
      <c r="H346" s="27"/>
      <c r="I346" s="27"/>
      <c r="J346" s="27"/>
      <c r="K346" s="27"/>
      <c r="L346" s="27"/>
      <c r="M346" s="27"/>
      <c r="N346" s="27"/>
      <c r="O346" s="27"/>
      <c r="P346" s="27"/>
      <c r="Q346" s="27"/>
      <c r="R346" s="27"/>
      <c r="S346" s="29" t="str">
        <f aca="false">IF(OR(B346="",C346=""),"",IF(COUNTIFS($B$5:B346,B346,$C$5:C346,C346)=1,1,0))</f>
        <v/>
      </c>
      <c r="T346" s="29" t="str">
        <f aca="false">IF(OR(B346="",C346="",E346=""),"",IF(COUNTIFS($B$5:B346,B346,$C$5:C346,C346,$E$5:E346,E346)=1,1,0))</f>
        <v/>
      </c>
      <c r="U346" s="28" t="str">
        <f aca="false">IF(COUNTA(B346:C346,E346:F346,H346:P346)=0,"",IF(OR(B346="",C346="",E346=""),"Check: date, player, and context required",IF(AND(ISNUMBER(J346),ISNUMBER(I346),J346&gt;I346),"Check: solid contacts &gt; swings",IF(AND(ISNUMBER(L346),ISNUMBER(K346),L346&gt;K346),"Check: correct &gt; assessed decisions",IF(AND(ISNUMBER(N346),ISNUMBER(M346),N346&gt;M346),"Check: intended &gt; assessed landings",IF(AND(ISNUMBER(J346),I346=""),"Check: solid contacts without swings","OK"))))))</f>
        <v/>
      </c>
    </row>
    <row r="347" customFormat="false" ht="15" hidden="false" customHeight="false" outlineLevel="0" collapsed="false">
      <c r="B347" s="26"/>
      <c r="C347" s="27"/>
      <c r="D347" s="28" t="str">
        <f aca="false">IF(C347="","",IFERROR(INDEX(Players!$C$5:$C$104,MATCH(C347,Players!$B$5:$B$104,0)),"ID not found"))</f>
        <v/>
      </c>
      <c r="E347" s="27"/>
      <c r="F347" s="27"/>
      <c r="G347" s="28" t="str">
        <f aca="false">IF(F347="","",IFERROR(INDEX('Hitting Drills'!$D$6:$D$45,MATCH(F347,'Hitting Drills'!$B$6:$B$45,0)),"Not a hitting drill ID"))</f>
        <v/>
      </c>
      <c r="H347" s="27"/>
      <c r="I347" s="27"/>
      <c r="J347" s="27"/>
      <c r="K347" s="27"/>
      <c r="L347" s="27"/>
      <c r="M347" s="27"/>
      <c r="N347" s="27"/>
      <c r="O347" s="27"/>
      <c r="P347" s="27"/>
      <c r="Q347" s="27"/>
      <c r="R347" s="27"/>
      <c r="S347" s="29" t="str">
        <f aca="false">IF(OR(B347="",C347=""),"",IF(COUNTIFS($B$5:B347,B347,$C$5:C347,C347)=1,1,0))</f>
        <v/>
      </c>
      <c r="T347" s="29" t="str">
        <f aca="false">IF(OR(B347="",C347="",E347=""),"",IF(COUNTIFS($B$5:B347,B347,$C$5:C347,C347,$E$5:E347,E347)=1,1,0))</f>
        <v/>
      </c>
      <c r="U347" s="28" t="str">
        <f aca="false">IF(COUNTA(B347:C347,E347:F347,H347:P347)=0,"",IF(OR(B347="",C347="",E347=""),"Check: date, player, and context required",IF(AND(ISNUMBER(J347),ISNUMBER(I347),J347&gt;I347),"Check: solid contacts &gt; swings",IF(AND(ISNUMBER(L347),ISNUMBER(K347),L347&gt;K347),"Check: correct &gt; assessed decisions",IF(AND(ISNUMBER(N347),ISNUMBER(M347),N347&gt;M347),"Check: intended &gt; assessed landings",IF(AND(ISNUMBER(J347),I347=""),"Check: solid contacts without swings","OK"))))))</f>
        <v/>
      </c>
    </row>
    <row r="348" customFormat="false" ht="15" hidden="false" customHeight="false" outlineLevel="0" collapsed="false">
      <c r="B348" s="26"/>
      <c r="C348" s="27"/>
      <c r="D348" s="28" t="str">
        <f aca="false">IF(C348="","",IFERROR(INDEX(Players!$C$5:$C$104,MATCH(C348,Players!$B$5:$B$104,0)),"ID not found"))</f>
        <v/>
      </c>
      <c r="E348" s="27"/>
      <c r="F348" s="27"/>
      <c r="G348" s="28" t="str">
        <f aca="false">IF(F348="","",IFERROR(INDEX('Hitting Drills'!$D$6:$D$45,MATCH(F348,'Hitting Drills'!$B$6:$B$45,0)),"Not a hitting drill ID"))</f>
        <v/>
      </c>
      <c r="H348" s="27"/>
      <c r="I348" s="27"/>
      <c r="J348" s="27"/>
      <c r="K348" s="27"/>
      <c r="L348" s="27"/>
      <c r="M348" s="27"/>
      <c r="N348" s="27"/>
      <c r="O348" s="27"/>
      <c r="P348" s="27"/>
      <c r="Q348" s="27"/>
      <c r="R348" s="27"/>
      <c r="S348" s="29" t="str">
        <f aca="false">IF(OR(B348="",C348=""),"",IF(COUNTIFS($B$5:B348,B348,$C$5:C348,C348)=1,1,0))</f>
        <v/>
      </c>
      <c r="T348" s="29" t="str">
        <f aca="false">IF(OR(B348="",C348="",E348=""),"",IF(COUNTIFS($B$5:B348,B348,$C$5:C348,C348,$E$5:E348,E348)=1,1,0))</f>
        <v/>
      </c>
      <c r="U348" s="28" t="str">
        <f aca="false">IF(COUNTA(B348:C348,E348:F348,H348:P348)=0,"",IF(OR(B348="",C348="",E348=""),"Check: date, player, and context required",IF(AND(ISNUMBER(J348),ISNUMBER(I348),J348&gt;I348),"Check: solid contacts &gt; swings",IF(AND(ISNUMBER(L348),ISNUMBER(K348),L348&gt;K348),"Check: correct &gt; assessed decisions",IF(AND(ISNUMBER(N348),ISNUMBER(M348),N348&gt;M348),"Check: intended &gt; assessed landings",IF(AND(ISNUMBER(J348),I348=""),"Check: solid contacts without swings","OK"))))))</f>
        <v/>
      </c>
    </row>
    <row r="349" customFormat="false" ht="15" hidden="false" customHeight="false" outlineLevel="0" collapsed="false">
      <c r="B349" s="26"/>
      <c r="C349" s="27"/>
      <c r="D349" s="28" t="str">
        <f aca="false">IF(C349="","",IFERROR(INDEX(Players!$C$5:$C$104,MATCH(C349,Players!$B$5:$B$104,0)),"ID not found"))</f>
        <v/>
      </c>
      <c r="E349" s="27"/>
      <c r="F349" s="27"/>
      <c r="G349" s="28" t="str">
        <f aca="false">IF(F349="","",IFERROR(INDEX('Hitting Drills'!$D$6:$D$45,MATCH(F349,'Hitting Drills'!$B$6:$B$45,0)),"Not a hitting drill ID"))</f>
        <v/>
      </c>
      <c r="H349" s="27"/>
      <c r="I349" s="27"/>
      <c r="J349" s="27"/>
      <c r="K349" s="27"/>
      <c r="L349" s="27"/>
      <c r="M349" s="27"/>
      <c r="N349" s="27"/>
      <c r="O349" s="27"/>
      <c r="P349" s="27"/>
      <c r="Q349" s="27"/>
      <c r="R349" s="27"/>
      <c r="S349" s="29" t="str">
        <f aca="false">IF(OR(B349="",C349=""),"",IF(COUNTIFS($B$5:B349,B349,$C$5:C349,C349)=1,1,0))</f>
        <v/>
      </c>
      <c r="T349" s="29" t="str">
        <f aca="false">IF(OR(B349="",C349="",E349=""),"",IF(COUNTIFS($B$5:B349,B349,$C$5:C349,C349,$E$5:E349,E349)=1,1,0))</f>
        <v/>
      </c>
      <c r="U349" s="28" t="str">
        <f aca="false">IF(COUNTA(B349:C349,E349:F349,H349:P349)=0,"",IF(OR(B349="",C349="",E349=""),"Check: date, player, and context required",IF(AND(ISNUMBER(J349),ISNUMBER(I349),J349&gt;I349),"Check: solid contacts &gt; swings",IF(AND(ISNUMBER(L349),ISNUMBER(K349),L349&gt;K349),"Check: correct &gt; assessed decisions",IF(AND(ISNUMBER(N349),ISNUMBER(M349),N349&gt;M349),"Check: intended &gt; assessed landings",IF(AND(ISNUMBER(J349),I349=""),"Check: solid contacts without swings","OK"))))))</f>
        <v/>
      </c>
    </row>
    <row r="350" customFormat="false" ht="15" hidden="false" customHeight="false" outlineLevel="0" collapsed="false">
      <c r="B350" s="26"/>
      <c r="C350" s="27"/>
      <c r="D350" s="28" t="str">
        <f aca="false">IF(C350="","",IFERROR(INDEX(Players!$C$5:$C$104,MATCH(C350,Players!$B$5:$B$104,0)),"ID not found"))</f>
        <v/>
      </c>
      <c r="E350" s="27"/>
      <c r="F350" s="27"/>
      <c r="G350" s="28" t="str">
        <f aca="false">IF(F350="","",IFERROR(INDEX('Hitting Drills'!$D$6:$D$45,MATCH(F350,'Hitting Drills'!$B$6:$B$45,0)),"Not a hitting drill ID"))</f>
        <v/>
      </c>
      <c r="H350" s="27"/>
      <c r="I350" s="27"/>
      <c r="J350" s="27"/>
      <c r="K350" s="27"/>
      <c r="L350" s="27"/>
      <c r="M350" s="27"/>
      <c r="N350" s="27"/>
      <c r="O350" s="27"/>
      <c r="P350" s="27"/>
      <c r="Q350" s="27"/>
      <c r="R350" s="27"/>
      <c r="S350" s="29" t="str">
        <f aca="false">IF(OR(B350="",C350=""),"",IF(COUNTIFS($B$5:B350,B350,$C$5:C350,C350)=1,1,0))</f>
        <v/>
      </c>
      <c r="T350" s="29" t="str">
        <f aca="false">IF(OR(B350="",C350="",E350=""),"",IF(COUNTIFS($B$5:B350,B350,$C$5:C350,C350,$E$5:E350,E350)=1,1,0))</f>
        <v/>
      </c>
      <c r="U350" s="28" t="str">
        <f aca="false">IF(COUNTA(B350:C350,E350:F350,H350:P350)=0,"",IF(OR(B350="",C350="",E350=""),"Check: date, player, and context required",IF(AND(ISNUMBER(J350),ISNUMBER(I350),J350&gt;I350),"Check: solid contacts &gt; swings",IF(AND(ISNUMBER(L350),ISNUMBER(K350),L350&gt;K350),"Check: correct &gt; assessed decisions",IF(AND(ISNUMBER(N350),ISNUMBER(M350),N350&gt;M350),"Check: intended &gt; assessed landings",IF(AND(ISNUMBER(J350),I350=""),"Check: solid contacts without swings","OK"))))))</f>
        <v/>
      </c>
    </row>
    <row r="351" customFormat="false" ht="15" hidden="false" customHeight="false" outlineLevel="0" collapsed="false">
      <c r="B351" s="26"/>
      <c r="C351" s="27"/>
      <c r="D351" s="28" t="str">
        <f aca="false">IF(C351="","",IFERROR(INDEX(Players!$C$5:$C$104,MATCH(C351,Players!$B$5:$B$104,0)),"ID not found"))</f>
        <v/>
      </c>
      <c r="E351" s="27"/>
      <c r="F351" s="27"/>
      <c r="G351" s="28" t="str">
        <f aca="false">IF(F351="","",IFERROR(INDEX('Hitting Drills'!$D$6:$D$45,MATCH(F351,'Hitting Drills'!$B$6:$B$45,0)),"Not a hitting drill ID"))</f>
        <v/>
      </c>
      <c r="H351" s="27"/>
      <c r="I351" s="27"/>
      <c r="J351" s="27"/>
      <c r="K351" s="27"/>
      <c r="L351" s="27"/>
      <c r="M351" s="27"/>
      <c r="N351" s="27"/>
      <c r="O351" s="27"/>
      <c r="P351" s="27"/>
      <c r="Q351" s="27"/>
      <c r="R351" s="27"/>
      <c r="S351" s="29" t="str">
        <f aca="false">IF(OR(B351="",C351=""),"",IF(COUNTIFS($B$5:B351,B351,$C$5:C351,C351)=1,1,0))</f>
        <v/>
      </c>
      <c r="T351" s="29" t="str">
        <f aca="false">IF(OR(B351="",C351="",E351=""),"",IF(COUNTIFS($B$5:B351,B351,$C$5:C351,C351,$E$5:E351,E351)=1,1,0))</f>
        <v/>
      </c>
      <c r="U351" s="28" t="str">
        <f aca="false">IF(COUNTA(B351:C351,E351:F351,H351:P351)=0,"",IF(OR(B351="",C351="",E351=""),"Check: date, player, and context required",IF(AND(ISNUMBER(J351),ISNUMBER(I351),J351&gt;I351),"Check: solid contacts &gt; swings",IF(AND(ISNUMBER(L351),ISNUMBER(K351),L351&gt;K351),"Check: correct &gt; assessed decisions",IF(AND(ISNUMBER(N351),ISNUMBER(M351),N351&gt;M351),"Check: intended &gt; assessed landings",IF(AND(ISNUMBER(J351),I351=""),"Check: solid contacts without swings","OK"))))))</f>
        <v/>
      </c>
    </row>
    <row r="352" customFormat="false" ht="15" hidden="false" customHeight="false" outlineLevel="0" collapsed="false">
      <c r="B352" s="26"/>
      <c r="C352" s="27"/>
      <c r="D352" s="28" t="str">
        <f aca="false">IF(C352="","",IFERROR(INDEX(Players!$C$5:$C$104,MATCH(C352,Players!$B$5:$B$104,0)),"ID not found"))</f>
        <v/>
      </c>
      <c r="E352" s="27"/>
      <c r="F352" s="27"/>
      <c r="G352" s="28" t="str">
        <f aca="false">IF(F352="","",IFERROR(INDEX('Hitting Drills'!$D$6:$D$45,MATCH(F352,'Hitting Drills'!$B$6:$B$45,0)),"Not a hitting drill ID"))</f>
        <v/>
      </c>
      <c r="H352" s="27"/>
      <c r="I352" s="27"/>
      <c r="J352" s="27"/>
      <c r="K352" s="27"/>
      <c r="L352" s="27"/>
      <c r="M352" s="27"/>
      <c r="N352" s="27"/>
      <c r="O352" s="27"/>
      <c r="P352" s="27"/>
      <c r="Q352" s="27"/>
      <c r="R352" s="27"/>
      <c r="S352" s="29" t="str">
        <f aca="false">IF(OR(B352="",C352=""),"",IF(COUNTIFS($B$5:B352,B352,$C$5:C352,C352)=1,1,0))</f>
        <v/>
      </c>
      <c r="T352" s="29" t="str">
        <f aca="false">IF(OR(B352="",C352="",E352=""),"",IF(COUNTIFS($B$5:B352,B352,$C$5:C352,C352,$E$5:E352,E352)=1,1,0))</f>
        <v/>
      </c>
      <c r="U352" s="28" t="str">
        <f aca="false">IF(COUNTA(B352:C352,E352:F352,H352:P352)=0,"",IF(OR(B352="",C352="",E352=""),"Check: date, player, and context required",IF(AND(ISNUMBER(J352),ISNUMBER(I352),J352&gt;I352),"Check: solid contacts &gt; swings",IF(AND(ISNUMBER(L352),ISNUMBER(K352),L352&gt;K352),"Check: correct &gt; assessed decisions",IF(AND(ISNUMBER(N352),ISNUMBER(M352),N352&gt;M352),"Check: intended &gt; assessed landings",IF(AND(ISNUMBER(J352),I352=""),"Check: solid contacts without swings","OK"))))))</f>
        <v/>
      </c>
    </row>
    <row r="353" customFormat="false" ht="15" hidden="false" customHeight="false" outlineLevel="0" collapsed="false">
      <c r="B353" s="26"/>
      <c r="C353" s="27"/>
      <c r="D353" s="28" t="str">
        <f aca="false">IF(C353="","",IFERROR(INDEX(Players!$C$5:$C$104,MATCH(C353,Players!$B$5:$B$104,0)),"ID not found"))</f>
        <v/>
      </c>
      <c r="E353" s="27"/>
      <c r="F353" s="27"/>
      <c r="G353" s="28" t="str">
        <f aca="false">IF(F353="","",IFERROR(INDEX('Hitting Drills'!$D$6:$D$45,MATCH(F353,'Hitting Drills'!$B$6:$B$45,0)),"Not a hitting drill ID"))</f>
        <v/>
      </c>
      <c r="H353" s="27"/>
      <c r="I353" s="27"/>
      <c r="J353" s="27"/>
      <c r="K353" s="27"/>
      <c r="L353" s="27"/>
      <c r="M353" s="27"/>
      <c r="N353" s="27"/>
      <c r="O353" s="27"/>
      <c r="P353" s="27"/>
      <c r="Q353" s="27"/>
      <c r="R353" s="27"/>
      <c r="S353" s="29" t="str">
        <f aca="false">IF(OR(B353="",C353=""),"",IF(COUNTIFS($B$5:B353,B353,$C$5:C353,C353)=1,1,0))</f>
        <v/>
      </c>
      <c r="T353" s="29" t="str">
        <f aca="false">IF(OR(B353="",C353="",E353=""),"",IF(COUNTIFS($B$5:B353,B353,$C$5:C353,C353,$E$5:E353,E353)=1,1,0))</f>
        <v/>
      </c>
      <c r="U353" s="28" t="str">
        <f aca="false">IF(COUNTA(B353:C353,E353:F353,H353:P353)=0,"",IF(OR(B353="",C353="",E353=""),"Check: date, player, and context required",IF(AND(ISNUMBER(J353),ISNUMBER(I353),J353&gt;I353),"Check: solid contacts &gt; swings",IF(AND(ISNUMBER(L353),ISNUMBER(K353),L353&gt;K353),"Check: correct &gt; assessed decisions",IF(AND(ISNUMBER(N353),ISNUMBER(M353),N353&gt;M353),"Check: intended &gt; assessed landings",IF(AND(ISNUMBER(J353),I353=""),"Check: solid contacts without swings","OK"))))))</f>
        <v/>
      </c>
    </row>
    <row r="354" customFormat="false" ht="15" hidden="false" customHeight="false" outlineLevel="0" collapsed="false">
      <c r="B354" s="26"/>
      <c r="C354" s="27"/>
      <c r="D354" s="28" t="str">
        <f aca="false">IF(C354="","",IFERROR(INDEX(Players!$C$5:$C$104,MATCH(C354,Players!$B$5:$B$104,0)),"ID not found"))</f>
        <v/>
      </c>
      <c r="E354" s="27"/>
      <c r="F354" s="27"/>
      <c r="G354" s="28" t="str">
        <f aca="false">IF(F354="","",IFERROR(INDEX('Hitting Drills'!$D$6:$D$45,MATCH(F354,'Hitting Drills'!$B$6:$B$45,0)),"Not a hitting drill ID"))</f>
        <v/>
      </c>
      <c r="H354" s="27"/>
      <c r="I354" s="27"/>
      <c r="J354" s="27"/>
      <c r="K354" s="27"/>
      <c r="L354" s="27"/>
      <c r="M354" s="27"/>
      <c r="N354" s="27"/>
      <c r="O354" s="27"/>
      <c r="P354" s="27"/>
      <c r="Q354" s="27"/>
      <c r="R354" s="27"/>
      <c r="S354" s="29" t="str">
        <f aca="false">IF(OR(B354="",C354=""),"",IF(COUNTIFS($B$5:B354,B354,$C$5:C354,C354)=1,1,0))</f>
        <v/>
      </c>
      <c r="T354" s="29" t="str">
        <f aca="false">IF(OR(B354="",C354="",E354=""),"",IF(COUNTIFS($B$5:B354,B354,$C$5:C354,C354,$E$5:E354,E354)=1,1,0))</f>
        <v/>
      </c>
      <c r="U354" s="28" t="str">
        <f aca="false">IF(COUNTA(B354:C354,E354:F354,H354:P354)=0,"",IF(OR(B354="",C354="",E354=""),"Check: date, player, and context required",IF(AND(ISNUMBER(J354),ISNUMBER(I354),J354&gt;I354),"Check: solid contacts &gt; swings",IF(AND(ISNUMBER(L354),ISNUMBER(K354),L354&gt;K354),"Check: correct &gt; assessed decisions",IF(AND(ISNUMBER(N354),ISNUMBER(M354),N354&gt;M354),"Check: intended &gt; assessed landings",IF(AND(ISNUMBER(J354),I354=""),"Check: solid contacts without swings","OK"))))))</f>
        <v/>
      </c>
    </row>
    <row r="355" customFormat="false" ht="15" hidden="false" customHeight="false" outlineLevel="0" collapsed="false">
      <c r="B355" s="26"/>
      <c r="C355" s="27"/>
      <c r="D355" s="28" t="str">
        <f aca="false">IF(C355="","",IFERROR(INDEX(Players!$C$5:$C$104,MATCH(C355,Players!$B$5:$B$104,0)),"ID not found"))</f>
        <v/>
      </c>
      <c r="E355" s="27"/>
      <c r="F355" s="27"/>
      <c r="G355" s="28" t="str">
        <f aca="false">IF(F355="","",IFERROR(INDEX('Hitting Drills'!$D$6:$D$45,MATCH(F355,'Hitting Drills'!$B$6:$B$45,0)),"Not a hitting drill ID"))</f>
        <v/>
      </c>
      <c r="H355" s="27"/>
      <c r="I355" s="27"/>
      <c r="J355" s="27"/>
      <c r="K355" s="27"/>
      <c r="L355" s="27"/>
      <c r="M355" s="27"/>
      <c r="N355" s="27"/>
      <c r="O355" s="27"/>
      <c r="P355" s="27"/>
      <c r="Q355" s="27"/>
      <c r="R355" s="27"/>
      <c r="S355" s="29" t="str">
        <f aca="false">IF(OR(B355="",C355=""),"",IF(COUNTIFS($B$5:B355,B355,$C$5:C355,C355)=1,1,0))</f>
        <v/>
      </c>
      <c r="T355" s="29" t="str">
        <f aca="false">IF(OR(B355="",C355="",E355=""),"",IF(COUNTIFS($B$5:B355,B355,$C$5:C355,C355,$E$5:E355,E355)=1,1,0))</f>
        <v/>
      </c>
      <c r="U355" s="28" t="str">
        <f aca="false">IF(COUNTA(B355:C355,E355:F355,H355:P355)=0,"",IF(OR(B355="",C355="",E355=""),"Check: date, player, and context required",IF(AND(ISNUMBER(J355),ISNUMBER(I355),J355&gt;I355),"Check: solid contacts &gt; swings",IF(AND(ISNUMBER(L355),ISNUMBER(K355),L355&gt;K355),"Check: correct &gt; assessed decisions",IF(AND(ISNUMBER(N355),ISNUMBER(M355),N355&gt;M355),"Check: intended &gt; assessed landings",IF(AND(ISNUMBER(J355),I355=""),"Check: solid contacts without swings","OK"))))))</f>
        <v/>
      </c>
    </row>
    <row r="356" customFormat="false" ht="15" hidden="false" customHeight="false" outlineLevel="0" collapsed="false">
      <c r="B356" s="26"/>
      <c r="C356" s="27"/>
      <c r="D356" s="28" t="str">
        <f aca="false">IF(C356="","",IFERROR(INDEX(Players!$C$5:$C$104,MATCH(C356,Players!$B$5:$B$104,0)),"ID not found"))</f>
        <v/>
      </c>
      <c r="E356" s="27"/>
      <c r="F356" s="27"/>
      <c r="G356" s="28" t="str">
        <f aca="false">IF(F356="","",IFERROR(INDEX('Hitting Drills'!$D$6:$D$45,MATCH(F356,'Hitting Drills'!$B$6:$B$45,0)),"Not a hitting drill ID"))</f>
        <v/>
      </c>
      <c r="H356" s="27"/>
      <c r="I356" s="27"/>
      <c r="J356" s="27"/>
      <c r="K356" s="27"/>
      <c r="L356" s="27"/>
      <c r="M356" s="27"/>
      <c r="N356" s="27"/>
      <c r="O356" s="27"/>
      <c r="P356" s="27"/>
      <c r="Q356" s="27"/>
      <c r="R356" s="27"/>
      <c r="S356" s="29" t="str">
        <f aca="false">IF(OR(B356="",C356=""),"",IF(COUNTIFS($B$5:B356,B356,$C$5:C356,C356)=1,1,0))</f>
        <v/>
      </c>
      <c r="T356" s="29" t="str">
        <f aca="false">IF(OR(B356="",C356="",E356=""),"",IF(COUNTIFS($B$5:B356,B356,$C$5:C356,C356,$E$5:E356,E356)=1,1,0))</f>
        <v/>
      </c>
      <c r="U356" s="28" t="str">
        <f aca="false">IF(COUNTA(B356:C356,E356:F356,H356:P356)=0,"",IF(OR(B356="",C356="",E356=""),"Check: date, player, and context required",IF(AND(ISNUMBER(J356),ISNUMBER(I356),J356&gt;I356),"Check: solid contacts &gt; swings",IF(AND(ISNUMBER(L356),ISNUMBER(K356),L356&gt;K356),"Check: correct &gt; assessed decisions",IF(AND(ISNUMBER(N356),ISNUMBER(M356),N356&gt;M356),"Check: intended &gt; assessed landings",IF(AND(ISNUMBER(J356),I356=""),"Check: solid contacts without swings","OK"))))))</f>
        <v/>
      </c>
    </row>
    <row r="357" customFormat="false" ht="15" hidden="false" customHeight="false" outlineLevel="0" collapsed="false">
      <c r="B357" s="26"/>
      <c r="C357" s="27"/>
      <c r="D357" s="28" t="str">
        <f aca="false">IF(C357="","",IFERROR(INDEX(Players!$C$5:$C$104,MATCH(C357,Players!$B$5:$B$104,0)),"ID not found"))</f>
        <v/>
      </c>
      <c r="E357" s="27"/>
      <c r="F357" s="27"/>
      <c r="G357" s="28" t="str">
        <f aca="false">IF(F357="","",IFERROR(INDEX('Hitting Drills'!$D$6:$D$45,MATCH(F357,'Hitting Drills'!$B$6:$B$45,0)),"Not a hitting drill ID"))</f>
        <v/>
      </c>
      <c r="H357" s="27"/>
      <c r="I357" s="27"/>
      <c r="J357" s="27"/>
      <c r="K357" s="27"/>
      <c r="L357" s="27"/>
      <c r="M357" s="27"/>
      <c r="N357" s="27"/>
      <c r="O357" s="27"/>
      <c r="P357" s="27"/>
      <c r="Q357" s="27"/>
      <c r="R357" s="27"/>
      <c r="S357" s="29" t="str">
        <f aca="false">IF(OR(B357="",C357=""),"",IF(COUNTIFS($B$5:B357,B357,$C$5:C357,C357)=1,1,0))</f>
        <v/>
      </c>
      <c r="T357" s="29" t="str">
        <f aca="false">IF(OR(B357="",C357="",E357=""),"",IF(COUNTIFS($B$5:B357,B357,$C$5:C357,C357,$E$5:E357,E357)=1,1,0))</f>
        <v/>
      </c>
      <c r="U357" s="28" t="str">
        <f aca="false">IF(COUNTA(B357:C357,E357:F357,H357:P357)=0,"",IF(OR(B357="",C357="",E357=""),"Check: date, player, and context required",IF(AND(ISNUMBER(J357),ISNUMBER(I357),J357&gt;I357),"Check: solid contacts &gt; swings",IF(AND(ISNUMBER(L357),ISNUMBER(K357),L357&gt;K357),"Check: correct &gt; assessed decisions",IF(AND(ISNUMBER(N357),ISNUMBER(M357),N357&gt;M357),"Check: intended &gt; assessed landings",IF(AND(ISNUMBER(J357),I357=""),"Check: solid contacts without swings","OK"))))))</f>
        <v/>
      </c>
    </row>
    <row r="358" customFormat="false" ht="15" hidden="false" customHeight="false" outlineLevel="0" collapsed="false">
      <c r="B358" s="26"/>
      <c r="C358" s="27"/>
      <c r="D358" s="28" t="str">
        <f aca="false">IF(C358="","",IFERROR(INDEX(Players!$C$5:$C$104,MATCH(C358,Players!$B$5:$B$104,0)),"ID not found"))</f>
        <v/>
      </c>
      <c r="E358" s="27"/>
      <c r="F358" s="27"/>
      <c r="G358" s="28" t="str">
        <f aca="false">IF(F358="","",IFERROR(INDEX('Hitting Drills'!$D$6:$D$45,MATCH(F358,'Hitting Drills'!$B$6:$B$45,0)),"Not a hitting drill ID"))</f>
        <v/>
      </c>
      <c r="H358" s="27"/>
      <c r="I358" s="27"/>
      <c r="J358" s="27"/>
      <c r="K358" s="27"/>
      <c r="L358" s="27"/>
      <c r="M358" s="27"/>
      <c r="N358" s="27"/>
      <c r="O358" s="27"/>
      <c r="P358" s="27"/>
      <c r="Q358" s="27"/>
      <c r="R358" s="27"/>
      <c r="S358" s="29" t="str">
        <f aca="false">IF(OR(B358="",C358=""),"",IF(COUNTIFS($B$5:B358,B358,$C$5:C358,C358)=1,1,0))</f>
        <v/>
      </c>
      <c r="T358" s="29" t="str">
        <f aca="false">IF(OR(B358="",C358="",E358=""),"",IF(COUNTIFS($B$5:B358,B358,$C$5:C358,C358,$E$5:E358,E358)=1,1,0))</f>
        <v/>
      </c>
      <c r="U358" s="28" t="str">
        <f aca="false">IF(COUNTA(B358:C358,E358:F358,H358:P358)=0,"",IF(OR(B358="",C358="",E358=""),"Check: date, player, and context required",IF(AND(ISNUMBER(J358),ISNUMBER(I358),J358&gt;I358),"Check: solid contacts &gt; swings",IF(AND(ISNUMBER(L358),ISNUMBER(K358),L358&gt;K358),"Check: correct &gt; assessed decisions",IF(AND(ISNUMBER(N358),ISNUMBER(M358),N358&gt;M358),"Check: intended &gt; assessed landings",IF(AND(ISNUMBER(J358),I358=""),"Check: solid contacts without swings","OK"))))))</f>
        <v/>
      </c>
    </row>
    <row r="359" customFormat="false" ht="15" hidden="false" customHeight="false" outlineLevel="0" collapsed="false">
      <c r="B359" s="26"/>
      <c r="C359" s="27"/>
      <c r="D359" s="28" t="str">
        <f aca="false">IF(C359="","",IFERROR(INDEX(Players!$C$5:$C$104,MATCH(C359,Players!$B$5:$B$104,0)),"ID not found"))</f>
        <v/>
      </c>
      <c r="E359" s="27"/>
      <c r="F359" s="27"/>
      <c r="G359" s="28" t="str">
        <f aca="false">IF(F359="","",IFERROR(INDEX('Hitting Drills'!$D$6:$D$45,MATCH(F359,'Hitting Drills'!$B$6:$B$45,0)),"Not a hitting drill ID"))</f>
        <v/>
      </c>
      <c r="H359" s="27"/>
      <c r="I359" s="27"/>
      <c r="J359" s="27"/>
      <c r="K359" s="27"/>
      <c r="L359" s="27"/>
      <c r="M359" s="27"/>
      <c r="N359" s="27"/>
      <c r="O359" s="27"/>
      <c r="P359" s="27"/>
      <c r="Q359" s="27"/>
      <c r="R359" s="27"/>
      <c r="S359" s="29" t="str">
        <f aca="false">IF(OR(B359="",C359=""),"",IF(COUNTIFS($B$5:B359,B359,$C$5:C359,C359)=1,1,0))</f>
        <v/>
      </c>
      <c r="T359" s="29" t="str">
        <f aca="false">IF(OR(B359="",C359="",E359=""),"",IF(COUNTIFS($B$5:B359,B359,$C$5:C359,C359,$E$5:E359,E359)=1,1,0))</f>
        <v/>
      </c>
      <c r="U359" s="28" t="str">
        <f aca="false">IF(COUNTA(B359:C359,E359:F359,H359:P359)=0,"",IF(OR(B359="",C359="",E359=""),"Check: date, player, and context required",IF(AND(ISNUMBER(J359),ISNUMBER(I359),J359&gt;I359),"Check: solid contacts &gt; swings",IF(AND(ISNUMBER(L359),ISNUMBER(K359),L359&gt;K359),"Check: correct &gt; assessed decisions",IF(AND(ISNUMBER(N359),ISNUMBER(M359),N359&gt;M359),"Check: intended &gt; assessed landings",IF(AND(ISNUMBER(J359),I359=""),"Check: solid contacts without swings","OK"))))))</f>
        <v/>
      </c>
    </row>
    <row r="360" customFormat="false" ht="15" hidden="false" customHeight="false" outlineLevel="0" collapsed="false">
      <c r="B360" s="26"/>
      <c r="C360" s="27"/>
      <c r="D360" s="28" t="str">
        <f aca="false">IF(C360="","",IFERROR(INDEX(Players!$C$5:$C$104,MATCH(C360,Players!$B$5:$B$104,0)),"ID not found"))</f>
        <v/>
      </c>
      <c r="E360" s="27"/>
      <c r="F360" s="27"/>
      <c r="G360" s="28" t="str">
        <f aca="false">IF(F360="","",IFERROR(INDEX('Hitting Drills'!$D$6:$D$45,MATCH(F360,'Hitting Drills'!$B$6:$B$45,0)),"Not a hitting drill ID"))</f>
        <v/>
      </c>
      <c r="H360" s="27"/>
      <c r="I360" s="27"/>
      <c r="J360" s="27"/>
      <c r="K360" s="27"/>
      <c r="L360" s="27"/>
      <c r="M360" s="27"/>
      <c r="N360" s="27"/>
      <c r="O360" s="27"/>
      <c r="P360" s="27"/>
      <c r="Q360" s="27"/>
      <c r="R360" s="27"/>
      <c r="S360" s="29" t="str">
        <f aca="false">IF(OR(B360="",C360=""),"",IF(COUNTIFS($B$5:B360,B360,$C$5:C360,C360)=1,1,0))</f>
        <v/>
      </c>
      <c r="T360" s="29" t="str">
        <f aca="false">IF(OR(B360="",C360="",E360=""),"",IF(COUNTIFS($B$5:B360,B360,$C$5:C360,C360,$E$5:E360,E360)=1,1,0))</f>
        <v/>
      </c>
      <c r="U360" s="28" t="str">
        <f aca="false">IF(COUNTA(B360:C360,E360:F360,H360:P360)=0,"",IF(OR(B360="",C360="",E360=""),"Check: date, player, and context required",IF(AND(ISNUMBER(J360),ISNUMBER(I360),J360&gt;I360),"Check: solid contacts &gt; swings",IF(AND(ISNUMBER(L360),ISNUMBER(K360),L360&gt;K360),"Check: correct &gt; assessed decisions",IF(AND(ISNUMBER(N360),ISNUMBER(M360),N360&gt;M360),"Check: intended &gt; assessed landings",IF(AND(ISNUMBER(J360),I360=""),"Check: solid contacts without swings","OK"))))))</f>
        <v/>
      </c>
    </row>
    <row r="361" customFormat="false" ht="15" hidden="false" customHeight="false" outlineLevel="0" collapsed="false">
      <c r="B361" s="26"/>
      <c r="C361" s="27"/>
      <c r="D361" s="28" t="str">
        <f aca="false">IF(C361="","",IFERROR(INDEX(Players!$C$5:$C$104,MATCH(C361,Players!$B$5:$B$104,0)),"ID not found"))</f>
        <v/>
      </c>
      <c r="E361" s="27"/>
      <c r="F361" s="27"/>
      <c r="G361" s="28" t="str">
        <f aca="false">IF(F361="","",IFERROR(INDEX('Hitting Drills'!$D$6:$D$45,MATCH(F361,'Hitting Drills'!$B$6:$B$45,0)),"Not a hitting drill ID"))</f>
        <v/>
      </c>
      <c r="H361" s="27"/>
      <c r="I361" s="27"/>
      <c r="J361" s="27"/>
      <c r="K361" s="27"/>
      <c r="L361" s="27"/>
      <c r="M361" s="27"/>
      <c r="N361" s="27"/>
      <c r="O361" s="27"/>
      <c r="P361" s="27"/>
      <c r="Q361" s="27"/>
      <c r="R361" s="27"/>
      <c r="S361" s="29" t="str">
        <f aca="false">IF(OR(B361="",C361=""),"",IF(COUNTIFS($B$5:B361,B361,$C$5:C361,C361)=1,1,0))</f>
        <v/>
      </c>
      <c r="T361" s="29" t="str">
        <f aca="false">IF(OR(B361="",C361="",E361=""),"",IF(COUNTIFS($B$5:B361,B361,$C$5:C361,C361,$E$5:E361,E361)=1,1,0))</f>
        <v/>
      </c>
      <c r="U361" s="28" t="str">
        <f aca="false">IF(COUNTA(B361:C361,E361:F361,H361:P361)=0,"",IF(OR(B361="",C361="",E361=""),"Check: date, player, and context required",IF(AND(ISNUMBER(J361),ISNUMBER(I361),J361&gt;I361),"Check: solid contacts &gt; swings",IF(AND(ISNUMBER(L361),ISNUMBER(K361),L361&gt;K361),"Check: correct &gt; assessed decisions",IF(AND(ISNUMBER(N361),ISNUMBER(M361),N361&gt;M361),"Check: intended &gt; assessed landings",IF(AND(ISNUMBER(J361),I361=""),"Check: solid contacts without swings","OK"))))))</f>
        <v/>
      </c>
    </row>
    <row r="362" customFormat="false" ht="15" hidden="false" customHeight="false" outlineLevel="0" collapsed="false">
      <c r="B362" s="26"/>
      <c r="C362" s="27"/>
      <c r="D362" s="28" t="str">
        <f aca="false">IF(C362="","",IFERROR(INDEX(Players!$C$5:$C$104,MATCH(C362,Players!$B$5:$B$104,0)),"ID not found"))</f>
        <v/>
      </c>
      <c r="E362" s="27"/>
      <c r="F362" s="27"/>
      <c r="G362" s="28" t="str">
        <f aca="false">IF(F362="","",IFERROR(INDEX('Hitting Drills'!$D$6:$D$45,MATCH(F362,'Hitting Drills'!$B$6:$B$45,0)),"Not a hitting drill ID"))</f>
        <v/>
      </c>
      <c r="H362" s="27"/>
      <c r="I362" s="27"/>
      <c r="J362" s="27"/>
      <c r="K362" s="27"/>
      <c r="L362" s="27"/>
      <c r="M362" s="27"/>
      <c r="N362" s="27"/>
      <c r="O362" s="27"/>
      <c r="P362" s="27"/>
      <c r="Q362" s="27"/>
      <c r="R362" s="27"/>
      <c r="S362" s="29" t="str">
        <f aca="false">IF(OR(B362="",C362=""),"",IF(COUNTIFS($B$5:B362,B362,$C$5:C362,C362)=1,1,0))</f>
        <v/>
      </c>
      <c r="T362" s="29" t="str">
        <f aca="false">IF(OR(B362="",C362="",E362=""),"",IF(COUNTIFS($B$5:B362,B362,$C$5:C362,C362,$E$5:E362,E362)=1,1,0))</f>
        <v/>
      </c>
      <c r="U362" s="28" t="str">
        <f aca="false">IF(COUNTA(B362:C362,E362:F362,H362:P362)=0,"",IF(OR(B362="",C362="",E362=""),"Check: date, player, and context required",IF(AND(ISNUMBER(J362),ISNUMBER(I362),J362&gt;I362),"Check: solid contacts &gt; swings",IF(AND(ISNUMBER(L362),ISNUMBER(K362),L362&gt;K362),"Check: correct &gt; assessed decisions",IF(AND(ISNUMBER(N362),ISNUMBER(M362),N362&gt;M362),"Check: intended &gt; assessed landings",IF(AND(ISNUMBER(J362),I362=""),"Check: solid contacts without swings","OK"))))))</f>
        <v/>
      </c>
    </row>
    <row r="363" customFormat="false" ht="15" hidden="false" customHeight="false" outlineLevel="0" collapsed="false">
      <c r="B363" s="26"/>
      <c r="C363" s="27"/>
      <c r="D363" s="28" t="str">
        <f aca="false">IF(C363="","",IFERROR(INDEX(Players!$C$5:$C$104,MATCH(C363,Players!$B$5:$B$104,0)),"ID not found"))</f>
        <v/>
      </c>
      <c r="E363" s="27"/>
      <c r="F363" s="27"/>
      <c r="G363" s="28" t="str">
        <f aca="false">IF(F363="","",IFERROR(INDEX('Hitting Drills'!$D$6:$D$45,MATCH(F363,'Hitting Drills'!$B$6:$B$45,0)),"Not a hitting drill ID"))</f>
        <v/>
      </c>
      <c r="H363" s="27"/>
      <c r="I363" s="27"/>
      <c r="J363" s="27"/>
      <c r="K363" s="27"/>
      <c r="L363" s="27"/>
      <c r="M363" s="27"/>
      <c r="N363" s="27"/>
      <c r="O363" s="27"/>
      <c r="P363" s="27"/>
      <c r="Q363" s="27"/>
      <c r="R363" s="27"/>
      <c r="S363" s="29" t="str">
        <f aca="false">IF(OR(B363="",C363=""),"",IF(COUNTIFS($B$5:B363,B363,$C$5:C363,C363)=1,1,0))</f>
        <v/>
      </c>
      <c r="T363" s="29" t="str">
        <f aca="false">IF(OR(B363="",C363="",E363=""),"",IF(COUNTIFS($B$5:B363,B363,$C$5:C363,C363,$E$5:E363,E363)=1,1,0))</f>
        <v/>
      </c>
      <c r="U363" s="28" t="str">
        <f aca="false">IF(COUNTA(B363:C363,E363:F363,H363:P363)=0,"",IF(OR(B363="",C363="",E363=""),"Check: date, player, and context required",IF(AND(ISNUMBER(J363),ISNUMBER(I363),J363&gt;I363),"Check: solid contacts &gt; swings",IF(AND(ISNUMBER(L363),ISNUMBER(K363),L363&gt;K363),"Check: correct &gt; assessed decisions",IF(AND(ISNUMBER(N363),ISNUMBER(M363),N363&gt;M363),"Check: intended &gt; assessed landings",IF(AND(ISNUMBER(J363),I363=""),"Check: solid contacts without swings","OK"))))))</f>
        <v/>
      </c>
    </row>
    <row r="364" customFormat="false" ht="15" hidden="false" customHeight="false" outlineLevel="0" collapsed="false">
      <c r="B364" s="26"/>
      <c r="C364" s="27"/>
      <c r="D364" s="28" t="str">
        <f aca="false">IF(C364="","",IFERROR(INDEX(Players!$C$5:$C$104,MATCH(C364,Players!$B$5:$B$104,0)),"ID not found"))</f>
        <v/>
      </c>
      <c r="E364" s="27"/>
      <c r="F364" s="27"/>
      <c r="G364" s="28" t="str">
        <f aca="false">IF(F364="","",IFERROR(INDEX('Hitting Drills'!$D$6:$D$45,MATCH(F364,'Hitting Drills'!$B$6:$B$45,0)),"Not a hitting drill ID"))</f>
        <v/>
      </c>
      <c r="H364" s="27"/>
      <c r="I364" s="27"/>
      <c r="J364" s="27"/>
      <c r="K364" s="27"/>
      <c r="L364" s="27"/>
      <c r="M364" s="27"/>
      <c r="N364" s="27"/>
      <c r="O364" s="27"/>
      <c r="P364" s="27"/>
      <c r="Q364" s="27"/>
      <c r="R364" s="27"/>
      <c r="S364" s="29" t="str">
        <f aca="false">IF(OR(B364="",C364=""),"",IF(COUNTIFS($B$5:B364,B364,$C$5:C364,C364)=1,1,0))</f>
        <v/>
      </c>
      <c r="T364" s="29" t="str">
        <f aca="false">IF(OR(B364="",C364="",E364=""),"",IF(COUNTIFS($B$5:B364,B364,$C$5:C364,C364,$E$5:E364,E364)=1,1,0))</f>
        <v/>
      </c>
      <c r="U364" s="28" t="str">
        <f aca="false">IF(COUNTA(B364:C364,E364:F364,H364:P364)=0,"",IF(OR(B364="",C364="",E364=""),"Check: date, player, and context required",IF(AND(ISNUMBER(J364),ISNUMBER(I364),J364&gt;I364),"Check: solid contacts &gt; swings",IF(AND(ISNUMBER(L364),ISNUMBER(K364),L364&gt;K364),"Check: correct &gt; assessed decisions",IF(AND(ISNUMBER(N364),ISNUMBER(M364),N364&gt;M364),"Check: intended &gt; assessed landings",IF(AND(ISNUMBER(J364),I364=""),"Check: solid contacts without swings","OK"))))))</f>
        <v/>
      </c>
    </row>
    <row r="365" customFormat="false" ht="15" hidden="false" customHeight="false" outlineLevel="0" collapsed="false">
      <c r="B365" s="26"/>
      <c r="C365" s="27"/>
      <c r="D365" s="28" t="str">
        <f aca="false">IF(C365="","",IFERROR(INDEX(Players!$C$5:$C$104,MATCH(C365,Players!$B$5:$B$104,0)),"ID not found"))</f>
        <v/>
      </c>
      <c r="E365" s="27"/>
      <c r="F365" s="27"/>
      <c r="G365" s="28" t="str">
        <f aca="false">IF(F365="","",IFERROR(INDEX('Hitting Drills'!$D$6:$D$45,MATCH(F365,'Hitting Drills'!$B$6:$B$45,0)),"Not a hitting drill ID"))</f>
        <v/>
      </c>
      <c r="H365" s="27"/>
      <c r="I365" s="27"/>
      <c r="J365" s="27"/>
      <c r="K365" s="27"/>
      <c r="L365" s="27"/>
      <c r="M365" s="27"/>
      <c r="N365" s="27"/>
      <c r="O365" s="27"/>
      <c r="P365" s="27"/>
      <c r="Q365" s="27"/>
      <c r="R365" s="27"/>
      <c r="S365" s="29" t="str">
        <f aca="false">IF(OR(B365="",C365=""),"",IF(COUNTIFS($B$5:B365,B365,$C$5:C365,C365)=1,1,0))</f>
        <v/>
      </c>
      <c r="T365" s="29" t="str">
        <f aca="false">IF(OR(B365="",C365="",E365=""),"",IF(COUNTIFS($B$5:B365,B365,$C$5:C365,C365,$E$5:E365,E365)=1,1,0))</f>
        <v/>
      </c>
      <c r="U365" s="28" t="str">
        <f aca="false">IF(COUNTA(B365:C365,E365:F365,H365:P365)=0,"",IF(OR(B365="",C365="",E365=""),"Check: date, player, and context required",IF(AND(ISNUMBER(J365),ISNUMBER(I365),J365&gt;I365),"Check: solid contacts &gt; swings",IF(AND(ISNUMBER(L365),ISNUMBER(K365),L365&gt;K365),"Check: correct &gt; assessed decisions",IF(AND(ISNUMBER(N365),ISNUMBER(M365),N365&gt;M365),"Check: intended &gt; assessed landings",IF(AND(ISNUMBER(J365),I365=""),"Check: solid contacts without swings","OK"))))))</f>
        <v/>
      </c>
    </row>
    <row r="366" customFormat="false" ht="15" hidden="false" customHeight="false" outlineLevel="0" collapsed="false">
      <c r="B366" s="26"/>
      <c r="C366" s="27"/>
      <c r="D366" s="28" t="str">
        <f aca="false">IF(C366="","",IFERROR(INDEX(Players!$C$5:$C$104,MATCH(C366,Players!$B$5:$B$104,0)),"ID not found"))</f>
        <v/>
      </c>
      <c r="E366" s="27"/>
      <c r="F366" s="27"/>
      <c r="G366" s="28" t="str">
        <f aca="false">IF(F366="","",IFERROR(INDEX('Hitting Drills'!$D$6:$D$45,MATCH(F366,'Hitting Drills'!$B$6:$B$45,0)),"Not a hitting drill ID"))</f>
        <v/>
      </c>
      <c r="H366" s="27"/>
      <c r="I366" s="27"/>
      <c r="J366" s="27"/>
      <c r="K366" s="27"/>
      <c r="L366" s="27"/>
      <c r="M366" s="27"/>
      <c r="N366" s="27"/>
      <c r="O366" s="27"/>
      <c r="P366" s="27"/>
      <c r="Q366" s="27"/>
      <c r="R366" s="27"/>
      <c r="S366" s="29" t="str">
        <f aca="false">IF(OR(B366="",C366=""),"",IF(COUNTIFS($B$5:B366,B366,$C$5:C366,C366)=1,1,0))</f>
        <v/>
      </c>
      <c r="T366" s="29" t="str">
        <f aca="false">IF(OR(B366="",C366="",E366=""),"",IF(COUNTIFS($B$5:B366,B366,$C$5:C366,C366,$E$5:E366,E366)=1,1,0))</f>
        <v/>
      </c>
      <c r="U366" s="28" t="str">
        <f aca="false">IF(COUNTA(B366:C366,E366:F366,H366:P366)=0,"",IF(OR(B366="",C366="",E366=""),"Check: date, player, and context required",IF(AND(ISNUMBER(J366),ISNUMBER(I366),J366&gt;I366),"Check: solid contacts &gt; swings",IF(AND(ISNUMBER(L366),ISNUMBER(K366),L366&gt;K366),"Check: correct &gt; assessed decisions",IF(AND(ISNUMBER(N366),ISNUMBER(M366),N366&gt;M366),"Check: intended &gt; assessed landings",IF(AND(ISNUMBER(J366),I366=""),"Check: solid contacts without swings","OK"))))))</f>
        <v/>
      </c>
    </row>
    <row r="367" customFormat="false" ht="15" hidden="false" customHeight="false" outlineLevel="0" collapsed="false">
      <c r="B367" s="26"/>
      <c r="C367" s="27"/>
      <c r="D367" s="28" t="str">
        <f aca="false">IF(C367="","",IFERROR(INDEX(Players!$C$5:$C$104,MATCH(C367,Players!$B$5:$B$104,0)),"ID not found"))</f>
        <v/>
      </c>
      <c r="E367" s="27"/>
      <c r="F367" s="27"/>
      <c r="G367" s="28" t="str">
        <f aca="false">IF(F367="","",IFERROR(INDEX('Hitting Drills'!$D$6:$D$45,MATCH(F367,'Hitting Drills'!$B$6:$B$45,0)),"Not a hitting drill ID"))</f>
        <v/>
      </c>
      <c r="H367" s="27"/>
      <c r="I367" s="27"/>
      <c r="J367" s="27"/>
      <c r="K367" s="27"/>
      <c r="L367" s="27"/>
      <c r="M367" s="27"/>
      <c r="N367" s="27"/>
      <c r="O367" s="27"/>
      <c r="P367" s="27"/>
      <c r="Q367" s="27"/>
      <c r="R367" s="27"/>
      <c r="S367" s="29" t="str">
        <f aca="false">IF(OR(B367="",C367=""),"",IF(COUNTIFS($B$5:B367,B367,$C$5:C367,C367)=1,1,0))</f>
        <v/>
      </c>
      <c r="T367" s="29" t="str">
        <f aca="false">IF(OR(B367="",C367="",E367=""),"",IF(COUNTIFS($B$5:B367,B367,$C$5:C367,C367,$E$5:E367,E367)=1,1,0))</f>
        <v/>
      </c>
      <c r="U367" s="28" t="str">
        <f aca="false">IF(COUNTA(B367:C367,E367:F367,H367:P367)=0,"",IF(OR(B367="",C367="",E367=""),"Check: date, player, and context required",IF(AND(ISNUMBER(J367),ISNUMBER(I367),J367&gt;I367),"Check: solid contacts &gt; swings",IF(AND(ISNUMBER(L367),ISNUMBER(K367),L367&gt;K367),"Check: correct &gt; assessed decisions",IF(AND(ISNUMBER(N367),ISNUMBER(M367),N367&gt;M367),"Check: intended &gt; assessed landings",IF(AND(ISNUMBER(J367),I367=""),"Check: solid contacts without swings","OK"))))))</f>
        <v/>
      </c>
    </row>
    <row r="368" customFormat="false" ht="15" hidden="false" customHeight="false" outlineLevel="0" collapsed="false">
      <c r="B368" s="26"/>
      <c r="C368" s="27"/>
      <c r="D368" s="28" t="str">
        <f aca="false">IF(C368="","",IFERROR(INDEX(Players!$C$5:$C$104,MATCH(C368,Players!$B$5:$B$104,0)),"ID not found"))</f>
        <v/>
      </c>
      <c r="E368" s="27"/>
      <c r="F368" s="27"/>
      <c r="G368" s="28" t="str">
        <f aca="false">IF(F368="","",IFERROR(INDEX('Hitting Drills'!$D$6:$D$45,MATCH(F368,'Hitting Drills'!$B$6:$B$45,0)),"Not a hitting drill ID"))</f>
        <v/>
      </c>
      <c r="H368" s="27"/>
      <c r="I368" s="27"/>
      <c r="J368" s="27"/>
      <c r="K368" s="27"/>
      <c r="L368" s="27"/>
      <c r="M368" s="27"/>
      <c r="N368" s="27"/>
      <c r="O368" s="27"/>
      <c r="P368" s="27"/>
      <c r="Q368" s="27"/>
      <c r="R368" s="27"/>
      <c r="S368" s="29" t="str">
        <f aca="false">IF(OR(B368="",C368=""),"",IF(COUNTIFS($B$5:B368,B368,$C$5:C368,C368)=1,1,0))</f>
        <v/>
      </c>
      <c r="T368" s="29" t="str">
        <f aca="false">IF(OR(B368="",C368="",E368=""),"",IF(COUNTIFS($B$5:B368,B368,$C$5:C368,C368,$E$5:E368,E368)=1,1,0))</f>
        <v/>
      </c>
      <c r="U368" s="28" t="str">
        <f aca="false">IF(COUNTA(B368:C368,E368:F368,H368:P368)=0,"",IF(OR(B368="",C368="",E368=""),"Check: date, player, and context required",IF(AND(ISNUMBER(J368),ISNUMBER(I368),J368&gt;I368),"Check: solid contacts &gt; swings",IF(AND(ISNUMBER(L368),ISNUMBER(K368),L368&gt;K368),"Check: correct &gt; assessed decisions",IF(AND(ISNUMBER(N368),ISNUMBER(M368),N368&gt;M368),"Check: intended &gt; assessed landings",IF(AND(ISNUMBER(J368),I368=""),"Check: solid contacts without swings","OK"))))))</f>
        <v/>
      </c>
    </row>
    <row r="369" customFormat="false" ht="15" hidden="false" customHeight="false" outlineLevel="0" collapsed="false">
      <c r="B369" s="26"/>
      <c r="C369" s="27"/>
      <c r="D369" s="28" t="str">
        <f aca="false">IF(C369="","",IFERROR(INDEX(Players!$C$5:$C$104,MATCH(C369,Players!$B$5:$B$104,0)),"ID not found"))</f>
        <v/>
      </c>
      <c r="E369" s="27"/>
      <c r="F369" s="27"/>
      <c r="G369" s="28" t="str">
        <f aca="false">IF(F369="","",IFERROR(INDEX('Hitting Drills'!$D$6:$D$45,MATCH(F369,'Hitting Drills'!$B$6:$B$45,0)),"Not a hitting drill ID"))</f>
        <v/>
      </c>
      <c r="H369" s="27"/>
      <c r="I369" s="27"/>
      <c r="J369" s="27"/>
      <c r="K369" s="27"/>
      <c r="L369" s="27"/>
      <c r="M369" s="27"/>
      <c r="N369" s="27"/>
      <c r="O369" s="27"/>
      <c r="P369" s="27"/>
      <c r="Q369" s="27"/>
      <c r="R369" s="27"/>
      <c r="S369" s="29" t="str">
        <f aca="false">IF(OR(B369="",C369=""),"",IF(COUNTIFS($B$5:B369,B369,$C$5:C369,C369)=1,1,0))</f>
        <v/>
      </c>
      <c r="T369" s="29" t="str">
        <f aca="false">IF(OR(B369="",C369="",E369=""),"",IF(COUNTIFS($B$5:B369,B369,$C$5:C369,C369,$E$5:E369,E369)=1,1,0))</f>
        <v/>
      </c>
      <c r="U369" s="28" t="str">
        <f aca="false">IF(COUNTA(B369:C369,E369:F369,H369:P369)=0,"",IF(OR(B369="",C369="",E369=""),"Check: date, player, and context required",IF(AND(ISNUMBER(J369),ISNUMBER(I369),J369&gt;I369),"Check: solid contacts &gt; swings",IF(AND(ISNUMBER(L369),ISNUMBER(K369),L369&gt;K369),"Check: correct &gt; assessed decisions",IF(AND(ISNUMBER(N369),ISNUMBER(M369),N369&gt;M369),"Check: intended &gt; assessed landings",IF(AND(ISNUMBER(J369),I369=""),"Check: solid contacts without swings","OK"))))))</f>
        <v/>
      </c>
    </row>
    <row r="370" customFormat="false" ht="15" hidden="false" customHeight="false" outlineLevel="0" collapsed="false">
      <c r="B370" s="26"/>
      <c r="C370" s="27"/>
      <c r="D370" s="28" t="str">
        <f aca="false">IF(C370="","",IFERROR(INDEX(Players!$C$5:$C$104,MATCH(C370,Players!$B$5:$B$104,0)),"ID not found"))</f>
        <v/>
      </c>
      <c r="E370" s="27"/>
      <c r="F370" s="27"/>
      <c r="G370" s="28" t="str">
        <f aca="false">IF(F370="","",IFERROR(INDEX('Hitting Drills'!$D$6:$D$45,MATCH(F370,'Hitting Drills'!$B$6:$B$45,0)),"Not a hitting drill ID"))</f>
        <v/>
      </c>
      <c r="H370" s="27"/>
      <c r="I370" s="27"/>
      <c r="J370" s="27"/>
      <c r="K370" s="27"/>
      <c r="L370" s="27"/>
      <c r="M370" s="27"/>
      <c r="N370" s="27"/>
      <c r="O370" s="27"/>
      <c r="P370" s="27"/>
      <c r="Q370" s="27"/>
      <c r="R370" s="27"/>
      <c r="S370" s="29" t="str">
        <f aca="false">IF(OR(B370="",C370=""),"",IF(COUNTIFS($B$5:B370,B370,$C$5:C370,C370)=1,1,0))</f>
        <v/>
      </c>
      <c r="T370" s="29" t="str">
        <f aca="false">IF(OR(B370="",C370="",E370=""),"",IF(COUNTIFS($B$5:B370,B370,$C$5:C370,C370,$E$5:E370,E370)=1,1,0))</f>
        <v/>
      </c>
      <c r="U370" s="28" t="str">
        <f aca="false">IF(COUNTA(B370:C370,E370:F370,H370:P370)=0,"",IF(OR(B370="",C370="",E370=""),"Check: date, player, and context required",IF(AND(ISNUMBER(J370),ISNUMBER(I370),J370&gt;I370),"Check: solid contacts &gt; swings",IF(AND(ISNUMBER(L370),ISNUMBER(K370),L370&gt;K370),"Check: correct &gt; assessed decisions",IF(AND(ISNUMBER(N370),ISNUMBER(M370),N370&gt;M370),"Check: intended &gt; assessed landings",IF(AND(ISNUMBER(J370),I370=""),"Check: solid contacts without swings","OK"))))))</f>
        <v/>
      </c>
    </row>
    <row r="371" customFormat="false" ht="15" hidden="false" customHeight="false" outlineLevel="0" collapsed="false">
      <c r="B371" s="26"/>
      <c r="C371" s="27"/>
      <c r="D371" s="28" t="str">
        <f aca="false">IF(C371="","",IFERROR(INDEX(Players!$C$5:$C$104,MATCH(C371,Players!$B$5:$B$104,0)),"ID not found"))</f>
        <v/>
      </c>
      <c r="E371" s="27"/>
      <c r="F371" s="27"/>
      <c r="G371" s="28" t="str">
        <f aca="false">IF(F371="","",IFERROR(INDEX('Hitting Drills'!$D$6:$D$45,MATCH(F371,'Hitting Drills'!$B$6:$B$45,0)),"Not a hitting drill ID"))</f>
        <v/>
      </c>
      <c r="H371" s="27"/>
      <c r="I371" s="27"/>
      <c r="J371" s="27"/>
      <c r="K371" s="27"/>
      <c r="L371" s="27"/>
      <c r="M371" s="27"/>
      <c r="N371" s="27"/>
      <c r="O371" s="27"/>
      <c r="P371" s="27"/>
      <c r="Q371" s="27"/>
      <c r="R371" s="27"/>
      <c r="S371" s="29" t="str">
        <f aca="false">IF(OR(B371="",C371=""),"",IF(COUNTIFS($B$5:B371,B371,$C$5:C371,C371)=1,1,0))</f>
        <v/>
      </c>
      <c r="T371" s="29" t="str">
        <f aca="false">IF(OR(B371="",C371="",E371=""),"",IF(COUNTIFS($B$5:B371,B371,$C$5:C371,C371,$E$5:E371,E371)=1,1,0))</f>
        <v/>
      </c>
      <c r="U371" s="28" t="str">
        <f aca="false">IF(COUNTA(B371:C371,E371:F371,H371:P371)=0,"",IF(OR(B371="",C371="",E371=""),"Check: date, player, and context required",IF(AND(ISNUMBER(J371),ISNUMBER(I371),J371&gt;I371),"Check: solid contacts &gt; swings",IF(AND(ISNUMBER(L371),ISNUMBER(K371),L371&gt;K371),"Check: correct &gt; assessed decisions",IF(AND(ISNUMBER(N371),ISNUMBER(M371),N371&gt;M371),"Check: intended &gt; assessed landings",IF(AND(ISNUMBER(J371),I371=""),"Check: solid contacts without swings","OK"))))))</f>
        <v/>
      </c>
    </row>
    <row r="372" customFormat="false" ht="15" hidden="false" customHeight="false" outlineLevel="0" collapsed="false">
      <c r="B372" s="26"/>
      <c r="C372" s="27"/>
      <c r="D372" s="28" t="str">
        <f aca="false">IF(C372="","",IFERROR(INDEX(Players!$C$5:$C$104,MATCH(C372,Players!$B$5:$B$104,0)),"ID not found"))</f>
        <v/>
      </c>
      <c r="E372" s="27"/>
      <c r="F372" s="27"/>
      <c r="G372" s="28" t="str">
        <f aca="false">IF(F372="","",IFERROR(INDEX('Hitting Drills'!$D$6:$D$45,MATCH(F372,'Hitting Drills'!$B$6:$B$45,0)),"Not a hitting drill ID"))</f>
        <v/>
      </c>
      <c r="H372" s="27"/>
      <c r="I372" s="27"/>
      <c r="J372" s="27"/>
      <c r="K372" s="27"/>
      <c r="L372" s="27"/>
      <c r="M372" s="27"/>
      <c r="N372" s="27"/>
      <c r="O372" s="27"/>
      <c r="P372" s="27"/>
      <c r="Q372" s="27"/>
      <c r="R372" s="27"/>
      <c r="S372" s="29" t="str">
        <f aca="false">IF(OR(B372="",C372=""),"",IF(COUNTIFS($B$5:B372,B372,$C$5:C372,C372)=1,1,0))</f>
        <v/>
      </c>
      <c r="T372" s="29" t="str">
        <f aca="false">IF(OR(B372="",C372="",E372=""),"",IF(COUNTIFS($B$5:B372,B372,$C$5:C372,C372,$E$5:E372,E372)=1,1,0))</f>
        <v/>
      </c>
      <c r="U372" s="28" t="str">
        <f aca="false">IF(COUNTA(B372:C372,E372:F372,H372:P372)=0,"",IF(OR(B372="",C372="",E372=""),"Check: date, player, and context required",IF(AND(ISNUMBER(J372),ISNUMBER(I372),J372&gt;I372),"Check: solid contacts &gt; swings",IF(AND(ISNUMBER(L372),ISNUMBER(K372),L372&gt;K372),"Check: correct &gt; assessed decisions",IF(AND(ISNUMBER(N372),ISNUMBER(M372),N372&gt;M372),"Check: intended &gt; assessed landings",IF(AND(ISNUMBER(J372),I372=""),"Check: solid contacts without swings","OK"))))))</f>
        <v/>
      </c>
    </row>
    <row r="373" customFormat="false" ht="15" hidden="false" customHeight="false" outlineLevel="0" collapsed="false">
      <c r="B373" s="26"/>
      <c r="C373" s="27"/>
      <c r="D373" s="28" t="str">
        <f aca="false">IF(C373="","",IFERROR(INDEX(Players!$C$5:$C$104,MATCH(C373,Players!$B$5:$B$104,0)),"ID not found"))</f>
        <v/>
      </c>
      <c r="E373" s="27"/>
      <c r="F373" s="27"/>
      <c r="G373" s="28" t="str">
        <f aca="false">IF(F373="","",IFERROR(INDEX('Hitting Drills'!$D$6:$D$45,MATCH(F373,'Hitting Drills'!$B$6:$B$45,0)),"Not a hitting drill ID"))</f>
        <v/>
      </c>
      <c r="H373" s="27"/>
      <c r="I373" s="27"/>
      <c r="J373" s="27"/>
      <c r="K373" s="27"/>
      <c r="L373" s="27"/>
      <c r="M373" s="27"/>
      <c r="N373" s="27"/>
      <c r="O373" s="27"/>
      <c r="P373" s="27"/>
      <c r="Q373" s="27"/>
      <c r="R373" s="27"/>
      <c r="S373" s="29" t="str">
        <f aca="false">IF(OR(B373="",C373=""),"",IF(COUNTIFS($B$5:B373,B373,$C$5:C373,C373)=1,1,0))</f>
        <v/>
      </c>
      <c r="T373" s="29" t="str">
        <f aca="false">IF(OR(B373="",C373="",E373=""),"",IF(COUNTIFS($B$5:B373,B373,$C$5:C373,C373,$E$5:E373,E373)=1,1,0))</f>
        <v/>
      </c>
      <c r="U373" s="28" t="str">
        <f aca="false">IF(COUNTA(B373:C373,E373:F373,H373:P373)=0,"",IF(OR(B373="",C373="",E373=""),"Check: date, player, and context required",IF(AND(ISNUMBER(J373),ISNUMBER(I373),J373&gt;I373),"Check: solid contacts &gt; swings",IF(AND(ISNUMBER(L373),ISNUMBER(K373),L373&gt;K373),"Check: correct &gt; assessed decisions",IF(AND(ISNUMBER(N373),ISNUMBER(M373),N373&gt;M373),"Check: intended &gt; assessed landings",IF(AND(ISNUMBER(J373),I373=""),"Check: solid contacts without swings","OK"))))))</f>
        <v/>
      </c>
    </row>
    <row r="374" customFormat="false" ht="15" hidden="false" customHeight="false" outlineLevel="0" collapsed="false">
      <c r="B374" s="26"/>
      <c r="C374" s="27"/>
      <c r="D374" s="28" t="str">
        <f aca="false">IF(C374="","",IFERROR(INDEX(Players!$C$5:$C$104,MATCH(C374,Players!$B$5:$B$104,0)),"ID not found"))</f>
        <v/>
      </c>
      <c r="E374" s="27"/>
      <c r="F374" s="27"/>
      <c r="G374" s="28" t="str">
        <f aca="false">IF(F374="","",IFERROR(INDEX('Hitting Drills'!$D$6:$D$45,MATCH(F374,'Hitting Drills'!$B$6:$B$45,0)),"Not a hitting drill ID"))</f>
        <v/>
      </c>
      <c r="H374" s="27"/>
      <c r="I374" s="27"/>
      <c r="J374" s="27"/>
      <c r="K374" s="27"/>
      <c r="L374" s="27"/>
      <c r="M374" s="27"/>
      <c r="N374" s="27"/>
      <c r="O374" s="27"/>
      <c r="P374" s="27"/>
      <c r="Q374" s="27"/>
      <c r="R374" s="27"/>
      <c r="S374" s="29" t="str">
        <f aca="false">IF(OR(B374="",C374=""),"",IF(COUNTIFS($B$5:B374,B374,$C$5:C374,C374)=1,1,0))</f>
        <v/>
      </c>
      <c r="T374" s="29" t="str">
        <f aca="false">IF(OR(B374="",C374="",E374=""),"",IF(COUNTIFS($B$5:B374,B374,$C$5:C374,C374,$E$5:E374,E374)=1,1,0))</f>
        <v/>
      </c>
      <c r="U374" s="28" t="str">
        <f aca="false">IF(COUNTA(B374:C374,E374:F374,H374:P374)=0,"",IF(OR(B374="",C374="",E374=""),"Check: date, player, and context required",IF(AND(ISNUMBER(J374),ISNUMBER(I374),J374&gt;I374),"Check: solid contacts &gt; swings",IF(AND(ISNUMBER(L374),ISNUMBER(K374),L374&gt;K374),"Check: correct &gt; assessed decisions",IF(AND(ISNUMBER(N374),ISNUMBER(M374),N374&gt;M374),"Check: intended &gt; assessed landings",IF(AND(ISNUMBER(J374),I374=""),"Check: solid contacts without swings","OK"))))))</f>
        <v/>
      </c>
    </row>
    <row r="375" customFormat="false" ht="15" hidden="false" customHeight="false" outlineLevel="0" collapsed="false">
      <c r="B375" s="26"/>
      <c r="C375" s="27"/>
      <c r="D375" s="28" t="str">
        <f aca="false">IF(C375="","",IFERROR(INDEX(Players!$C$5:$C$104,MATCH(C375,Players!$B$5:$B$104,0)),"ID not found"))</f>
        <v/>
      </c>
      <c r="E375" s="27"/>
      <c r="F375" s="27"/>
      <c r="G375" s="28" t="str">
        <f aca="false">IF(F375="","",IFERROR(INDEX('Hitting Drills'!$D$6:$D$45,MATCH(F375,'Hitting Drills'!$B$6:$B$45,0)),"Not a hitting drill ID"))</f>
        <v/>
      </c>
      <c r="H375" s="27"/>
      <c r="I375" s="27"/>
      <c r="J375" s="27"/>
      <c r="K375" s="27"/>
      <c r="L375" s="27"/>
      <c r="M375" s="27"/>
      <c r="N375" s="27"/>
      <c r="O375" s="27"/>
      <c r="P375" s="27"/>
      <c r="Q375" s="27"/>
      <c r="R375" s="27"/>
      <c r="S375" s="29" t="str">
        <f aca="false">IF(OR(B375="",C375=""),"",IF(COUNTIFS($B$5:B375,B375,$C$5:C375,C375)=1,1,0))</f>
        <v/>
      </c>
      <c r="T375" s="29" t="str">
        <f aca="false">IF(OR(B375="",C375="",E375=""),"",IF(COUNTIFS($B$5:B375,B375,$C$5:C375,C375,$E$5:E375,E375)=1,1,0))</f>
        <v/>
      </c>
      <c r="U375" s="28" t="str">
        <f aca="false">IF(COUNTA(B375:C375,E375:F375,H375:P375)=0,"",IF(OR(B375="",C375="",E375=""),"Check: date, player, and context required",IF(AND(ISNUMBER(J375),ISNUMBER(I375),J375&gt;I375),"Check: solid contacts &gt; swings",IF(AND(ISNUMBER(L375),ISNUMBER(K375),L375&gt;K375),"Check: correct &gt; assessed decisions",IF(AND(ISNUMBER(N375),ISNUMBER(M375),N375&gt;M375),"Check: intended &gt; assessed landings",IF(AND(ISNUMBER(J375),I375=""),"Check: solid contacts without swings","OK"))))))</f>
        <v/>
      </c>
    </row>
    <row r="376" customFormat="false" ht="15" hidden="false" customHeight="false" outlineLevel="0" collapsed="false">
      <c r="B376" s="26"/>
      <c r="C376" s="27"/>
      <c r="D376" s="28" t="str">
        <f aca="false">IF(C376="","",IFERROR(INDEX(Players!$C$5:$C$104,MATCH(C376,Players!$B$5:$B$104,0)),"ID not found"))</f>
        <v/>
      </c>
      <c r="E376" s="27"/>
      <c r="F376" s="27"/>
      <c r="G376" s="28" t="str">
        <f aca="false">IF(F376="","",IFERROR(INDEX('Hitting Drills'!$D$6:$D$45,MATCH(F376,'Hitting Drills'!$B$6:$B$45,0)),"Not a hitting drill ID"))</f>
        <v/>
      </c>
      <c r="H376" s="27"/>
      <c r="I376" s="27"/>
      <c r="J376" s="27"/>
      <c r="K376" s="27"/>
      <c r="L376" s="27"/>
      <c r="M376" s="27"/>
      <c r="N376" s="27"/>
      <c r="O376" s="27"/>
      <c r="P376" s="27"/>
      <c r="Q376" s="27"/>
      <c r="R376" s="27"/>
      <c r="S376" s="29" t="str">
        <f aca="false">IF(OR(B376="",C376=""),"",IF(COUNTIFS($B$5:B376,B376,$C$5:C376,C376)=1,1,0))</f>
        <v/>
      </c>
      <c r="T376" s="29" t="str">
        <f aca="false">IF(OR(B376="",C376="",E376=""),"",IF(COUNTIFS($B$5:B376,B376,$C$5:C376,C376,$E$5:E376,E376)=1,1,0))</f>
        <v/>
      </c>
      <c r="U376" s="28" t="str">
        <f aca="false">IF(COUNTA(B376:C376,E376:F376,H376:P376)=0,"",IF(OR(B376="",C376="",E376=""),"Check: date, player, and context required",IF(AND(ISNUMBER(J376),ISNUMBER(I376),J376&gt;I376),"Check: solid contacts &gt; swings",IF(AND(ISNUMBER(L376),ISNUMBER(K376),L376&gt;K376),"Check: correct &gt; assessed decisions",IF(AND(ISNUMBER(N376),ISNUMBER(M376),N376&gt;M376),"Check: intended &gt; assessed landings",IF(AND(ISNUMBER(J376),I376=""),"Check: solid contacts without swings","OK"))))))</f>
        <v/>
      </c>
    </row>
    <row r="377" customFormat="false" ht="15" hidden="false" customHeight="false" outlineLevel="0" collapsed="false">
      <c r="B377" s="26"/>
      <c r="C377" s="27"/>
      <c r="D377" s="28" t="str">
        <f aca="false">IF(C377="","",IFERROR(INDEX(Players!$C$5:$C$104,MATCH(C377,Players!$B$5:$B$104,0)),"ID not found"))</f>
        <v/>
      </c>
      <c r="E377" s="27"/>
      <c r="F377" s="27"/>
      <c r="G377" s="28" t="str">
        <f aca="false">IF(F377="","",IFERROR(INDEX('Hitting Drills'!$D$6:$D$45,MATCH(F377,'Hitting Drills'!$B$6:$B$45,0)),"Not a hitting drill ID"))</f>
        <v/>
      </c>
      <c r="H377" s="27"/>
      <c r="I377" s="27"/>
      <c r="J377" s="27"/>
      <c r="K377" s="27"/>
      <c r="L377" s="27"/>
      <c r="M377" s="27"/>
      <c r="N377" s="27"/>
      <c r="O377" s="27"/>
      <c r="P377" s="27"/>
      <c r="Q377" s="27"/>
      <c r="R377" s="27"/>
      <c r="S377" s="29" t="str">
        <f aca="false">IF(OR(B377="",C377=""),"",IF(COUNTIFS($B$5:B377,B377,$C$5:C377,C377)=1,1,0))</f>
        <v/>
      </c>
      <c r="T377" s="29" t="str">
        <f aca="false">IF(OR(B377="",C377="",E377=""),"",IF(COUNTIFS($B$5:B377,B377,$C$5:C377,C377,$E$5:E377,E377)=1,1,0))</f>
        <v/>
      </c>
      <c r="U377" s="28" t="str">
        <f aca="false">IF(COUNTA(B377:C377,E377:F377,H377:P377)=0,"",IF(OR(B377="",C377="",E377=""),"Check: date, player, and context required",IF(AND(ISNUMBER(J377),ISNUMBER(I377),J377&gt;I377),"Check: solid contacts &gt; swings",IF(AND(ISNUMBER(L377),ISNUMBER(K377),L377&gt;K377),"Check: correct &gt; assessed decisions",IF(AND(ISNUMBER(N377),ISNUMBER(M377),N377&gt;M377),"Check: intended &gt; assessed landings",IF(AND(ISNUMBER(J377),I377=""),"Check: solid contacts without swings","OK"))))))</f>
        <v/>
      </c>
    </row>
    <row r="378" customFormat="false" ht="15" hidden="false" customHeight="false" outlineLevel="0" collapsed="false">
      <c r="B378" s="26"/>
      <c r="C378" s="27"/>
      <c r="D378" s="28" t="str">
        <f aca="false">IF(C378="","",IFERROR(INDEX(Players!$C$5:$C$104,MATCH(C378,Players!$B$5:$B$104,0)),"ID not found"))</f>
        <v/>
      </c>
      <c r="E378" s="27"/>
      <c r="F378" s="27"/>
      <c r="G378" s="28" t="str">
        <f aca="false">IF(F378="","",IFERROR(INDEX('Hitting Drills'!$D$6:$D$45,MATCH(F378,'Hitting Drills'!$B$6:$B$45,0)),"Not a hitting drill ID"))</f>
        <v/>
      </c>
      <c r="H378" s="27"/>
      <c r="I378" s="27"/>
      <c r="J378" s="27"/>
      <c r="K378" s="27"/>
      <c r="L378" s="27"/>
      <c r="M378" s="27"/>
      <c r="N378" s="27"/>
      <c r="O378" s="27"/>
      <c r="P378" s="27"/>
      <c r="Q378" s="27"/>
      <c r="R378" s="27"/>
      <c r="S378" s="29" t="str">
        <f aca="false">IF(OR(B378="",C378=""),"",IF(COUNTIFS($B$5:B378,B378,$C$5:C378,C378)=1,1,0))</f>
        <v/>
      </c>
      <c r="T378" s="29" t="str">
        <f aca="false">IF(OR(B378="",C378="",E378=""),"",IF(COUNTIFS($B$5:B378,B378,$C$5:C378,C378,$E$5:E378,E378)=1,1,0))</f>
        <v/>
      </c>
      <c r="U378" s="28" t="str">
        <f aca="false">IF(COUNTA(B378:C378,E378:F378,H378:P378)=0,"",IF(OR(B378="",C378="",E378=""),"Check: date, player, and context required",IF(AND(ISNUMBER(J378),ISNUMBER(I378),J378&gt;I378),"Check: solid contacts &gt; swings",IF(AND(ISNUMBER(L378),ISNUMBER(K378),L378&gt;K378),"Check: correct &gt; assessed decisions",IF(AND(ISNUMBER(N378),ISNUMBER(M378),N378&gt;M378),"Check: intended &gt; assessed landings",IF(AND(ISNUMBER(J378),I378=""),"Check: solid contacts without swings","OK"))))))</f>
        <v/>
      </c>
    </row>
    <row r="379" customFormat="false" ht="15" hidden="false" customHeight="false" outlineLevel="0" collapsed="false">
      <c r="B379" s="26"/>
      <c r="C379" s="27"/>
      <c r="D379" s="28" t="str">
        <f aca="false">IF(C379="","",IFERROR(INDEX(Players!$C$5:$C$104,MATCH(C379,Players!$B$5:$B$104,0)),"ID not found"))</f>
        <v/>
      </c>
      <c r="E379" s="27"/>
      <c r="F379" s="27"/>
      <c r="G379" s="28" t="str">
        <f aca="false">IF(F379="","",IFERROR(INDEX('Hitting Drills'!$D$6:$D$45,MATCH(F379,'Hitting Drills'!$B$6:$B$45,0)),"Not a hitting drill ID"))</f>
        <v/>
      </c>
      <c r="H379" s="27"/>
      <c r="I379" s="27"/>
      <c r="J379" s="27"/>
      <c r="K379" s="27"/>
      <c r="L379" s="27"/>
      <c r="M379" s="27"/>
      <c r="N379" s="27"/>
      <c r="O379" s="27"/>
      <c r="P379" s="27"/>
      <c r="Q379" s="27"/>
      <c r="R379" s="27"/>
      <c r="S379" s="29" t="str">
        <f aca="false">IF(OR(B379="",C379=""),"",IF(COUNTIFS($B$5:B379,B379,$C$5:C379,C379)=1,1,0))</f>
        <v/>
      </c>
      <c r="T379" s="29" t="str">
        <f aca="false">IF(OR(B379="",C379="",E379=""),"",IF(COUNTIFS($B$5:B379,B379,$C$5:C379,C379,$E$5:E379,E379)=1,1,0))</f>
        <v/>
      </c>
      <c r="U379" s="28" t="str">
        <f aca="false">IF(COUNTA(B379:C379,E379:F379,H379:P379)=0,"",IF(OR(B379="",C379="",E379=""),"Check: date, player, and context required",IF(AND(ISNUMBER(J379),ISNUMBER(I379),J379&gt;I379),"Check: solid contacts &gt; swings",IF(AND(ISNUMBER(L379),ISNUMBER(K379),L379&gt;K379),"Check: correct &gt; assessed decisions",IF(AND(ISNUMBER(N379),ISNUMBER(M379),N379&gt;M379),"Check: intended &gt; assessed landings",IF(AND(ISNUMBER(J379),I379=""),"Check: solid contacts without swings","OK"))))))</f>
        <v/>
      </c>
    </row>
    <row r="380" customFormat="false" ht="15" hidden="false" customHeight="false" outlineLevel="0" collapsed="false">
      <c r="B380" s="26"/>
      <c r="C380" s="27"/>
      <c r="D380" s="28" t="str">
        <f aca="false">IF(C380="","",IFERROR(INDEX(Players!$C$5:$C$104,MATCH(C380,Players!$B$5:$B$104,0)),"ID not found"))</f>
        <v/>
      </c>
      <c r="E380" s="27"/>
      <c r="F380" s="27"/>
      <c r="G380" s="28" t="str">
        <f aca="false">IF(F380="","",IFERROR(INDEX('Hitting Drills'!$D$6:$D$45,MATCH(F380,'Hitting Drills'!$B$6:$B$45,0)),"Not a hitting drill ID"))</f>
        <v/>
      </c>
      <c r="H380" s="27"/>
      <c r="I380" s="27"/>
      <c r="J380" s="27"/>
      <c r="K380" s="27"/>
      <c r="L380" s="27"/>
      <c r="M380" s="27"/>
      <c r="N380" s="27"/>
      <c r="O380" s="27"/>
      <c r="P380" s="27"/>
      <c r="Q380" s="27"/>
      <c r="R380" s="27"/>
      <c r="S380" s="29" t="str">
        <f aca="false">IF(OR(B380="",C380=""),"",IF(COUNTIFS($B$5:B380,B380,$C$5:C380,C380)=1,1,0))</f>
        <v/>
      </c>
      <c r="T380" s="29" t="str">
        <f aca="false">IF(OR(B380="",C380="",E380=""),"",IF(COUNTIFS($B$5:B380,B380,$C$5:C380,C380,$E$5:E380,E380)=1,1,0))</f>
        <v/>
      </c>
      <c r="U380" s="28" t="str">
        <f aca="false">IF(COUNTA(B380:C380,E380:F380,H380:P380)=0,"",IF(OR(B380="",C380="",E380=""),"Check: date, player, and context required",IF(AND(ISNUMBER(J380),ISNUMBER(I380),J380&gt;I380),"Check: solid contacts &gt; swings",IF(AND(ISNUMBER(L380),ISNUMBER(K380),L380&gt;K380),"Check: correct &gt; assessed decisions",IF(AND(ISNUMBER(N380),ISNUMBER(M380),N380&gt;M380),"Check: intended &gt; assessed landings",IF(AND(ISNUMBER(J380),I380=""),"Check: solid contacts without swings","OK"))))))</f>
        <v/>
      </c>
    </row>
    <row r="381" customFormat="false" ht="15" hidden="false" customHeight="false" outlineLevel="0" collapsed="false">
      <c r="B381" s="26"/>
      <c r="C381" s="27"/>
      <c r="D381" s="28" t="str">
        <f aca="false">IF(C381="","",IFERROR(INDEX(Players!$C$5:$C$104,MATCH(C381,Players!$B$5:$B$104,0)),"ID not found"))</f>
        <v/>
      </c>
      <c r="E381" s="27"/>
      <c r="F381" s="27"/>
      <c r="G381" s="28" t="str">
        <f aca="false">IF(F381="","",IFERROR(INDEX('Hitting Drills'!$D$6:$D$45,MATCH(F381,'Hitting Drills'!$B$6:$B$45,0)),"Not a hitting drill ID"))</f>
        <v/>
      </c>
      <c r="H381" s="27"/>
      <c r="I381" s="27"/>
      <c r="J381" s="27"/>
      <c r="K381" s="27"/>
      <c r="L381" s="27"/>
      <c r="M381" s="27"/>
      <c r="N381" s="27"/>
      <c r="O381" s="27"/>
      <c r="P381" s="27"/>
      <c r="Q381" s="27"/>
      <c r="R381" s="27"/>
      <c r="S381" s="29" t="str">
        <f aca="false">IF(OR(B381="",C381=""),"",IF(COUNTIFS($B$5:B381,B381,$C$5:C381,C381)=1,1,0))</f>
        <v/>
      </c>
      <c r="T381" s="29" t="str">
        <f aca="false">IF(OR(B381="",C381="",E381=""),"",IF(COUNTIFS($B$5:B381,B381,$C$5:C381,C381,$E$5:E381,E381)=1,1,0))</f>
        <v/>
      </c>
      <c r="U381" s="28" t="str">
        <f aca="false">IF(COUNTA(B381:C381,E381:F381,H381:P381)=0,"",IF(OR(B381="",C381="",E381=""),"Check: date, player, and context required",IF(AND(ISNUMBER(J381),ISNUMBER(I381),J381&gt;I381),"Check: solid contacts &gt; swings",IF(AND(ISNUMBER(L381),ISNUMBER(K381),L381&gt;K381),"Check: correct &gt; assessed decisions",IF(AND(ISNUMBER(N381),ISNUMBER(M381),N381&gt;M381),"Check: intended &gt; assessed landings",IF(AND(ISNUMBER(J381),I381=""),"Check: solid contacts without swings","OK"))))))</f>
        <v/>
      </c>
    </row>
    <row r="382" customFormat="false" ht="15" hidden="false" customHeight="false" outlineLevel="0" collapsed="false">
      <c r="B382" s="26"/>
      <c r="C382" s="27"/>
      <c r="D382" s="28" t="str">
        <f aca="false">IF(C382="","",IFERROR(INDEX(Players!$C$5:$C$104,MATCH(C382,Players!$B$5:$B$104,0)),"ID not found"))</f>
        <v/>
      </c>
      <c r="E382" s="27"/>
      <c r="F382" s="27"/>
      <c r="G382" s="28" t="str">
        <f aca="false">IF(F382="","",IFERROR(INDEX('Hitting Drills'!$D$6:$D$45,MATCH(F382,'Hitting Drills'!$B$6:$B$45,0)),"Not a hitting drill ID"))</f>
        <v/>
      </c>
      <c r="H382" s="27"/>
      <c r="I382" s="27"/>
      <c r="J382" s="27"/>
      <c r="K382" s="27"/>
      <c r="L382" s="27"/>
      <c r="M382" s="27"/>
      <c r="N382" s="27"/>
      <c r="O382" s="27"/>
      <c r="P382" s="27"/>
      <c r="Q382" s="27"/>
      <c r="R382" s="27"/>
      <c r="S382" s="29" t="str">
        <f aca="false">IF(OR(B382="",C382=""),"",IF(COUNTIFS($B$5:B382,B382,$C$5:C382,C382)=1,1,0))</f>
        <v/>
      </c>
      <c r="T382" s="29" t="str">
        <f aca="false">IF(OR(B382="",C382="",E382=""),"",IF(COUNTIFS($B$5:B382,B382,$C$5:C382,C382,$E$5:E382,E382)=1,1,0))</f>
        <v/>
      </c>
      <c r="U382" s="28" t="str">
        <f aca="false">IF(COUNTA(B382:C382,E382:F382,H382:P382)=0,"",IF(OR(B382="",C382="",E382=""),"Check: date, player, and context required",IF(AND(ISNUMBER(J382),ISNUMBER(I382),J382&gt;I382),"Check: solid contacts &gt; swings",IF(AND(ISNUMBER(L382),ISNUMBER(K382),L382&gt;K382),"Check: correct &gt; assessed decisions",IF(AND(ISNUMBER(N382),ISNUMBER(M382),N382&gt;M382),"Check: intended &gt; assessed landings",IF(AND(ISNUMBER(J382),I382=""),"Check: solid contacts without swings","OK"))))))</f>
        <v/>
      </c>
    </row>
    <row r="383" customFormat="false" ht="15" hidden="false" customHeight="false" outlineLevel="0" collapsed="false">
      <c r="B383" s="26"/>
      <c r="C383" s="27"/>
      <c r="D383" s="28" t="str">
        <f aca="false">IF(C383="","",IFERROR(INDEX(Players!$C$5:$C$104,MATCH(C383,Players!$B$5:$B$104,0)),"ID not found"))</f>
        <v/>
      </c>
      <c r="E383" s="27"/>
      <c r="F383" s="27"/>
      <c r="G383" s="28" t="str">
        <f aca="false">IF(F383="","",IFERROR(INDEX('Hitting Drills'!$D$6:$D$45,MATCH(F383,'Hitting Drills'!$B$6:$B$45,0)),"Not a hitting drill ID"))</f>
        <v/>
      </c>
      <c r="H383" s="27"/>
      <c r="I383" s="27"/>
      <c r="J383" s="27"/>
      <c r="K383" s="27"/>
      <c r="L383" s="27"/>
      <c r="M383" s="27"/>
      <c r="N383" s="27"/>
      <c r="O383" s="27"/>
      <c r="P383" s="27"/>
      <c r="Q383" s="27"/>
      <c r="R383" s="27"/>
      <c r="S383" s="29" t="str">
        <f aca="false">IF(OR(B383="",C383=""),"",IF(COUNTIFS($B$5:B383,B383,$C$5:C383,C383)=1,1,0))</f>
        <v/>
      </c>
      <c r="T383" s="29" t="str">
        <f aca="false">IF(OR(B383="",C383="",E383=""),"",IF(COUNTIFS($B$5:B383,B383,$C$5:C383,C383,$E$5:E383,E383)=1,1,0))</f>
        <v/>
      </c>
      <c r="U383" s="28" t="str">
        <f aca="false">IF(COUNTA(B383:C383,E383:F383,H383:P383)=0,"",IF(OR(B383="",C383="",E383=""),"Check: date, player, and context required",IF(AND(ISNUMBER(J383),ISNUMBER(I383),J383&gt;I383),"Check: solid contacts &gt; swings",IF(AND(ISNUMBER(L383),ISNUMBER(K383),L383&gt;K383),"Check: correct &gt; assessed decisions",IF(AND(ISNUMBER(N383),ISNUMBER(M383),N383&gt;M383),"Check: intended &gt; assessed landings",IF(AND(ISNUMBER(J383),I383=""),"Check: solid contacts without swings","OK"))))))</f>
        <v/>
      </c>
    </row>
    <row r="384" customFormat="false" ht="15" hidden="false" customHeight="false" outlineLevel="0" collapsed="false">
      <c r="B384" s="26"/>
      <c r="C384" s="27"/>
      <c r="D384" s="28" t="str">
        <f aca="false">IF(C384="","",IFERROR(INDEX(Players!$C$5:$C$104,MATCH(C384,Players!$B$5:$B$104,0)),"ID not found"))</f>
        <v/>
      </c>
      <c r="E384" s="27"/>
      <c r="F384" s="27"/>
      <c r="G384" s="28" t="str">
        <f aca="false">IF(F384="","",IFERROR(INDEX('Hitting Drills'!$D$6:$D$45,MATCH(F384,'Hitting Drills'!$B$6:$B$45,0)),"Not a hitting drill ID"))</f>
        <v/>
      </c>
      <c r="H384" s="27"/>
      <c r="I384" s="27"/>
      <c r="J384" s="27"/>
      <c r="K384" s="27"/>
      <c r="L384" s="27"/>
      <c r="M384" s="27"/>
      <c r="N384" s="27"/>
      <c r="O384" s="27"/>
      <c r="P384" s="27"/>
      <c r="Q384" s="27"/>
      <c r="R384" s="27"/>
      <c r="S384" s="29" t="str">
        <f aca="false">IF(OR(B384="",C384=""),"",IF(COUNTIFS($B$5:B384,B384,$C$5:C384,C384)=1,1,0))</f>
        <v/>
      </c>
      <c r="T384" s="29" t="str">
        <f aca="false">IF(OR(B384="",C384="",E384=""),"",IF(COUNTIFS($B$5:B384,B384,$C$5:C384,C384,$E$5:E384,E384)=1,1,0))</f>
        <v/>
      </c>
      <c r="U384" s="28" t="str">
        <f aca="false">IF(COUNTA(B384:C384,E384:F384,H384:P384)=0,"",IF(OR(B384="",C384="",E384=""),"Check: date, player, and context required",IF(AND(ISNUMBER(J384),ISNUMBER(I384),J384&gt;I384),"Check: solid contacts &gt; swings",IF(AND(ISNUMBER(L384),ISNUMBER(K384),L384&gt;K384),"Check: correct &gt; assessed decisions",IF(AND(ISNUMBER(N384),ISNUMBER(M384),N384&gt;M384),"Check: intended &gt; assessed landings",IF(AND(ISNUMBER(J384),I384=""),"Check: solid contacts without swings","OK"))))))</f>
        <v/>
      </c>
    </row>
    <row r="385" customFormat="false" ht="15" hidden="false" customHeight="false" outlineLevel="0" collapsed="false">
      <c r="B385" s="26"/>
      <c r="C385" s="27"/>
      <c r="D385" s="28" t="str">
        <f aca="false">IF(C385="","",IFERROR(INDEX(Players!$C$5:$C$104,MATCH(C385,Players!$B$5:$B$104,0)),"ID not found"))</f>
        <v/>
      </c>
      <c r="E385" s="27"/>
      <c r="F385" s="27"/>
      <c r="G385" s="28" t="str">
        <f aca="false">IF(F385="","",IFERROR(INDEX('Hitting Drills'!$D$6:$D$45,MATCH(F385,'Hitting Drills'!$B$6:$B$45,0)),"Not a hitting drill ID"))</f>
        <v/>
      </c>
      <c r="H385" s="27"/>
      <c r="I385" s="27"/>
      <c r="J385" s="27"/>
      <c r="K385" s="27"/>
      <c r="L385" s="27"/>
      <c r="M385" s="27"/>
      <c r="N385" s="27"/>
      <c r="O385" s="27"/>
      <c r="P385" s="27"/>
      <c r="Q385" s="27"/>
      <c r="R385" s="27"/>
      <c r="S385" s="29" t="str">
        <f aca="false">IF(OR(B385="",C385=""),"",IF(COUNTIFS($B$5:B385,B385,$C$5:C385,C385)=1,1,0))</f>
        <v/>
      </c>
      <c r="T385" s="29" t="str">
        <f aca="false">IF(OR(B385="",C385="",E385=""),"",IF(COUNTIFS($B$5:B385,B385,$C$5:C385,C385,$E$5:E385,E385)=1,1,0))</f>
        <v/>
      </c>
      <c r="U385" s="28" t="str">
        <f aca="false">IF(COUNTA(B385:C385,E385:F385,H385:P385)=0,"",IF(OR(B385="",C385="",E385=""),"Check: date, player, and context required",IF(AND(ISNUMBER(J385),ISNUMBER(I385),J385&gt;I385),"Check: solid contacts &gt; swings",IF(AND(ISNUMBER(L385),ISNUMBER(K385),L385&gt;K385),"Check: correct &gt; assessed decisions",IF(AND(ISNUMBER(N385),ISNUMBER(M385),N385&gt;M385),"Check: intended &gt; assessed landings",IF(AND(ISNUMBER(J385),I385=""),"Check: solid contacts without swings","OK"))))))</f>
        <v/>
      </c>
    </row>
    <row r="386" customFormat="false" ht="15" hidden="false" customHeight="false" outlineLevel="0" collapsed="false">
      <c r="B386" s="26"/>
      <c r="C386" s="27"/>
      <c r="D386" s="28" t="str">
        <f aca="false">IF(C386="","",IFERROR(INDEX(Players!$C$5:$C$104,MATCH(C386,Players!$B$5:$B$104,0)),"ID not found"))</f>
        <v/>
      </c>
      <c r="E386" s="27"/>
      <c r="F386" s="27"/>
      <c r="G386" s="28" t="str">
        <f aca="false">IF(F386="","",IFERROR(INDEX('Hitting Drills'!$D$6:$D$45,MATCH(F386,'Hitting Drills'!$B$6:$B$45,0)),"Not a hitting drill ID"))</f>
        <v/>
      </c>
      <c r="H386" s="27"/>
      <c r="I386" s="27"/>
      <c r="J386" s="27"/>
      <c r="K386" s="27"/>
      <c r="L386" s="27"/>
      <c r="M386" s="27"/>
      <c r="N386" s="27"/>
      <c r="O386" s="27"/>
      <c r="P386" s="27"/>
      <c r="Q386" s="27"/>
      <c r="R386" s="27"/>
      <c r="S386" s="29" t="str">
        <f aca="false">IF(OR(B386="",C386=""),"",IF(COUNTIFS($B$5:B386,B386,$C$5:C386,C386)=1,1,0))</f>
        <v/>
      </c>
      <c r="T386" s="29" t="str">
        <f aca="false">IF(OR(B386="",C386="",E386=""),"",IF(COUNTIFS($B$5:B386,B386,$C$5:C386,C386,$E$5:E386,E386)=1,1,0))</f>
        <v/>
      </c>
      <c r="U386" s="28" t="str">
        <f aca="false">IF(COUNTA(B386:C386,E386:F386,H386:P386)=0,"",IF(OR(B386="",C386="",E386=""),"Check: date, player, and context required",IF(AND(ISNUMBER(J386),ISNUMBER(I386),J386&gt;I386),"Check: solid contacts &gt; swings",IF(AND(ISNUMBER(L386),ISNUMBER(K386),L386&gt;K386),"Check: correct &gt; assessed decisions",IF(AND(ISNUMBER(N386),ISNUMBER(M386),N386&gt;M386),"Check: intended &gt; assessed landings",IF(AND(ISNUMBER(J386),I386=""),"Check: solid contacts without swings","OK"))))))</f>
        <v/>
      </c>
    </row>
    <row r="387" customFormat="false" ht="15" hidden="false" customHeight="false" outlineLevel="0" collapsed="false">
      <c r="B387" s="26"/>
      <c r="C387" s="27"/>
      <c r="D387" s="28" t="str">
        <f aca="false">IF(C387="","",IFERROR(INDEX(Players!$C$5:$C$104,MATCH(C387,Players!$B$5:$B$104,0)),"ID not found"))</f>
        <v/>
      </c>
      <c r="E387" s="27"/>
      <c r="F387" s="27"/>
      <c r="G387" s="28" t="str">
        <f aca="false">IF(F387="","",IFERROR(INDEX('Hitting Drills'!$D$6:$D$45,MATCH(F387,'Hitting Drills'!$B$6:$B$45,0)),"Not a hitting drill ID"))</f>
        <v/>
      </c>
      <c r="H387" s="27"/>
      <c r="I387" s="27"/>
      <c r="J387" s="27"/>
      <c r="K387" s="27"/>
      <c r="L387" s="27"/>
      <c r="M387" s="27"/>
      <c r="N387" s="27"/>
      <c r="O387" s="27"/>
      <c r="P387" s="27"/>
      <c r="Q387" s="27"/>
      <c r="R387" s="27"/>
      <c r="S387" s="29" t="str">
        <f aca="false">IF(OR(B387="",C387=""),"",IF(COUNTIFS($B$5:B387,B387,$C$5:C387,C387)=1,1,0))</f>
        <v/>
      </c>
      <c r="T387" s="29" t="str">
        <f aca="false">IF(OR(B387="",C387="",E387=""),"",IF(COUNTIFS($B$5:B387,B387,$C$5:C387,C387,$E$5:E387,E387)=1,1,0))</f>
        <v/>
      </c>
      <c r="U387" s="28" t="str">
        <f aca="false">IF(COUNTA(B387:C387,E387:F387,H387:P387)=0,"",IF(OR(B387="",C387="",E387=""),"Check: date, player, and context required",IF(AND(ISNUMBER(J387),ISNUMBER(I387),J387&gt;I387),"Check: solid contacts &gt; swings",IF(AND(ISNUMBER(L387),ISNUMBER(K387),L387&gt;K387),"Check: correct &gt; assessed decisions",IF(AND(ISNUMBER(N387),ISNUMBER(M387),N387&gt;M387),"Check: intended &gt; assessed landings",IF(AND(ISNUMBER(J387),I387=""),"Check: solid contacts without swings","OK"))))))</f>
        <v/>
      </c>
    </row>
    <row r="388" customFormat="false" ht="15" hidden="false" customHeight="false" outlineLevel="0" collapsed="false">
      <c r="B388" s="26"/>
      <c r="C388" s="27"/>
      <c r="D388" s="28" t="str">
        <f aca="false">IF(C388="","",IFERROR(INDEX(Players!$C$5:$C$104,MATCH(C388,Players!$B$5:$B$104,0)),"ID not found"))</f>
        <v/>
      </c>
      <c r="E388" s="27"/>
      <c r="F388" s="27"/>
      <c r="G388" s="28" t="str">
        <f aca="false">IF(F388="","",IFERROR(INDEX('Hitting Drills'!$D$6:$D$45,MATCH(F388,'Hitting Drills'!$B$6:$B$45,0)),"Not a hitting drill ID"))</f>
        <v/>
      </c>
      <c r="H388" s="27"/>
      <c r="I388" s="27"/>
      <c r="J388" s="27"/>
      <c r="K388" s="27"/>
      <c r="L388" s="27"/>
      <c r="M388" s="27"/>
      <c r="N388" s="27"/>
      <c r="O388" s="27"/>
      <c r="P388" s="27"/>
      <c r="Q388" s="27"/>
      <c r="R388" s="27"/>
      <c r="S388" s="29" t="str">
        <f aca="false">IF(OR(B388="",C388=""),"",IF(COUNTIFS($B$5:B388,B388,$C$5:C388,C388)=1,1,0))</f>
        <v/>
      </c>
      <c r="T388" s="29" t="str">
        <f aca="false">IF(OR(B388="",C388="",E388=""),"",IF(COUNTIFS($B$5:B388,B388,$C$5:C388,C388,$E$5:E388,E388)=1,1,0))</f>
        <v/>
      </c>
      <c r="U388" s="28" t="str">
        <f aca="false">IF(COUNTA(B388:C388,E388:F388,H388:P388)=0,"",IF(OR(B388="",C388="",E388=""),"Check: date, player, and context required",IF(AND(ISNUMBER(J388),ISNUMBER(I388),J388&gt;I388),"Check: solid contacts &gt; swings",IF(AND(ISNUMBER(L388),ISNUMBER(K388),L388&gt;K388),"Check: correct &gt; assessed decisions",IF(AND(ISNUMBER(N388),ISNUMBER(M388),N388&gt;M388),"Check: intended &gt; assessed landings",IF(AND(ISNUMBER(J388),I388=""),"Check: solid contacts without swings","OK"))))))</f>
        <v/>
      </c>
    </row>
    <row r="389" customFormat="false" ht="15" hidden="false" customHeight="false" outlineLevel="0" collapsed="false">
      <c r="B389" s="26"/>
      <c r="C389" s="27"/>
      <c r="D389" s="28" t="str">
        <f aca="false">IF(C389="","",IFERROR(INDEX(Players!$C$5:$C$104,MATCH(C389,Players!$B$5:$B$104,0)),"ID not found"))</f>
        <v/>
      </c>
      <c r="E389" s="27"/>
      <c r="F389" s="27"/>
      <c r="G389" s="28" t="str">
        <f aca="false">IF(F389="","",IFERROR(INDEX('Hitting Drills'!$D$6:$D$45,MATCH(F389,'Hitting Drills'!$B$6:$B$45,0)),"Not a hitting drill ID"))</f>
        <v/>
      </c>
      <c r="H389" s="27"/>
      <c r="I389" s="27"/>
      <c r="J389" s="27"/>
      <c r="K389" s="27"/>
      <c r="L389" s="27"/>
      <c r="M389" s="27"/>
      <c r="N389" s="27"/>
      <c r="O389" s="27"/>
      <c r="P389" s="27"/>
      <c r="Q389" s="27"/>
      <c r="R389" s="27"/>
      <c r="S389" s="29" t="str">
        <f aca="false">IF(OR(B389="",C389=""),"",IF(COUNTIFS($B$5:B389,B389,$C$5:C389,C389)=1,1,0))</f>
        <v/>
      </c>
      <c r="T389" s="29" t="str">
        <f aca="false">IF(OR(B389="",C389="",E389=""),"",IF(COUNTIFS($B$5:B389,B389,$C$5:C389,C389,$E$5:E389,E389)=1,1,0))</f>
        <v/>
      </c>
      <c r="U389" s="28" t="str">
        <f aca="false">IF(COUNTA(B389:C389,E389:F389,H389:P389)=0,"",IF(OR(B389="",C389="",E389=""),"Check: date, player, and context required",IF(AND(ISNUMBER(J389),ISNUMBER(I389),J389&gt;I389),"Check: solid contacts &gt; swings",IF(AND(ISNUMBER(L389),ISNUMBER(K389),L389&gt;K389),"Check: correct &gt; assessed decisions",IF(AND(ISNUMBER(N389),ISNUMBER(M389),N389&gt;M389),"Check: intended &gt; assessed landings",IF(AND(ISNUMBER(J389),I389=""),"Check: solid contacts without swings","OK"))))))</f>
        <v/>
      </c>
    </row>
    <row r="390" customFormat="false" ht="15" hidden="false" customHeight="false" outlineLevel="0" collapsed="false">
      <c r="B390" s="26"/>
      <c r="C390" s="27"/>
      <c r="D390" s="28" t="str">
        <f aca="false">IF(C390="","",IFERROR(INDEX(Players!$C$5:$C$104,MATCH(C390,Players!$B$5:$B$104,0)),"ID not found"))</f>
        <v/>
      </c>
      <c r="E390" s="27"/>
      <c r="F390" s="27"/>
      <c r="G390" s="28" t="str">
        <f aca="false">IF(F390="","",IFERROR(INDEX('Hitting Drills'!$D$6:$D$45,MATCH(F390,'Hitting Drills'!$B$6:$B$45,0)),"Not a hitting drill ID"))</f>
        <v/>
      </c>
      <c r="H390" s="27"/>
      <c r="I390" s="27"/>
      <c r="J390" s="27"/>
      <c r="K390" s="27"/>
      <c r="L390" s="27"/>
      <c r="M390" s="27"/>
      <c r="N390" s="27"/>
      <c r="O390" s="27"/>
      <c r="P390" s="27"/>
      <c r="Q390" s="27"/>
      <c r="R390" s="27"/>
      <c r="S390" s="29" t="str">
        <f aca="false">IF(OR(B390="",C390=""),"",IF(COUNTIFS($B$5:B390,B390,$C$5:C390,C390)=1,1,0))</f>
        <v/>
      </c>
      <c r="T390" s="29" t="str">
        <f aca="false">IF(OR(B390="",C390="",E390=""),"",IF(COUNTIFS($B$5:B390,B390,$C$5:C390,C390,$E$5:E390,E390)=1,1,0))</f>
        <v/>
      </c>
      <c r="U390" s="28" t="str">
        <f aca="false">IF(COUNTA(B390:C390,E390:F390,H390:P390)=0,"",IF(OR(B390="",C390="",E390=""),"Check: date, player, and context required",IF(AND(ISNUMBER(J390),ISNUMBER(I390),J390&gt;I390),"Check: solid contacts &gt; swings",IF(AND(ISNUMBER(L390),ISNUMBER(K390),L390&gt;K390),"Check: correct &gt; assessed decisions",IF(AND(ISNUMBER(N390),ISNUMBER(M390),N390&gt;M390),"Check: intended &gt; assessed landings",IF(AND(ISNUMBER(J390),I390=""),"Check: solid contacts without swings","OK"))))))</f>
        <v/>
      </c>
    </row>
    <row r="391" customFormat="false" ht="15" hidden="false" customHeight="false" outlineLevel="0" collapsed="false">
      <c r="B391" s="26"/>
      <c r="C391" s="27"/>
      <c r="D391" s="28" t="str">
        <f aca="false">IF(C391="","",IFERROR(INDEX(Players!$C$5:$C$104,MATCH(C391,Players!$B$5:$B$104,0)),"ID not found"))</f>
        <v/>
      </c>
      <c r="E391" s="27"/>
      <c r="F391" s="27"/>
      <c r="G391" s="28" t="str">
        <f aca="false">IF(F391="","",IFERROR(INDEX('Hitting Drills'!$D$6:$D$45,MATCH(F391,'Hitting Drills'!$B$6:$B$45,0)),"Not a hitting drill ID"))</f>
        <v/>
      </c>
      <c r="H391" s="27"/>
      <c r="I391" s="27"/>
      <c r="J391" s="27"/>
      <c r="K391" s="27"/>
      <c r="L391" s="27"/>
      <c r="M391" s="27"/>
      <c r="N391" s="27"/>
      <c r="O391" s="27"/>
      <c r="P391" s="27"/>
      <c r="Q391" s="27"/>
      <c r="R391" s="27"/>
      <c r="S391" s="29" t="str">
        <f aca="false">IF(OR(B391="",C391=""),"",IF(COUNTIFS($B$5:B391,B391,$C$5:C391,C391)=1,1,0))</f>
        <v/>
      </c>
      <c r="T391" s="29" t="str">
        <f aca="false">IF(OR(B391="",C391="",E391=""),"",IF(COUNTIFS($B$5:B391,B391,$C$5:C391,C391,$E$5:E391,E391)=1,1,0))</f>
        <v/>
      </c>
      <c r="U391" s="28" t="str">
        <f aca="false">IF(COUNTA(B391:C391,E391:F391,H391:P391)=0,"",IF(OR(B391="",C391="",E391=""),"Check: date, player, and context required",IF(AND(ISNUMBER(J391),ISNUMBER(I391),J391&gt;I391),"Check: solid contacts &gt; swings",IF(AND(ISNUMBER(L391),ISNUMBER(K391),L391&gt;K391),"Check: correct &gt; assessed decisions",IF(AND(ISNUMBER(N391),ISNUMBER(M391),N391&gt;M391),"Check: intended &gt; assessed landings",IF(AND(ISNUMBER(J391),I391=""),"Check: solid contacts without swings","OK"))))))</f>
        <v/>
      </c>
    </row>
    <row r="392" customFormat="false" ht="15" hidden="false" customHeight="false" outlineLevel="0" collapsed="false">
      <c r="B392" s="26"/>
      <c r="C392" s="27"/>
      <c r="D392" s="28" t="str">
        <f aca="false">IF(C392="","",IFERROR(INDEX(Players!$C$5:$C$104,MATCH(C392,Players!$B$5:$B$104,0)),"ID not found"))</f>
        <v/>
      </c>
      <c r="E392" s="27"/>
      <c r="F392" s="27"/>
      <c r="G392" s="28" t="str">
        <f aca="false">IF(F392="","",IFERROR(INDEX('Hitting Drills'!$D$6:$D$45,MATCH(F392,'Hitting Drills'!$B$6:$B$45,0)),"Not a hitting drill ID"))</f>
        <v/>
      </c>
      <c r="H392" s="27"/>
      <c r="I392" s="27"/>
      <c r="J392" s="27"/>
      <c r="K392" s="27"/>
      <c r="L392" s="27"/>
      <c r="M392" s="27"/>
      <c r="N392" s="27"/>
      <c r="O392" s="27"/>
      <c r="P392" s="27"/>
      <c r="Q392" s="27"/>
      <c r="R392" s="27"/>
      <c r="S392" s="29" t="str">
        <f aca="false">IF(OR(B392="",C392=""),"",IF(COUNTIFS($B$5:B392,B392,$C$5:C392,C392)=1,1,0))</f>
        <v/>
      </c>
      <c r="T392" s="29" t="str">
        <f aca="false">IF(OR(B392="",C392="",E392=""),"",IF(COUNTIFS($B$5:B392,B392,$C$5:C392,C392,$E$5:E392,E392)=1,1,0))</f>
        <v/>
      </c>
      <c r="U392" s="28" t="str">
        <f aca="false">IF(COUNTA(B392:C392,E392:F392,H392:P392)=0,"",IF(OR(B392="",C392="",E392=""),"Check: date, player, and context required",IF(AND(ISNUMBER(J392),ISNUMBER(I392),J392&gt;I392),"Check: solid contacts &gt; swings",IF(AND(ISNUMBER(L392),ISNUMBER(K392),L392&gt;K392),"Check: correct &gt; assessed decisions",IF(AND(ISNUMBER(N392),ISNUMBER(M392),N392&gt;M392),"Check: intended &gt; assessed landings",IF(AND(ISNUMBER(J392),I392=""),"Check: solid contacts without swings","OK"))))))</f>
        <v/>
      </c>
    </row>
    <row r="393" customFormat="false" ht="15" hidden="false" customHeight="false" outlineLevel="0" collapsed="false">
      <c r="B393" s="26"/>
      <c r="C393" s="27"/>
      <c r="D393" s="28" t="str">
        <f aca="false">IF(C393="","",IFERROR(INDEX(Players!$C$5:$C$104,MATCH(C393,Players!$B$5:$B$104,0)),"ID not found"))</f>
        <v/>
      </c>
      <c r="E393" s="27"/>
      <c r="F393" s="27"/>
      <c r="G393" s="28" t="str">
        <f aca="false">IF(F393="","",IFERROR(INDEX('Hitting Drills'!$D$6:$D$45,MATCH(F393,'Hitting Drills'!$B$6:$B$45,0)),"Not a hitting drill ID"))</f>
        <v/>
      </c>
      <c r="H393" s="27"/>
      <c r="I393" s="27"/>
      <c r="J393" s="27"/>
      <c r="K393" s="27"/>
      <c r="L393" s="27"/>
      <c r="M393" s="27"/>
      <c r="N393" s="27"/>
      <c r="O393" s="27"/>
      <c r="P393" s="27"/>
      <c r="Q393" s="27"/>
      <c r="R393" s="27"/>
      <c r="S393" s="29" t="str">
        <f aca="false">IF(OR(B393="",C393=""),"",IF(COUNTIFS($B$5:B393,B393,$C$5:C393,C393)=1,1,0))</f>
        <v/>
      </c>
      <c r="T393" s="29" t="str">
        <f aca="false">IF(OR(B393="",C393="",E393=""),"",IF(COUNTIFS($B$5:B393,B393,$C$5:C393,C393,$E$5:E393,E393)=1,1,0))</f>
        <v/>
      </c>
      <c r="U393" s="28" t="str">
        <f aca="false">IF(COUNTA(B393:C393,E393:F393,H393:P393)=0,"",IF(OR(B393="",C393="",E393=""),"Check: date, player, and context required",IF(AND(ISNUMBER(J393),ISNUMBER(I393),J393&gt;I393),"Check: solid contacts &gt; swings",IF(AND(ISNUMBER(L393),ISNUMBER(K393),L393&gt;K393),"Check: correct &gt; assessed decisions",IF(AND(ISNUMBER(N393),ISNUMBER(M393),N393&gt;M393),"Check: intended &gt; assessed landings",IF(AND(ISNUMBER(J393),I393=""),"Check: solid contacts without swings","OK"))))))</f>
        <v/>
      </c>
    </row>
    <row r="394" customFormat="false" ht="15" hidden="false" customHeight="false" outlineLevel="0" collapsed="false">
      <c r="B394" s="26"/>
      <c r="C394" s="27"/>
      <c r="D394" s="28" t="str">
        <f aca="false">IF(C394="","",IFERROR(INDEX(Players!$C$5:$C$104,MATCH(C394,Players!$B$5:$B$104,0)),"ID not found"))</f>
        <v/>
      </c>
      <c r="E394" s="27"/>
      <c r="F394" s="27"/>
      <c r="G394" s="28" t="str">
        <f aca="false">IF(F394="","",IFERROR(INDEX('Hitting Drills'!$D$6:$D$45,MATCH(F394,'Hitting Drills'!$B$6:$B$45,0)),"Not a hitting drill ID"))</f>
        <v/>
      </c>
      <c r="H394" s="27"/>
      <c r="I394" s="27"/>
      <c r="J394" s="27"/>
      <c r="K394" s="27"/>
      <c r="L394" s="27"/>
      <c r="M394" s="27"/>
      <c r="N394" s="27"/>
      <c r="O394" s="27"/>
      <c r="P394" s="27"/>
      <c r="Q394" s="27"/>
      <c r="R394" s="27"/>
      <c r="S394" s="29" t="str">
        <f aca="false">IF(OR(B394="",C394=""),"",IF(COUNTIFS($B$5:B394,B394,$C$5:C394,C394)=1,1,0))</f>
        <v/>
      </c>
      <c r="T394" s="29" t="str">
        <f aca="false">IF(OR(B394="",C394="",E394=""),"",IF(COUNTIFS($B$5:B394,B394,$C$5:C394,C394,$E$5:E394,E394)=1,1,0))</f>
        <v/>
      </c>
      <c r="U394" s="28" t="str">
        <f aca="false">IF(COUNTA(B394:C394,E394:F394,H394:P394)=0,"",IF(OR(B394="",C394="",E394=""),"Check: date, player, and context required",IF(AND(ISNUMBER(J394),ISNUMBER(I394),J394&gt;I394),"Check: solid contacts &gt; swings",IF(AND(ISNUMBER(L394),ISNUMBER(K394),L394&gt;K394),"Check: correct &gt; assessed decisions",IF(AND(ISNUMBER(N394),ISNUMBER(M394),N394&gt;M394),"Check: intended &gt; assessed landings",IF(AND(ISNUMBER(J394),I394=""),"Check: solid contacts without swings","OK"))))))</f>
        <v/>
      </c>
    </row>
    <row r="395" customFormat="false" ht="15" hidden="false" customHeight="false" outlineLevel="0" collapsed="false">
      <c r="B395" s="26"/>
      <c r="C395" s="27"/>
      <c r="D395" s="28" t="str">
        <f aca="false">IF(C395="","",IFERROR(INDEX(Players!$C$5:$C$104,MATCH(C395,Players!$B$5:$B$104,0)),"ID not found"))</f>
        <v/>
      </c>
      <c r="E395" s="27"/>
      <c r="F395" s="27"/>
      <c r="G395" s="28" t="str">
        <f aca="false">IF(F395="","",IFERROR(INDEX('Hitting Drills'!$D$6:$D$45,MATCH(F395,'Hitting Drills'!$B$6:$B$45,0)),"Not a hitting drill ID"))</f>
        <v/>
      </c>
      <c r="H395" s="27"/>
      <c r="I395" s="27"/>
      <c r="J395" s="27"/>
      <c r="K395" s="27"/>
      <c r="L395" s="27"/>
      <c r="M395" s="27"/>
      <c r="N395" s="27"/>
      <c r="O395" s="27"/>
      <c r="P395" s="27"/>
      <c r="Q395" s="27"/>
      <c r="R395" s="27"/>
      <c r="S395" s="29" t="str">
        <f aca="false">IF(OR(B395="",C395=""),"",IF(COUNTIFS($B$5:B395,B395,$C$5:C395,C395)=1,1,0))</f>
        <v/>
      </c>
      <c r="T395" s="29" t="str">
        <f aca="false">IF(OR(B395="",C395="",E395=""),"",IF(COUNTIFS($B$5:B395,B395,$C$5:C395,C395,$E$5:E395,E395)=1,1,0))</f>
        <v/>
      </c>
      <c r="U395" s="28" t="str">
        <f aca="false">IF(COUNTA(B395:C395,E395:F395,H395:P395)=0,"",IF(OR(B395="",C395="",E395=""),"Check: date, player, and context required",IF(AND(ISNUMBER(J395),ISNUMBER(I395),J395&gt;I395),"Check: solid contacts &gt; swings",IF(AND(ISNUMBER(L395),ISNUMBER(K395),L395&gt;K395),"Check: correct &gt; assessed decisions",IF(AND(ISNUMBER(N395),ISNUMBER(M395),N395&gt;M395),"Check: intended &gt; assessed landings",IF(AND(ISNUMBER(J395),I395=""),"Check: solid contacts without swings","OK"))))))</f>
        <v/>
      </c>
    </row>
    <row r="396" customFormat="false" ht="15" hidden="false" customHeight="false" outlineLevel="0" collapsed="false">
      <c r="B396" s="26"/>
      <c r="C396" s="27"/>
      <c r="D396" s="28" t="str">
        <f aca="false">IF(C396="","",IFERROR(INDEX(Players!$C$5:$C$104,MATCH(C396,Players!$B$5:$B$104,0)),"ID not found"))</f>
        <v/>
      </c>
      <c r="E396" s="27"/>
      <c r="F396" s="27"/>
      <c r="G396" s="28" t="str">
        <f aca="false">IF(F396="","",IFERROR(INDEX('Hitting Drills'!$D$6:$D$45,MATCH(F396,'Hitting Drills'!$B$6:$B$45,0)),"Not a hitting drill ID"))</f>
        <v/>
      </c>
      <c r="H396" s="27"/>
      <c r="I396" s="27"/>
      <c r="J396" s="27"/>
      <c r="K396" s="27"/>
      <c r="L396" s="27"/>
      <c r="M396" s="27"/>
      <c r="N396" s="27"/>
      <c r="O396" s="27"/>
      <c r="P396" s="27"/>
      <c r="Q396" s="27"/>
      <c r="R396" s="27"/>
      <c r="S396" s="29" t="str">
        <f aca="false">IF(OR(B396="",C396=""),"",IF(COUNTIFS($B$5:B396,B396,$C$5:C396,C396)=1,1,0))</f>
        <v/>
      </c>
      <c r="T396" s="29" t="str">
        <f aca="false">IF(OR(B396="",C396="",E396=""),"",IF(COUNTIFS($B$5:B396,B396,$C$5:C396,C396,$E$5:E396,E396)=1,1,0))</f>
        <v/>
      </c>
      <c r="U396" s="28" t="str">
        <f aca="false">IF(COUNTA(B396:C396,E396:F396,H396:P396)=0,"",IF(OR(B396="",C396="",E396=""),"Check: date, player, and context required",IF(AND(ISNUMBER(J396),ISNUMBER(I396),J396&gt;I396),"Check: solid contacts &gt; swings",IF(AND(ISNUMBER(L396),ISNUMBER(K396),L396&gt;K396),"Check: correct &gt; assessed decisions",IF(AND(ISNUMBER(N396),ISNUMBER(M396),N396&gt;M396),"Check: intended &gt; assessed landings",IF(AND(ISNUMBER(J396),I396=""),"Check: solid contacts without swings","OK"))))))</f>
        <v/>
      </c>
    </row>
    <row r="397" customFormat="false" ht="15" hidden="false" customHeight="false" outlineLevel="0" collapsed="false">
      <c r="B397" s="26"/>
      <c r="C397" s="27"/>
      <c r="D397" s="28" t="str">
        <f aca="false">IF(C397="","",IFERROR(INDEX(Players!$C$5:$C$104,MATCH(C397,Players!$B$5:$B$104,0)),"ID not found"))</f>
        <v/>
      </c>
      <c r="E397" s="27"/>
      <c r="F397" s="27"/>
      <c r="G397" s="28" t="str">
        <f aca="false">IF(F397="","",IFERROR(INDEX('Hitting Drills'!$D$6:$D$45,MATCH(F397,'Hitting Drills'!$B$6:$B$45,0)),"Not a hitting drill ID"))</f>
        <v/>
      </c>
      <c r="H397" s="27"/>
      <c r="I397" s="27"/>
      <c r="J397" s="27"/>
      <c r="K397" s="27"/>
      <c r="L397" s="27"/>
      <c r="M397" s="27"/>
      <c r="N397" s="27"/>
      <c r="O397" s="27"/>
      <c r="P397" s="27"/>
      <c r="Q397" s="27"/>
      <c r="R397" s="27"/>
      <c r="S397" s="29" t="str">
        <f aca="false">IF(OR(B397="",C397=""),"",IF(COUNTIFS($B$5:B397,B397,$C$5:C397,C397)=1,1,0))</f>
        <v/>
      </c>
      <c r="T397" s="29" t="str">
        <f aca="false">IF(OR(B397="",C397="",E397=""),"",IF(COUNTIFS($B$5:B397,B397,$C$5:C397,C397,$E$5:E397,E397)=1,1,0))</f>
        <v/>
      </c>
      <c r="U397" s="28" t="str">
        <f aca="false">IF(COUNTA(B397:C397,E397:F397,H397:P397)=0,"",IF(OR(B397="",C397="",E397=""),"Check: date, player, and context required",IF(AND(ISNUMBER(J397),ISNUMBER(I397),J397&gt;I397),"Check: solid contacts &gt; swings",IF(AND(ISNUMBER(L397),ISNUMBER(K397),L397&gt;K397),"Check: correct &gt; assessed decisions",IF(AND(ISNUMBER(N397),ISNUMBER(M397),N397&gt;M397),"Check: intended &gt; assessed landings",IF(AND(ISNUMBER(J397),I397=""),"Check: solid contacts without swings","OK"))))))</f>
        <v/>
      </c>
    </row>
    <row r="398" customFormat="false" ht="15" hidden="false" customHeight="false" outlineLevel="0" collapsed="false">
      <c r="B398" s="26"/>
      <c r="C398" s="27"/>
      <c r="D398" s="28" t="str">
        <f aca="false">IF(C398="","",IFERROR(INDEX(Players!$C$5:$C$104,MATCH(C398,Players!$B$5:$B$104,0)),"ID not found"))</f>
        <v/>
      </c>
      <c r="E398" s="27"/>
      <c r="F398" s="27"/>
      <c r="G398" s="28" t="str">
        <f aca="false">IF(F398="","",IFERROR(INDEX('Hitting Drills'!$D$6:$D$45,MATCH(F398,'Hitting Drills'!$B$6:$B$45,0)),"Not a hitting drill ID"))</f>
        <v/>
      </c>
      <c r="H398" s="27"/>
      <c r="I398" s="27"/>
      <c r="J398" s="27"/>
      <c r="K398" s="27"/>
      <c r="L398" s="27"/>
      <c r="M398" s="27"/>
      <c r="N398" s="27"/>
      <c r="O398" s="27"/>
      <c r="P398" s="27"/>
      <c r="Q398" s="27"/>
      <c r="R398" s="27"/>
      <c r="S398" s="29" t="str">
        <f aca="false">IF(OR(B398="",C398=""),"",IF(COUNTIFS($B$5:B398,B398,$C$5:C398,C398)=1,1,0))</f>
        <v/>
      </c>
      <c r="T398" s="29" t="str">
        <f aca="false">IF(OR(B398="",C398="",E398=""),"",IF(COUNTIFS($B$5:B398,B398,$C$5:C398,C398,$E$5:E398,E398)=1,1,0))</f>
        <v/>
      </c>
      <c r="U398" s="28" t="str">
        <f aca="false">IF(COUNTA(B398:C398,E398:F398,H398:P398)=0,"",IF(OR(B398="",C398="",E398=""),"Check: date, player, and context required",IF(AND(ISNUMBER(J398),ISNUMBER(I398),J398&gt;I398),"Check: solid contacts &gt; swings",IF(AND(ISNUMBER(L398),ISNUMBER(K398),L398&gt;K398),"Check: correct &gt; assessed decisions",IF(AND(ISNUMBER(N398),ISNUMBER(M398),N398&gt;M398),"Check: intended &gt; assessed landings",IF(AND(ISNUMBER(J398),I398=""),"Check: solid contacts without swings","OK"))))))</f>
        <v/>
      </c>
    </row>
    <row r="399" customFormat="false" ht="15" hidden="false" customHeight="false" outlineLevel="0" collapsed="false">
      <c r="B399" s="26"/>
      <c r="C399" s="27"/>
      <c r="D399" s="28" t="str">
        <f aca="false">IF(C399="","",IFERROR(INDEX(Players!$C$5:$C$104,MATCH(C399,Players!$B$5:$B$104,0)),"ID not found"))</f>
        <v/>
      </c>
      <c r="E399" s="27"/>
      <c r="F399" s="27"/>
      <c r="G399" s="28" t="str">
        <f aca="false">IF(F399="","",IFERROR(INDEX('Hitting Drills'!$D$6:$D$45,MATCH(F399,'Hitting Drills'!$B$6:$B$45,0)),"Not a hitting drill ID"))</f>
        <v/>
      </c>
      <c r="H399" s="27"/>
      <c r="I399" s="27"/>
      <c r="J399" s="27"/>
      <c r="K399" s="27"/>
      <c r="L399" s="27"/>
      <c r="M399" s="27"/>
      <c r="N399" s="27"/>
      <c r="O399" s="27"/>
      <c r="P399" s="27"/>
      <c r="Q399" s="27"/>
      <c r="R399" s="27"/>
      <c r="S399" s="29" t="str">
        <f aca="false">IF(OR(B399="",C399=""),"",IF(COUNTIFS($B$5:B399,B399,$C$5:C399,C399)=1,1,0))</f>
        <v/>
      </c>
      <c r="T399" s="29" t="str">
        <f aca="false">IF(OR(B399="",C399="",E399=""),"",IF(COUNTIFS($B$5:B399,B399,$C$5:C399,C399,$E$5:E399,E399)=1,1,0))</f>
        <v/>
      </c>
      <c r="U399" s="28" t="str">
        <f aca="false">IF(COUNTA(B399:C399,E399:F399,H399:P399)=0,"",IF(OR(B399="",C399="",E399=""),"Check: date, player, and context required",IF(AND(ISNUMBER(J399),ISNUMBER(I399),J399&gt;I399),"Check: solid contacts &gt; swings",IF(AND(ISNUMBER(L399),ISNUMBER(K399),L399&gt;K399),"Check: correct &gt; assessed decisions",IF(AND(ISNUMBER(N399),ISNUMBER(M399),N399&gt;M399),"Check: intended &gt; assessed landings",IF(AND(ISNUMBER(J399),I399=""),"Check: solid contacts without swings","OK"))))))</f>
        <v/>
      </c>
    </row>
    <row r="400" customFormat="false" ht="15" hidden="false" customHeight="false" outlineLevel="0" collapsed="false">
      <c r="B400" s="26"/>
      <c r="C400" s="27"/>
      <c r="D400" s="28" t="str">
        <f aca="false">IF(C400="","",IFERROR(INDEX(Players!$C$5:$C$104,MATCH(C400,Players!$B$5:$B$104,0)),"ID not found"))</f>
        <v/>
      </c>
      <c r="E400" s="27"/>
      <c r="F400" s="27"/>
      <c r="G400" s="28" t="str">
        <f aca="false">IF(F400="","",IFERROR(INDEX('Hitting Drills'!$D$6:$D$45,MATCH(F400,'Hitting Drills'!$B$6:$B$45,0)),"Not a hitting drill ID"))</f>
        <v/>
      </c>
      <c r="H400" s="27"/>
      <c r="I400" s="27"/>
      <c r="J400" s="27"/>
      <c r="K400" s="27"/>
      <c r="L400" s="27"/>
      <c r="M400" s="27"/>
      <c r="N400" s="27"/>
      <c r="O400" s="27"/>
      <c r="P400" s="27"/>
      <c r="Q400" s="27"/>
      <c r="R400" s="27"/>
      <c r="S400" s="29" t="str">
        <f aca="false">IF(OR(B400="",C400=""),"",IF(COUNTIFS($B$5:B400,B400,$C$5:C400,C400)=1,1,0))</f>
        <v/>
      </c>
      <c r="T400" s="29" t="str">
        <f aca="false">IF(OR(B400="",C400="",E400=""),"",IF(COUNTIFS($B$5:B400,B400,$C$5:C400,C400,$E$5:E400,E400)=1,1,0))</f>
        <v/>
      </c>
      <c r="U400" s="28" t="str">
        <f aca="false">IF(COUNTA(B400:C400,E400:F400,H400:P400)=0,"",IF(OR(B400="",C400="",E400=""),"Check: date, player, and context required",IF(AND(ISNUMBER(J400),ISNUMBER(I400),J400&gt;I400),"Check: solid contacts &gt; swings",IF(AND(ISNUMBER(L400),ISNUMBER(K400),L400&gt;K400),"Check: correct &gt; assessed decisions",IF(AND(ISNUMBER(N400),ISNUMBER(M400),N400&gt;M400),"Check: intended &gt; assessed landings",IF(AND(ISNUMBER(J400),I400=""),"Check: solid contacts without swings","OK"))))))</f>
        <v/>
      </c>
    </row>
    <row r="401" customFormat="false" ht="15" hidden="false" customHeight="false" outlineLevel="0" collapsed="false">
      <c r="B401" s="26"/>
      <c r="C401" s="27"/>
      <c r="D401" s="28" t="str">
        <f aca="false">IF(C401="","",IFERROR(INDEX(Players!$C$5:$C$104,MATCH(C401,Players!$B$5:$B$104,0)),"ID not found"))</f>
        <v/>
      </c>
      <c r="E401" s="27"/>
      <c r="F401" s="27"/>
      <c r="G401" s="28" t="str">
        <f aca="false">IF(F401="","",IFERROR(INDEX('Hitting Drills'!$D$6:$D$45,MATCH(F401,'Hitting Drills'!$B$6:$B$45,0)),"Not a hitting drill ID"))</f>
        <v/>
      </c>
      <c r="H401" s="27"/>
      <c r="I401" s="27"/>
      <c r="J401" s="27"/>
      <c r="K401" s="27"/>
      <c r="L401" s="27"/>
      <c r="M401" s="27"/>
      <c r="N401" s="27"/>
      <c r="O401" s="27"/>
      <c r="P401" s="27"/>
      <c r="Q401" s="27"/>
      <c r="R401" s="27"/>
      <c r="S401" s="29" t="str">
        <f aca="false">IF(OR(B401="",C401=""),"",IF(COUNTIFS($B$5:B401,B401,$C$5:C401,C401)=1,1,0))</f>
        <v/>
      </c>
      <c r="T401" s="29" t="str">
        <f aca="false">IF(OR(B401="",C401="",E401=""),"",IF(COUNTIFS($B$5:B401,B401,$C$5:C401,C401,$E$5:E401,E401)=1,1,0))</f>
        <v/>
      </c>
      <c r="U401" s="28" t="str">
        <f aca="false">IF(COUNTA(B401:C401,E401:F401,H401:P401)=0,"",IF(OR(B401="",C401="",E401=""),"Check: date, player, and context required",IF(AND(ISNUMBER(J401),ISNUMBER(I401),J401&gt;I401),"Check: solid contacts &gt; swings",IF(AND(ISNUMBER(L401),ISNUMBER(K401),L401&gt;K401),"Check: correct &gt; assessed decisions",IF(AND(ISNUMBER(N401),ISNUMBER(M401),N401&gt;M401),"Check: intended &gt; assessed landings",IF(AND(ISNUMBER(J401),I401=""),"Check: solid contacts without swings","OK"))))))</f>
        <v/>
      </c>
    </row>
    <row r="402" customFormat="false" ht="15" hidden="false" customHeight="false" outlineLevel="0" collapsed="false">
      <c r="B402" s="26"/>
      <c r="C402" s="27"/>
      <c r="D402" s="28" t="str">
        <f aca="false">IF(C402="","",IFERROR(INDEX(Players!$C$5:$C$104,MATCH(C402,Players!$B$5:$B$104,0)),"ID not found"))</f>
        <v/>
      </c>
      <c r="E402" s="27"/>
      <c r="F402" s="27"/>
      <c r="G402" s="28" t="str">
        <f aca="false">IF(F402="","",IFERROR(INDEX('Hitting Drills'!$D$6:$D$45,MATCH(F402,'Hitting Drills'!$B$6:$B$45,0)),"Not a hitting drill ID"))</f>
        <v/>
      </c>
      <c r="H402" s="27"/>
      <c r="I402" s="27"/>
      <c r="J402" s="27"/>
      <c r="K402" s="27"/>
      <c r="L402" s="27"/>
      <c r="M402" s="27"/>
      <c r="N402" s="27"/>
      <c r="O402" s="27"/>
      <c r="P402" s="27"/>
      <c r="Q402" s="27"/>
      <c r="R402" s="27"/>
      <c r="S402" s="29" t="str">
        <f aca="false">IF(OR(B402="",C402=""),"",IF(COUNTIFS($B$5:B402,B402,$C$5:C402,C402)=1,1,0))</f>
        <v/>
      </c>
      <c r="T402" s="29" t="str">
        <f aca="false">IF(OR(B402="",C402="",E402=""),"",IF(COUNTIFS($B$5:B402,B402,$C$5:C402,C402,$E$5:E402,E402)=1,1,0))</f>
        <v/>
      </c>
      <c r="U402" s="28" t="str">
        <f aca="false">IF(COUNTA(B402:C402,E402:F402,H402:P402)=0,"",IF(OR(B402="",C402="",E402=""),"Check: date, player, and context required",IF(AND(ISNUMBER(J402),ISNUMBER(I402),J402&gt;I402),"Check: solid contacts &gt; swings",IF(AND(ISNUMBER(L402),ISNUMBER(K402),L402&gt;K402),"Check: correct &gt; assessed decisions",IF(AND(ISNUMBER(N402),ISNUMBER(M402),N402&gt;M402),"Check: intended &gt; assessed landings",IF(AND(ISNUMBER(J402),I402=""),"Check: solid contacts without swings","OK"))))))</f>
        <v/>
      </c>
    </row>
    <row r="403" customFormat="false" ht="15" hidden="false" customHeight="false" outlineLevel="0" collapsed="false">
      <c r="B403" s="26"/>
      <c r="C403" s="27"/>
      <c r="D403" s="28" t="str">
        <f aca="false">IF(C403="","",IFERROR(INDEX(Players!$C$5:$C$104,MATCH(C403,Players!$B$5:$B$104,0)),"ID not found"))</f>
        <v/>
      </c>
      <c r="E403" s="27"/>
      <c r="F403" s="27"/>
      <c r="G403" s="28" t="str">
        <f aca="false">IF(F403="","",IFERROR(INDEX('Hitting Drills'!$D$6:$D$45,MATCH(F403,'Hitting Drills'!$B$6:$B$45,0)),"Not a hitting drill ID"))</f>
        <v/>
      </c>
      <c r="H403" s="27"/>
      <c r="I403" s="27"/>
      <c r="J403" s="27"/>
      <c r="K403" s="27"/>
      <c r="L403" s="27"/>
      <c r="M403" s="27"/>
      <c r="N403" s="27"/>
      <c r="O403" s="27"/>
      <c r="P403" s="27"/>
      <c r="Q403" s="27"/>
      <c r="R403" s="27"/>
      <c r="S403" s="29" t="str">
        <f aca="false">IF(OR(B403="",C403=""),"",IF(COUNTIFS($B$5:B403,B403,$C$5:C403,C403)=1,1,0))</f>
        <v/>
      </c>
      <c r="T403" s="29" t="str">
        <f aca="false">IF(OR(B403="",C403="",E403=""),"",IF(COUNTIFS($B$5:B403,B403,$C$5:C403,C403,$E$5:E403,E403)=1,1,0))</f>
        <v/>
      </c>
      <c r="U403" s="28" t="str">
        <f aca="false">IF(COUNTA(B403:C403,E403:F403,H403:P403)=0,"",IF(OR(B403="",C403="",E403=""),"Check: date, player, and context required",IF(AND(ISNUMBER(J403),ISNUMBER(I403),J403&gt;I403),"Check: solid contacts &gt; swings",IF(AND(ISNUMBER(L403),ISNUMBER(K403),L403&gt;K403),"Check: correct &gt; assessed decisions",IF(AND(ISNUMBER(N403),ISNUMBER(M403),N403&gt;M403),"Check: intended &gt; assessed landings",IF(AND(ISNUMBER(J403),I403=""),"Check: solid contacts without swings","OK"))))))</f>
        <v/>
      </c>
    </row>
    <row r="404" customFormat="false" ht="15" hidden="false" customHeight="false" outlineLevel="0" collapsed="false">
      <c r="B404" s="26"/>
      <c r="C404" s="27"/>
      <c r="D404" s="28" t="str">
        <f aca="false">IF(C404="","",IFERROR(INDEX(Players!$C$5:$C$104,MATCH(C404,Players!$B$5:$B$104,0)),"ID not found"))</f>
        <v/>
      </c>
      <c r="E404" s="27"/>
      <c r="F404" s="27"/>
      <c r="G404" s="28" t="str">
        <f aca="false">IF(F404="","",IFERROR(INDEX('Hitting Drills'!$D$6:$D$45,MATCH(F404,'Hitting Drills'!$B$6:$B$45,0)),"Not a hitting drill ID"))</f>
        <v/>
      </c>
      <c r="H404" s="27"/>
      <c r="I404" s="27"/>
      <c r="J404" s="27"/>
      <c r="K404" s="27"/>
      <c r="L404" s="27"/>
      <c r="M404" s="27"/>
      <c r="N404" s="27"/>
      <c r="O404" s="27"/>
      <c r="P404" s="27"/>
      <c r="Q404" s="27"/>
      <c r="R404" s="27"/>
      <c r="S404" s="29" t="str">
        <f aca="false">IF(OR(B404="",C404=""),"",IF(COUNTIFS($B$5:B404,B404,$C$5:C404,C404)=1,1,0))</f>
        <v/>
      </c>
      <c r="T404" s="29" t="str">
        <f aca="false">IF(OR(B404="",C404="",E404=""),"",IF(COUNTIFS($B$5:B404,B404,$C$5:C404,C404,$E$5:E404,E404)=1,1,0))</f>
        <v/>
      </c>
      <c r="U404" s="28" t="str">
        <f aca="false">IF(COUNTA(B404:C404,E404:F404,H404:P404)=0,"",IF(OR(B404="",C404="",E404=""),"Check: date, player, and context required",IF(AND(ISNUMBER(J404),ISNUMBER(I404),J404&gt;I404),"Check: solid contacts &gt; swings",IF(AND(ISNUMBER(L404),ISNUMBER(K404),L404&gt;K404),"Check: correct &gt; assessed decisions",IF(AND(ISNUMBER(N404),ISNUMBER(M404),N404&gt;M404),"Check: intended &gt; assessed landings",IF(AND(ISNUMBER(J404),I404=""),"Check: solid contacts without swings","OK"))))))</f>
        <v/>
      </c>
    </row>
    <row r="405" customFormat="false" ht="15" hidden="false" customHeight="false" outlineLevel="0" collapsed="false">
      <c r="B405" s="26"/>
      <c r="C405" s="27"/>
      <c r="D405" s="28" t="str">
        <f aca="false">IF(C405="","",IFERROR(INDEX(Players!$C$5:$C$104,MATCH(C405,Players!$B$5:$B$104,0)),"ID not found"))</f>
        <v/>
      </c>
      <c r="E405" s="27"/>
      <c r="F405" s="27"/>
      <c r="G405" s="28" t="str">
        <f aca="false">IF(F405="","",IFERROR(INDEX('Hitting Drills'!$D$6:$D$45,MATCH(F405,'Hitting Drills'!$B$6:$B$45,0)),"Not a hitting drill ID"))</f>
        <v/>
      </c>
      <c r="H405" s="27"/>
      <c r="I405" s="27"/>
      <c r="J405" s="27"/>
      <c r="K405" s="27"/>
      <c r="L405" s="27"/>
      <c r="M405" s="27"/>
      <c r="N405" s="27"/>
      <c r="O405" s="27"/>
      <c r="P405" s="27"/>
      <c r="Q405" s="27"/>
      <c r="R405" s="27"/>
      <c r="S405" s="29" t="str">
        <f aca="false">IF(OR(B405="",C405=""),"",IF(COUNTIFS($B$5:B405,B405,$C$5:C405,C405)=1,1,0))</f>
        <v/>
      </c>
      <c r="T405" s="29" t="str">
        <f aca="false">IF(OR(B405="",C405="",E405=""),"",IF(COUNTIFS($B$5:B405,B405,$C$5:C405,C405,$E$5:E405,E405)=1,1,0))</f>
        <v/>
      </c>
      <c r="U405" s="28" t="str">
        <f aca="false">IF(COUNTA(B405:C405,E405:F405,H405:P405)=0,"",IF(OR(B405="",C405="",E405=""),"Check: date, player, and context required",IF(AND(ISNUMBER(J405),ISNUMBER(I405),J405&gt;I405),"Check: solid contacts &gt; swings",IF(AND(ISNUMBER(L405),ISNUMBER(K405),L405&gt;K405),"Check: correct &gt; assessed decisions",IF(AND(ISNUMBER(N405),ISNUMBER(M405),N405&gt;M405),"Check: intended &gt; assessed landings",IF(AND(ISNUMBER(J405),I405=""),"Check: solid contacts without swings","OK"))))))</f>
        <v/>
      </c>
    </row>
    <row r="406" customFormat="false" ht="15" hidden="false" customHeight="false" outlineLevel="0" collapsed="false">
      <c r="B406" s="26"/>
      <c r="C406" s="27"/>
      <c r="D406" s="28" t="str">
        <f aca="false">IF(C406="","",IFERROR(INDEX(Players!$C$5:$C$104,MATCH(C406,Players!$B$5:$B$104,0)),"ID not found"))</f>
        <v/>
      </c>
      <c r="E406" s="27"/>
      <c r="F406" s="27"/>
      <c r="G406" s="28" t="str">
        <f aca="false">IF(F406="","",IFERROR(INDEX('Hitting Drills'!$D$6:$D$45,MATCH(F406,'Hitting Drills'!$B$6:$B$45,0)),"Not a hitting drill ID"))</f>
        <v/>
      </c>
      <c r="H406" s="27"/>
      <c r="I406" s="27"/>
      <c r="J406" s="27"/>
      <c r="K406" s="27"/>
      <c r="L406" s="27"/>
      <c r="M406" s="27"/>
      <c r="N406" s="27"/>
      <c r="O406" s="27"/>
      <c r="P406" s="27"/>
      <c r="Q406" s="27"/>
      <c r="R406" s="27"/>
      <c r="S406" s="29" t="str">
        <f aca="false">IF(OR(B406="",C406=""),"",IF(COUNTIFS($B$5:B406,B406,$C$5:C406,C406)=1,1,0))</f>
        <v/>
      </c>
      <c r="T406" s="29" t="str">
        <f aca="false">IF(OR(B406="",C406="",E406=""),"",IF(COUNTIFS($B$5:B406,B406,$C$5:C406,C406,$E$5:E406,E406)=1,1,0))</f>
        <v/>
      </c>
      <c r="U406" s="28" t="str">
        <f aca="false">IF(COUNTA(B406:C406,E406:F406,H406:P406)=0,"",IF(OR(B406="",C406="",E406=""),"Check: date, player, and context required",IF(AND(ISNUMBER(J406),ISNUMBER(I406),J406&gt;I406),"Check: solid contacts &gt; swings",IF(AND(ISNUMBER(L406),ISNUMBER(K406),L406&gt;K406),"Check: correct &gt; assessed decisions",IF(AND(ISNUMBER(N406),ISNUMBER(M406),N406&gt;M406),"Check: intended &gt; assessed landings",IF(AND(ISNUMBER(J406),I406=""),"Check: solid contacts without swings","OK"))))))</f>
        <v/>
      </c>
    </row>
    <row r="407" customFormat="false" ht="15" hidden="false" customHeight="false" outlineLevel="0" collapsed="false">
      <c r="B407" s="26"/>
      <c r="C407" s="27"/>
      <c r="D407" s="28" t="str">
        <f aca="false">IF(C407="","",IFERROR(INDEX(Players!$C$5:$C$104,MATCH(C407,Players!$B$5:$B$104,0)),"ID not found"))</f>
        <v/>
      </c>
      <c r="E407" s="27"/>
      <c r="F407" s="27"/>
      <c r="G407" s="28" t="str">
        <f aca="false">IF(F407="","",IFERROR(INDEX('Hitting Drills'!$D$6:$D$45,MATCH(F407,'Hitting Drills'!$B$6:$B$45,0)),"Not a hitting drill ID"))</f>
        <v/>
      </c>
      <c r="H407" s="27"/>
      <c r="I407" s="27"/>
      <c r="J407" s="27"/>
      <c r="K407" s="27"/>
      <c r="L407" s="27"/>
      <c r="M407" s="27"/>
      <c r="N407" s="27"/>
      <c r="O407" s="27"/>
      <c r="P407" s="27"/>
      <c r="Q407" s="27"/>
      <c r="R407" s="27"/>
      <c r="S407" s="29" t="str">
        <f aca="false">IF(OR(B407="",C407=""),"",IF(COUNTIFS($B$5:B407,B407,$C$5:C407,C407)=1,1,0))</f>
        <v/>
      </c>
      <c r="T407" s="29" t="str">
        <f aca="false">IF(OR(B407="",C407="",E407=""),"",IF(COUNTIFS($B$5:B407,B407,$C$5:C407,C407,$E$5:E407,E407)=1,1,0))</f>
        <v/>
      </c>
      <c r="U407" s="28" t="str">
        <f aca="false">IF(COUNTA(B407:C407,E407:F407,H407:P407)=0,"",IF(OR(B407="",C407="",E407=""),"Check: date, player, and context required",IF(AND(ISNUMBER(J407),ISNUMBER(I407),J407&gt;I407),"Check: solid contacts &gt; swings",IF(AND(ISNUMBER(L407),ISNUMBER(K407),L407&gt;K407),"Check: correct &gt; assessed decisions",IF(AND(ISNUMBER(N407),ISNUMBER(M407),N407&gt;M407),"Check: intended &gt; assessed landings",IF(AND(ISNUMBER(J407),I407=""),"Check: solid contacts without swings","OK"))))))</f>
        <v/>
      </c>
    </row>
    <row r="408" customFormat="false" ht="15" hidden="false" customHeight="false" outlineLevel="0" collapsed="false">
      <c r="B408" s="26"/>
      <c r="C408" s="27"/>
      <c r="D408" s="28" t="str">
        <f aca="false">IF(C408="","",IFERROR(INDEX(Players!$C$5:$C$104,MATCH(C408,Players!$B$5:$B$104,0)),"ID not found"))</f>
        <v/>
      </c>
      <c r="E408" s="27"/>
      <c r="F408" s="27"/>
      <c r="G408" s="28" t="str">
        <f aca="false">IF(F408="","",IFERROR(INDEX('Hitting Drills'!$D$6:$D$45,MATCH(F408,'Hitting Drills'!$B$6:$B$45,0)),"Not a hitting drill ID"))</f>
        <v/>
      </c>
      <c r="H408" s="27"/>
      <c r="I408" s="27"/>
      <c r="J408" s="27"/>
      <c r="K408" s="27"/>
      <c r="L408" s="27"/>
      <c r="M408" s="27"/>
      <c r="N408" s="27"/>
      <c r="O408" s="27"/>
      <c r="P408" s="27"/>
      <c r="Q408" s="27"/>
      <c r="R408" s="27"/>
      <c r="S408" s="29" t="str">
        <f aca="false">IF(OR(B408="",C408=""),"",IF(COUNTIFS($B$5:B408,B408,$C$5:C408,C408)=1,1,0))</f>
        <v/>
      </c>
      <c r="T408" s="29" t="str">
        <f aca="false">IF(OR(B408="",C408="",E408=""),"",IF(COUNTIFS($B$5:B408,B408,$C$5:C408,C408,$E$5:E408,E408)=1,1,0))</f>
        <v/>
      </c>
      <c r="U408" s="28" t="str">
        <f aca="false">IF(COUNTA(B408:C408,E408:F408,H408:P408)=0,"",IF(OR(B408="",C408="",E408=""),"Check: date, player, and context required",IF(AND(ISNUMBER(J408),ISNUMBER(I408),J408&gt;I408),"Check: solid contacts &gt; swings",IF(AND(ISNUMBER(L408),ISNUMBER(K408),L408&gt;K408),"Check: correct &gt; assessed decisions",IF(AND(ISNUMBER(N408),ISNUMBER(M408),N408&gt;M408),"Check: intended &gt; assessed landings",IF(AND(ISNUMBER(J408),I408=""),"Check: solid contacts without swings","OK"))))))</f>
        <v/>
      </c>
    </row>
    <row r="409" customFormat="false" ht="15" hidden="false" customHeight="false" outlineLevel="0" collapsed="false">
      <c r="B409" s="26"/>
      <c r="C409" s="27"/>
      <c r="D409" s="28" t="str">
        <f aca="false">IF(C409="","",IFERROR(INDEX(Players!$C$5:$C$104,MATCH(C409,Players!$B$5:$B$104,0)),"ID not found"))</f>
        <v/>
      </c>
      <c r="E409" s="27"/>
      <c r="F409" s="27"/>
      <c r="G409" s="28" t="str">
        <f aca="false">IF(F409="","",IFERROR(INDEX('Hitting Drills'!$D$6:$D$45,MATCH(F409,'Hitting Drills'!$B$6:$B$45,0)),"Not a hitting drill ID"))</f>
        <v/>
      </c>
      <c r="H409" s="27"/>
      <c r="I409" s="27"/>
      <c r="J409" s="27"/>
      <c r="K409" s="27"/>
      <c r="L409" s="27"/>
      <c r="M409" s="27"/>
      <c r="N409" s="27"/>
      <c r="O409" s="27"/>
      <c r="P409" s="27"/>
      <c r="Q409" s="27"/>
      <c r="R409" s="27"/>
      <c r="S409" s="29" t="str">
        <f aca="false">IF(OR(B409="",C409=""),"",IF(COUNTIFS($B$5:B409,B409,$C$5:C409,C409)=1,1,0))</f>
        <v/>
      </c>
      <c r="T409" s="29" t="str">
        <f aca="false">IF(OR(B409="",C409="",E409=""),"",IF(COUNTIFS($B$5:B409,B409,$C$5:C409,C409,$E$5:E409,E409)=1,1,0))</f>
        <v/>
      </c>
      <c r="U409" s="28" t="str">
        <f aca="false">IF(COUNTA(B409:C409,E409:F409,H409:P409)=0,"",IF(OR(B409="",C409="",E409=""),"Check: date, player, and context required",IF(AND(ISNUMBER(J409),ISNUMBER(I409),J409&gt;I409),"Check: solid contacts &gt; swings",IF(AND(ISNUMBER(L409),ISNUMBER(K409),L409&gt;K409),"Check: correct &gt; assessed decisions",IF(AND(ISNUMBER(N409),ISNUMBER(M409),N409&gt;M409),"Check: intended &gt; assessed landings",IF(AND(ISNUMBER(J409),I409=""),"Check: solid contacts without swings","OK"))))))</f>
        <v/>
      </c>
    </row>
    <row r="410" customFormat="false" ht="15" hidden="false" customHeight="false" outlineLevel="0" collapsed="false">
      <c r="B410" s="26"/>
      <c r="C410" s="27"/>
      <c r="D410" s="28" t="str">
        <f aca="false">IF(C410="","",IFERROR(INDEX(Players!$C$5:$C$104,MATCH(C410,Players!$B$5:$B$104,0)),"ID not found"))</f>
        <v/>
      </c>
      <c r="E410" s="27"/>
      <c r="F410" s="27"/>
      <c r="G410" s="28" t="str">
        <f aca="false">IF(F410="","",IFERROR(INDEX('Hitting Drills'!$D$6:$D$45,MATCH(F410,'Hitting Drills'!$B$6:$B$45,0)),"Not a hitting drill ID"))</f>
        <v/>
      </c>
      <c r="H410" s="27"/>
      <c r="I410" s="27"/>
      <c r="J410" s="27"/>
      <c r="K410" s="27"/>
      <c r="L410" s="27"/>
      <c r="M410" s="27"/>
      <c r="N410" s="27"/>
      <c r="O410" s="27"/>
      <c r="P410" s="27"/>
      <c r="Q410" s="27"/>
      <c r="R410" s="27"/>
      <c r="S410" s="29" t="str">
        <f aca="false">IF(OR(B410="",C410=""),"",IF(COUNTIFS($B$5:B410,B410,$C$5:C410,C410)=1,1,0))</f>
        <v/>
      </c>
      <c r="T410" s="29" t="str">
        <f aca="false">IF(OR(B410="",C410="",E410=""),"",IF(COUNTIFS($B$5:B410,B410,$C$5:C410,C410,$E$5:E410,E410)=1,1,0))</f>
        <v/>
      </c>
      <c r="U410" s="28" t="str">
        <f aca="false">IF(COUNTA(B410:C410,E410:F410,H410:P410)=0,"",IF(OR(B410="",C410="",E410=""),"Check: date, player, and context required",IF(AND(ISNUMBER(J410),ISNUMBER(I410),J410&gt;I410),"Check: solid contacts &gt; swings",IF(AND(ISNUMBER(L410),ISNUMBER(K410),L410&gt;K410),"Check: correct &gt; assessed decisions",IF(AND(ISNUMBER(N410),ISNUMBER(M410),N410&gt;M410),"Check: intended &gt; assessed landings",IF(AND(ISNUMBER(J410),I410=""),"Check: solid contacts without swings","OK"))))))</f>
        <v/>
      </c>
    </row>
    <row r="411" customFormat="false" ht="15" hidden="false" customHeight="false" outlineLevel="0" collapsed="false">
      <c r="B411" s="26"/>
      <c r="C411" s="27"/>
      <c r="D411" s="28" t="str">
        <f aca="false">IF(C411="","",IFERROR(INDEX(Players!$C$5:$C$104,MATCH(C411,Players!$B$5:$B$104,0)),"ID not found"))</f>
        <v/>
      </c>
      <c r="E411" s="27"/>
      <c r="F411" s="27"/>
      <c r="G411" s="28" t="str">
        <f aca="false">IF(F411="","",IFERROR(INDEX('Hitting Drills'!$D$6:$D$45,MATCH(F411,'Hitting Drills'!$B$6:$B$45,0)),"Not a hitting drill ID"))</f>
        <v/>
      </c>
      <c r="H411" s="27"/>
      <c r="I411" s="27"/>
      <c r="J411" s="27"/>
      <c r="K411" s="27"/>
      <c r="L411" s="27"/>
      <c r="M411" s="27"/>
      <c r="N411" s="27"/>
      <c r="O411" s="27"/>
      <c r="P411" s="27"/>
      <c r="Q411" s="27"/>
      <c r="R411" s="27"/>
      <c r="S411" s="29" t="str">
        <f aca="false">IF(OR(B411="",C411=""),"",IF(COUNTIFS($B$5:B411,B411,$C$5:C411,C411)=1,1,0))</f>
        <v/>
      </c>
      <c r="T411" s="29" t="str">
        <f aca="false">IF(OR(B411="",C411="",E411=""),"",IF(COUNTIFS($B$5:B411,B411,$C$5:C411,C411,$E$5:E411,E411)=1,1,0))</f>
        <v/>
      </c>
      <c r="U411" s="28" t="str">
        <f aca="false">IF(COUNTA(B411:C411,E411:F411,H411:P411)=0,"",IF(OR(B411="",C411="",E411=""),"Check: date, player, and context required",IF(AND(ISNUMBER(J411),ISNUMBER(I411),J411&gt;I411),"Check: solid contacts &gt; swings",IF(AND(ISNUMBER(L411),ISNUMBER(K411),L411&gt;K411),"Check: correct &gt; assessed decisions",IF(AND(ISNUMBER(N411),ISNUMBER(M411),N411&gt;M411),"Check: intended &gt; assessed landings",IF(AND(ISNUMBER(J411),I411=""),"Check: solid contacts without swings","OK"))))))</f>
        <v/>
      </c>
    </row>
    <row r="412" customFormat="false" ht="15" hidden="false" customHeight="false" outlineLevel="0" collapsed="false">
      <c r="B412" s="26"/>
      <c r="C412" s="27"/>
      <c r="D412" s="28" t="str">
        <f aca="false">IF(C412="","",IFERROR(INDEX(Players!$C$5:$C$104,MATCH(C412,Players!$B$5:$B$104,0)),"ID not found"))</f>
        <v/>
      </c>
      <c r="E412" s="27"/>
      <c r="F412" s="27"/>
      <c r="G412" s="28" t="str">
        <f aca="false">IF(F412="","",IFERROR(INDEX('Hitting Drills'!$D$6:$D$45,MATCH(F412,'Hitting Drills'!$B$6:$B$45,0)),"Not a hitting drill ID"))</f>
        <v/>
      </c>
      <c r="H412" s="27"/>
      <c r="I412" s="27"/>
      <c r="J412" s="27"/>
      <c r="K412" s="27"/>
      <c r="L412" s="27"/>
      <c r="M412" s="27"/>
      <c r="N412" s="27"/>
      <c r="O412" s="27"/>
      <c r="P412" s="27"/>
      <c r="Q412" s="27"/>
      <c r="R412" s="27"/>
      <c r="S412" s="29" t="str">
        <f aca="false">IF(OR(B412="",C412=""),"",IF(COUNTIFS($B$5:B412,B412,$C$5:C412,C412)=1,1,0))</f>
        <v/>
      </c>
      <c r="T412" s="29" t="str">
        <f aca="false">IF(OR(B412="",C412="",E412=""),"",IF(COUNTIFS($B$5:B412,B412,$C$5:C412,C412,$E$5:E412,E412)=1,1,0))</f>
        <v/>
      </c>
      <c r="U412" s="28" t="str">
        <f aca="false">IF(COUNTA(B412:C412,E412:F412,H412:P412)=0,"",IF(OR(B412="",C412="",E412=""),"Check: date, player, and context required",IF(AND(ISNUMBER(J412),ISNUMBER(I412),J412&gt;I412),"Check: solid contacts &gt; swings",IF(AND(ISNUMBER(L412),ISNUMBER(K412),L412&gt;K412),"Check: correct &gt; assessed decisions",IF(AND(ISNUMBER(N412),ISNUMBER(M412),N412&gt;M412),"Check: intended &gt; assessed landings",IF(AND(ISNUMBER(J412),I412=""),"Check: solid contacts without swings","OK"))))))</f>
        <v/>
      </c>
    </row>
    <row r="413" customFormat="false" ht="15" hidden="false" customHeight="false" outlineLevel="0" collapsed="false">
      <c r="B413" s="26"/>
      <c r="C413" s="27"/>
      <c r="D413" s="28" t="str">
        <f aca="false">IF(C413="","",IFERROR(INDEX(Players!$C$5:$C$104,MATCH(C413,Players!$B$5:$B$104,0)),"ID not found"))</f>
        <v/>
      </c>
      <c r="E413" s="27"/>
      <c r="F413" s="27"/>
      <c r="G413" s="28" t="str">
        <f aca="false">IF(F413="","",IFERROR(INDEX('Hitting Drills'!$D$6:$D$45,MATCH(F413,'Hitting Drills'!$B$6:$B$45,0)),"Not a hitting drill ID"))</f>
        <v/>
      </c>
      <c r="H413" s="27"/>
      <c r="I413" s="27"/>
      <c r="J413" s="27"/>
      <c r="K413" s="27"/>
      <c r="L413" s="27"/>
      <c r="M413" s="27"/>
      <c r="N413" s="27"/>
      <c r="O413" s="27"/>
      <c r="P413" s="27"/>
      <c r="Q413" s="27"/>
      <c r="R413" s="27"/>
      <c r="S413" s="29" t="str">
        <f aca="false">IF(OR(B413="",C413=""),"",IF(COUNTIFS($B$5:B413,B413,$C$5:C413,C413)=1,1,0))</f>
        <v/>
      </c>
      <c r="T413" s="29" t="str">
        <f aca="false">IF(OR(B413="",C413="",E413=""),"",IF(COUNTIFS($B$5:B413,B413,$C$5:C413,C413,$E$5:E413,E413)=1,1,0))</f>
        <v/>
      </c>
      <c r="U413" s="28" t="str">
        <f aca="false">IF(COUNTA(B413:C413,E413:F413,H413:P413)=0,"",IF(OR(B413="",C413="",E413=""),"Check: date, player, and context required",IF(AND(ISNUMBER(J413),ISNUMBER(I413),J413&gt;I413),"Check: solid contacts &gt; swings",IF(AND(ISNUMBER(L413),ISNUMBER(K413),L413&gt;K413),"Check: correct &gt; assessed decisions",IF(AND(ISNUMBER(N413),ISNUMBER(M413),N413&gt;M413),"Check: intended &gt; assessed landings",IF(AND(ISNUMBER(J413),I413=""),"Check: solid contacts without swings","OK"))))))</f>
        <v/>
      </c>
    </row>
    <row r="414" customFormat="false" ht="15" hidden="false" customHeight="false" outlineLevel="0" collapsed="false">
      <c r="B414" s="26"/>
      <c r="C414" s="27"/>
      <c r="D414" s="28" t="str">
        <f aca="false">IF(C414="","",IFERROR(INDEX(Players!$C$5:$C$104,MATCH(C414,Players!$B$5:$B$104,0)),"ID not found"))</f>
        <v/>
      </c>
      <c r="E414" s="27"/>
      <c r="F414" s="27"/>
      <c r="G414" s="28" t="str">
        <f aca="false">IF(F414="","",IFERROR(INDEX('Hitting Drills'!$D$6:$D$45,MATCH(F414,'Hitting Drills'!$B$6:$B$45,0)),"Not a hitting drill ID"))</f>
        <v/>
      </c>
      <c r="H414" s="27"/>
      <c r="I414" s="27"/>
      <c r="J414" s="27"/>
      <c r="K414" s="27"/>
      <c r="L414" s="27"/>
      <c r="M414" s="27"/>
      <c r="N414" s="27"/>
      <c r="O414" s="27"/>
      <c r="P414" s="27"/>
      <c r="Q414" s="27"/>
      <c r="R414" s="27"/>
      <c r="S414" s="29" t="str">
        <f aca="false">IF(OR(B414="",C414=""),"",IF(COUNTIFS($B$5:B414,B414,$C$5:C414,C414)=1,1,0))</f>
        <v/>
      </c>
      <c r="T414" s="29" t="str">
        <f aca="false">IF(OR(B414="",C414="",E414=""),"",IF(COUNTIFS($B$5:B414,B414,$C$5:C414,C414,$E$5:E414,E414)=1,1,0))</f>
        <v/>
      </c>
      <c r="U414" s="28" t="str">
        <f aca="false">IF(COUNTA(B414:C414,E414:F414,H414:P414)=0,"",IF(OR(B414="",C414="",E414=""),"Check: date, player, and context required",IF(AND(ISNUMBER(J414),ISNUMBER(I414),J414&gt;I414),"Check: solid contacts &gt; swings",IF(AND(ISNUMBER(L414),ISNUMBER(K414),L414&gt;K414),"Check: correct &gt; assessed decisions",IF(AND(ISNUMBER(N414),ISNUMBER(M414),N414&gt;M414),"Check: intended &gt; assessed landings",IF(AND(ISNUMBER(J414),I414=""),"Check: solid contacts without swings","OK"))))))</f>
        <v/>
      </c>
    </row>
    <row r="415" customFormat="false" ht="15" hidden="false" customHeight="false" outlineLevel="0" collapsed="false">
      <c r="B415" s="26"/>
      <c r="C415" s="27"/>
      <c r="D415" s="28" t="str">
        <f aca="false">IF(C415="","",IFERROR(INDEX(Players!$C$5:$C$104,MATCH(C415,Players!$B$5:$B$104,0)),"ID not found"))</f>
        <v/>
      </c>
      <c r="E415" s="27"/>
      <c r="F415" s="27"/>
      <c r="G415" s="28" t="str">
        <f aca="false">IF(F415="","",IFERROR(INDEX('Hitting Drills'!$D$6:$D$45,MATCH(F415,'Hitting Drills'!$B$6:$B$45,0)),"Not a hitting drill ID"))</f>
        <v/>
      </c>
      <c r="H415" s="27"/>
      <c r="I415" s="27"/>
      <c r="J415" s="27"/>
      <c r="K415" s="27"/>
      <c r="L415" s="27"/>
      <c r="M415" s="27"/>
      <c r="N415" s="27"/>
      <c r="O415" s="27"/>
      <c r="P415" s="27"/>
      <c r="Q415" s="27"/>
      <c r="R415" s="27"/>
      <c r="S415" s="29" t="str">
        <f aca="false">IF(OR(B415="",C415=""),"",IF(COUNTIFS($B$5:B415,B415,$C$5:C415,C415)=1,1,0))</f>
        <v/>
      </c>
      <c r="T415" s="29" t="str">
        <f aca="false">IF(OR(B415="",C415="",E415=""),"",IF(COUNTIFS($B$5:B415,B415,$C$5:C415,C415,$E$5:E415,E415)=1,1,0))</f>
        <v/>
      </c>
      <c r="U415" s="28" t="str">
        <f aca="false">IF(COUNTA(B415:C415,E415:F415,H415:P415)=0,"",IF(OR(B415="",C415="",E415=""),"Check: date, player, and context required",IF(AND(ISNUMBER(J415),ISNUMBER(I415),J415&gt;I415),"Check: solid contacts &gt; swings",IF(AND(ISNUMBER(L415),ISNUMBER(K415),L415&gt;K415),"Check: correct &gt; assessed decisions",IF(AND(ISNUMBER(N415),ISNUMBER(M415),N415&gt;M415),"Check: intended &gt; assessed landings",IF(AND(ISNUMBER(J415),I415=""),"Check: solid contacts without swings","OK"))))))</f>
        <v/>
      </c>
    </row>
    <row r="416" customFormat="false" ht="15" hidden="false" customHeight="false" outlineLevel="0" collapsed="false">
      <c r="B416" s="26"/>
      <c r="C416" s="27"/>
      <c r="D416" s="28" t="str">
        <f aca="false">IF(C416="","",IFERROR(INDEX(Players!$C$5:$C$104,MATCH(C416,Players!$B$5:$B$104,0)),"ID not found"))</f>
        <v/>
      </c>
      <c r="E416" s="27"/>
      <c r="F416" s="27"/>
      <c r="G416" s="28" t="str">
        <f aca="false">IF(F416="","",IFERROR(INDEX('Hitting Drills'!$D$6:$D$45,MATCH(F416,'Hitting Drills'!$B$6:$B$45,0)),"Not a hitting drill ID"))</f>
        <v/>
      </c>
      <c r="H416" s="27"/>
      <c r="I416" s="27"/>
      <c r="J416" s="27"/>
      <c r="K416" s="27"/>
      <c r="L416" s="27"/>
      <c r="M416" s="27"/>
      <c r="N416" s="27"/>
      <c r="O416" s="27"/>
      <c r="P416" s="27"/>
      <c r="Q416" s="27"/>
      <c r="R416" s="27"/>
      <c r="S416" s="29" t="str">
        <f aca="false">IF(OR(B416="",C416=""),"",IF(COUNTIFS($B$5:B416,B416,$C$5:C416,C416)=1,1,0))</f>
        <v/>
      </c>
      <c r="T416" s="29" t="str">
        <f aca="false">IF(OR(B416="",C416="",E416=""),"",IF(COUNTIFS($B$5:B416,B416,$C$5:C416,C416,$E$5:E416,E416)=1,1,0))</f>
        <v/>
      </c>
      <c r="U416" s="28" t="str">
        <f aca="false">IF(COUNTA(B416:C416,E416:F416,H416:P416)=0,"",IF(OR(B416="",C416="",E416=""),"Check: date, player, and context required",IF(AND(ISNUMBER(J416),ISNUMBER(I416),J416&gt;I416),"Check: solid contacts &gt; swings",IF(AND(ISNUMBER(L416),ISNUMBER(K416),L416&gt;K416),"Check: correct &gt; assessed decisions",IF(AND(ISNUMBER(N416),ISNUMBER(M416),N416&gt;M416),"Check: intended &gt; assessed landings",IF(AND(ISNUMBER(J416),I416=""),"Check: solid contacts without swings","OK"))))))</f>
        <v/>
      </c>
    </row>
    <row r="417" customFormat="false" ht="15" hidden="false" customHeight="false" outlineLevel="0" collapsed="false">
      <c r="B417" s="26"/>
      <c r="C417" s="27"/>
      <c r="D417" s="28" t="str">
        <f aca="false">IF(C417="","",IFERROR(INDEX(Players!$C$5:$C$104,MATCH(C417,Players!$B$5:$B$104,0)),"ID not found"))</f>
        <v/>
      </c>
      <c r="E417" s="27"/>
      <c r="F417" s="27"/>
      <c r="G417" s="28" t="str">
        <f aca="false">IF(F417="","",IFERROR(INDEX('Hitting Drills'!$D$6:$D$45,MATCH(F417,'Hitting Drills'!$B$6:$B$45,0)),"Not a hitting drill ID"))</f>
        <v/>
      </c>
      <c r="H417" s="27"/>
      <c r="I417" s="27"/>
      <c r="J417" s="27"/>
      <c r="K417" s="27"/>
      <c r="L417" s="27"/>
      <c r="M417" s="27"/>
      <c r="N417" s="27"/>
      <c r="O417" s="27"/>
      <c r="P417" s="27"/>
      <c r="Q417" s="27"/>
      <c r="R417" s="27"/>
      <c r="S417" s="29" t="str">
        <f aca="false">IF(OR(B417="",C417=""),"",IF(COUNTIFS($B$5:B417,B417,$C$5:C417,C417)=1,1,0))</f>
        <v/>
      </c>
      <c r="T417" s="29" t="str">
        <f aca="false">IF(OR(B417="",C417="",E417=""),"",IF(COUNTIFS($B$5:B417,B417,$C$5:C417,C417,$E$5:E417,E417)=1,1,0))</f>
        <v/>
      </c>
      <c r="U417" s="28" t="str">
        <f aca="false">IF(COUNTA(B417:C417,E417:F417,H417:P417)=0,"",IF(OR(B417="",C417="",E417=""),"Check: date, player, and context required",IF(AND(ISNUMBER(J417),ISNUMBER(I417),J417&gt;I417),"Check: solid contacts &gt; swings",IF(AND(ISNUMBER(L417),ISNUMBER(K417),L417&gt;K417),"Check: correct &gt; assessed decisions",IF(AND(ISNUMBER(N417),ISNUMBER(M417),N417&gt;M417),"Check: intended &gt; assessed landings",IF(AND(ISNUMBER(J417),I417=""),"Check: solid contacts without swings","OK"))))))</f>
        <v/>
      </c>
    </row>
    <row r="418" customFormat="false" ht="15" hidden="false" customHeight="false" outlineLevel="0" collapsed="false">
      <c r="B418" s="26"/>
      <c r="C418" s="27"/>
      <c r="D418" s="28" t="str">
        <f aca="false">IF(C418="","",IFERROR(INDEX(Players!$C$5:$C$104,MATCH(C418,Players!$B$5:$B$104,0)),"ID not found"))</f>
        <v/>
      </c>
      <c r="E418" s="27"/>
      <c r="F418" s="27"/>
      <c r="G418" s="28" t="str">
        <f aca="false">IF(F418="","",IFERROR(INDEX('Hitting Drills'!$D$6:$D$45,MATCH(F418,'Hitting Drills'!$B$6:$B$45,0)),"Not a hitting drill ID"))</f>
        <v/>
      </c>
      <c r="H418" s="27"/>
      <c r="I418" s="27"/>
      <c r="J418" s="27"/>
      <c r="K418" s="27"/>
      <c r="L418" s="27"/>
      <c r="M418" s="27"/>
      <c r="N418" s="27"/>
      <c r="O418" s="27"/>
      <c r="P418" s="27"/>
      <c r="Q418" s="27"/>
      <c r="R418" s="27"/>
      <c r="S418" s="29" t="str">
        <f aca="false">IF(OR(B418="",C418=""),"",IF(COUNTIFS($B$5:B418,B418,$C$5:C418,C418)=1,1,0))</f>
        <v/>
      </c>
      <c r="T418" s="29" t="str">
        <f aca="false">IF(OR(B418="",C418="",E418=""),"",IF(COUNTIFS($B$5:B418,B418,$C$5:C418,C418,$E$5:E418,E418)=1,1,0))</f>
        <v/>
      </c>
      <c r="U418" s="28" t="str">
        <f aca="false">IF(COUNTA(B418:C418,E418:F418,H418:P418)=0,"",IF(OR(B418="",C418="",E418=""),"Check: date, player, and context required",IF(AND(ISNUMBER(J418),ISNUMBER(I418),J418&gt;I418),"Check: solid contacts &gt; swings",IF(AND(ISNUMBER(L418),ISNUMBER(K418),L418&gt;K418),"Check: correct &gt; assessed decisions",IF(AND(ISNUMBER(N418),ISNUMBER(M418),N418&gt;M418),"Check: intended &gt; assessed landings",IF(AND(ISNUMBER(J418),I418=""),"Check: solid contacts without swings","OK"))))))</f>
        <v/>
      </c>
    </row>
    <row r="419" customFormat="false" ht="15" hidden="false" customHeight="false" outlineLevel="0" collapsed="false">
      <c r="B419" s="26"/>
      <c r="C419" s="27"/>
      <c r="D419" s="28" t="str">
        <f aca="false">IF(C419="","",IFERROR(INDEX(Players!$C$5:$C$104,MATCH(C419,Players!$B$5:$B$104,0)),"ID not found"))</f>
        <v/>
      </c>
      <c r="E419" s="27"/>
      <c r="F419" s="27"/>
      <c r="G419" s="28" t="str">
        <f aca="false">IF(F419="","",IFERROR(INDEX('Hitting Drills'!$D$6:$D$45,MATCH(F419,'Hitting Drills'!$B$6:$B$45,0)),"Not a hitting drill ID"))</f>
        <v/>
      </c>
      <c r="H419" s="27"/>
      <c r="I419" s="27"/>
      <c r="J419" s="27"/>
      <c r="K419" s="27"/>
      <c r="L419" s="27"/>
      <c r="M419" s="27"/>
      <c r="N419" s="27"/>
      <c r="O419" s="27"/>
      <c r="P419" s="27"/>
      <c r="Q419" s="27"/>
      <c r="R419" s="27"/>
      <c r="S419" s="29" t="str">
        <f aca="false">IF(OR(B419="",C419=""),"",IF(COUNTIFS($B$5:B419,B419,$C$5:C419,C419)=1,1,0))</f>
        <v/>
      </c>
      <c r="T419" s="29" t="str">
        <f aca="false">IF(OR(B419="",C419="",E419=""),"",IF(COUNTIFS($B$5:B419,B419,$C$5:C419,C419,$E$5:E419,E419)=1,1,0))</f>
        <v/>
      </c>
      <c r="U419" s="28" t="str">
        <f aca="false">IF(COUNTA(B419:C419,E419:F419,H419:P419)=0,"",IF(OR(B419="",C419="",E419=""),"Check: date, player, and context required",IF(AND(ISNUMBER(J419),ISNUMBER(I419),J419&gt;I419),"Check: solid contacts &gt; swings",IF(AND(ISNUMBER(L419),ISNUMBER(K419),L419&gt;K419),"Check: correct &gt; assessed decisions",IF(AND(ISNUMBER(N419),ISNUMBER(M419),N419&gt;M419),"Check: intended &gt; assessed landings",IF(AND(ISNUMBER(J419),I419=""),"Check: solid contacts without swings","OK"))))))</f>
        <v/>
      </c>
    </row>
    <row r="420" customFormat="false" ht="15" hidden="false" customHeight="false" outlineLevel="0" collapsed="false">
      <c r="B420" s="26"/>
      <c r="C420" s="27"/>
      <c r="D420" s="28" t="str">
        <f aca="false">IF(C420="","",IFERROR(INDEX(Players!$C$5:$C$104,MATCH(C420,Players!$B$5:$B$104,0)),"ID not found"))</f>
        <v/>
      </c>
      <c r="E420" s="27"/>
      <c r="F420" s="27"/>
      <c r="G420" s="28" t="str">
        <f aca="false">IF(F420="","",IFERROR(INDEX('Hitting Drills'!$D$6:$D$45,MATCH(F420,'Hitting Drills'!$B$6:$B$45,0)),"Not a hitting drill ID"))</f>
        <v/>
      </c>
      <c r="H420" s="27"/>
      <c r="I420" s="27"/>
      <c r="J420" s="27"/>
      <c r="K420" s="27"/>
      <c r="L420" s="27"/>
      <c r="M420" s="27"/>
      <c r="N420" s="27"/>
      <c r="O420" s="27"/>
      <c r="P420" s="27"/>
      <c r="Q420" s="27"/>
      <c r="R420" s="27"/>
      <c r="S420" s="29" t="str">
        <f aca="false">IF(OR(B420="",C420=""),"",IF(COUNTIFS($B$5:B420,B420,$C$5:C420,C420)=1,1,0))</f>
        <v/>
      </c>
      <c r="T420" s="29" t="str">
        <f aca="false">IF(OR(B420="",C420="",E420=""),"",IF(COUNTIFS($B$5:B420,B420,$C$5:C420,C420,$E$5:E420,E420)=1,1,0))</f>
        <v/>
      </c>
      <c r="U420" s="28" t="str">
        <f aca="false">IF(COUNTA(B420:C420,E420:F420,H420:P420)=0,"",IF(OR(B420="",C420="",E420=""),"Check: date, player, and context required",IF(AND(ISNUMBER(J420),ISNUMBER(I420),J420&gt;I420),"Check: solid contacts &gt; swings",IF(AND(ISNUMBER(L420),ISNUMBER(K420),L420&gt;K420),"Check: correct &gt; assessed decisions",IF(AND(ISNUMBER(N420),ISNUMBER(M420),N420&gt;M420),"Check: intended &gt; assessed landings",IF(AND(ISNUMBER(J420),I420=""),"Check: solid contacts without swings","OK"))))))</f>
        <v/>
      </c>
    </row>
    <row r="421" customFormat="false" ht="15" hidden="false" customHeight="false" outlineLevel="0" collapsed="false">
      <c r="B421" s="26"/>
      <c r="C421" s="27"/>
      <c r="D421" s="28" t="str">
        <f aca="false">IF(C421="","",IFERROR(INDEX(Players!$C$5:$C$104,MATCH(C421,Players!$B$5:$B$104,0)),"ID not found"))</f>
        <v/>
      </c>
      <c r="E421" s="27"/>
      <c r="F421" s="27"/>
      <c r="G421" s="28" t="str">
        <f aca="false">IF(F421="","",IFERROR(INDEX('Hitting Drills'!$D$6:$D$45,MATCH(F421,'Hitting Drills'!$B$6:$B$45,0)),"Not a hitting drill ID"))</f>
        <v/>
      </c>
      <c r="H421" s="27"/>
      <c r="I421" s="27"/>
      <c r="J421" s="27"/>
      <c r="K421" s="27"/>
      <c r="L421" s="27"/>
      <c r="M421" s="27"/>
      <c r="N421" s="27"/>
      <c r="O421" s="27"/>
      <c r="P421" s="27"/>
      <c r="Q421" s="27"/>
      <c r="R421" s="27"/>
      <c r="S421" s="29" t="str">
        <f aca="false">IF(OR(B421="",C421=""),"",IF(COUNTIFS($B$5:B421,B421,$C$5:C421,C421)=1,1,0))</f>
        <v/>
      </c>
      <c r="T421" s="29" t="str">
        <f aca="false">IF(OR(B421="",C421="",E421=""),"",IF(COUNTIFS($B$5:B421,B421,$C$5:C421,C421,$E$5:E421,E421)=1,1,0))</f>
        <v/>
      </c>
      <c r="U421" s="28" t="str">
        <f aca="false">IF(COUNTA(B421:C421,E421:F421,H421:P421)=0,"",IF(OR(B421="",C421="",E421=""),"Check: date, player, and context required",IF(AND(ISNUMBER(J421),ISNUMBER(I421),J421&gt;I421),"Check: solid contacts &gt; swings",IF(AND(ISNUMBER(L421),ISNUMBER(K421),L421&gt;K421),"Check: correct &gt; assessed decisions",IF(AND(ISNUMBER(N421),ISNUMBER(M421),N421&gt;M421),"Check: intended &gt; assessed landings",IF(AND(ISNUMBER(J421),I421=""),"Check: solid contacts without swings","OK"))))))</f>
        <v/>
      </c>
    </row>
    <row r="422" customFormat="false" ht="15" hidden="false" customHeight="false" outlineLevel="0" collapsed="false">
      <c r="B422" s="26"/>
      <c r="C422" s="27"/>
      <c r="D422" s="28" t="str">
        <f aca="false">IF(C422="","",IFERROR(INDEX(Players!$C$5:$C$104,MATCH(C422,Players!$B$5:$B$104,0)),"ID not found"))</f>
        <v/>
      </c>
      <c r="E422" s="27"/>
      <c r="F422" s="27"/>
      <c r="G422" s="28" t="str">
        <f aca="false">IF(F422="","",IFERROR(INDEX('Hitting Drills'!$D$6:$D$45,MATCH(F422,'Hitting Drills'!$B$6:$B$45,0)),"Not a hitting drill ID"))</f>
        <v/>
      </c>
      <c r="H422" s="27"/>
      <c r="I422" s="27"/>
      <c r="J422" s="27"/>
      <c r="K422" s="27"/>
      <c r="L422" s="27"/>
      <c r="M422" s="27"/>
      <c r="N422" s="27"/>
      <c r="O422" s="27"/>
      <c r="P422" s="27"/>
      <c r="Q422" s="27"/>
      <c r="R422" s="27"/>
      <c r="S422" s="29" t="str">
        <f aca="false">IF(OR(B422="",C422=""),"",IF(COUNTIFS($B$5:B422,B422,$C$5:C422,C422)=1,1,0))</f>
        <v/>
      </c>
      <c r="T422" s="29" t="str">
        <f aca="false">IF(OR(B422="",C422="",E422=""),"",IF(COUNTIFS($B$5:B422,B422,$C$5:C422,C422,$E$5:E422,E422)=1,1,0))</f>
        <v/>
      </c>
      <c r="U422" s="28" t="str">
        <f aca="false">IF(COUNTA(B422:C422,E422:F422,H422:P422)=0,"",IF(OR(B422="",C422="",E422=""),"Check: date, player, and context required",IF(AND(ISNUMBER(J422),ISNUMBER(I422),J422&gt;I422),"Check: solid contacts &gt; swings",IF(AND(ISNUMBER(L422),ISNUMBER(K422),L422&gt;K422),"Check: correct &gt; assessed decisions",IF(AND(ISNUMBER(N422),ISNUMBER(M422),N422&gt;M422),"Check: intended &gt; assessed landings",IF(AND(ISNUMBER(J422),I422=""),"Check: solid contacts without swings","OK"))))))</f>
        <v/>
      </c>
    </row>
    <row r="423" customFormat="false" ht="15" hidden="false" customHeight="false" outlineLevel="0" collapsed="false">
      <c r="B423" s="26"/>
      <c r="C423" s="27"/>
      <c r="D423" s="28" t="str">
        <f aca="false">IF(C423="","",IFERROR(INDEX(Players!$C$5:$C$104,MATCH(C423,Players!$B$5:$B$104,0)),"ID not found"))</f>
        <v/>
      </c>
      <c r="E423" s="27"/>
      <c r="F423" s="27"/>
      <c r="G423" s="28" t="str">
        <f aca="false">IF(F423="","",IFERROR(INDEX('Hitting Drills'!$D$6:$D$45,MATCH(F423,'Hitting Drills'!$B$6:$B$45,0)),"Not a hitting drill ID"))</f>
        <v/>
      </c>
      <c r="H423" s="27"/>
      <c r="I423" s="27"/>
      <c r="J423" s="27"/>
      <c r="K423" s="27"/>
      <c r="L423" s="27"/>
      <c r="M423" s="27"/>
      <c r="N423" s="27"/>
      <c r="O423" s="27"/>
      <c r="P423" s="27"/>
      <c r="Q423" s="27"/>
      <c r="R423" s="27"/>
      <c r="S423" s="29" t="str">
        <f aca="false">IF(OR(B423="",C423=""),"",IF(COUNTIFS($B$5:B423,B423,$C$5:C423,C423)=1,1,0))</f>
        <v/>
      </c>
      <c r="T423" s="29" t="str">
        <f aca="false">IF(OR(B423="",C423="",E423=""),"",IF(COUNTIFS($B$5:B423,B423,$C$5:C423,C423,$E$5:E423,E423)=1,1,0))</f>
        <v/>
      </c>
      <c r="U423" s="28" t="str">
        <f aca="false">IF(COUNTA(B423:C423,E423:F423,H423:P423)=0,"",IF(OR(B423="",C423="",E423=""),"Check: date, player, and context required",IF(AND(ISNUMBER(J423),ISNUMBER(I423),J423&gt;I423),"Check: solid contacts &gt; swings",IF(AND(ISNUMBER(L423),ISNUMBER(K423),L423&gt;K423),"Check: correct &gt; assessed decisions",IF(AND(ISNUMBER(N423),ISNUMBER(M423),N423&gt;M423),"Check: intended &gt; assessed landings",IF(AND(ISNUMBER(J423),I423=""),"Check: solid contacts without swings","OK"))))))</f>
        <v/>
      </c>
    </row>
    <row r="424" customFormat="false" ht="15" hidden="false" customHeight="false" outlineLevel="0" collapsed="false">
      <c r="B424" s="26"/>
      <c r="C424" s="27"/>
      <c r="D424" s="28" t="str">
        <f aca="false">IF(C424="","",IFERROR(INDEX(Players!$C$5:$C$104,MATCH(C424,Players!$B$5:$B$104,0)),"ID not found"))</f>
        <v/>
      </c>
      <c r="E424" s="27"/>
      <c r="F424" s="27"/>
      <c r="G424" s="28" t="str">
        <f aca="false">IF(F424="","",IFERROR(INDEX('Hitting Drills'!$D$6:$D$45,MATCH(F424,'Hitting Drills'!$B$6:$B$45,0)),"Not a hitting drill ID"))</f>
        <v/>
      </c>
      <c r="H424" s="27"/>
      <c r="I424" s="27"/>
      <c r="J424" s="27"/>
      <c r="K424" s="27"/>
      <c r="L424" s="27"/>
      <c r="M424" s="27"/>
      <c r="N424" s="27"/>
      <c r="O424" s="27"/>
      <c r="P424" s="27"/>
      <c r="Q424" s="27"/>
      <c r="R424" s="27"/>
      <c r="S424" s="29" t="str">
        <f aca="false">IF(OR(B424="",C424=""),"",IF(COUNTIFS($B$5:B424,B424,$C$5:C424,C424)=1,1,0))</f>
        <v/>
      </c>
      <c r="T424" s="29" t="str">
        <f aca="false">IF(OR(B424="",C424="",E424=""),"",IF(COUNTIFS($B$5:B424,B424,$C$5:C424,C424,$E$5:E424,E424)=1,1,0))</f>
        <v/>
      </c>
      <c r="U424" s="28" t="str">
        <f aca="false">IF(COUNTA(B424:C424,E424:F424,H424:P424)=0,"",IF(OR(B424="",C424="",E424=""),"Check: date, player, and context required",IF(AND(ISNUMBER(J424),ISNUMBER(I424),J424&gt;I424),"Check: solid contacts &gt; swings",IF(AND(ISNUMBER(L424),ISNUMBER(K424),L424&gt;K424),"Check: correct &gt; assessed decisions",IF(AND(ISNUMBER(N424),ISNUMBER(M424),N424&gt;M424),"Check: intended &gt; assessed landings",IF(AND(ISNUMBER(J424),I424=""),"Check: solid contacts without swings","OK"))))))</f>
        <v/>
      </c>
    </row>
    <row r="425" customFormat="false" ht="15" hidden="false" customHeight="false" outlineLevel="0" collapsed="false">
      <c r="B425" s="26"/>
      <c r="C425" s="27"/>
      <c r="D425" s="28" t="str">
        <f aca="false">IF(C425="","",IFERROR(INDEX(Players!$C$5:$C$104,MATCH(C425,Players!$B$5:$B$104,0)),"ID not found"))</f>
        <v/>
      </c>
      <c r="E425" s="27"/>
      <c r="F425" s="27"/>
      <c r="G425" s="28" t="str">
        <f aca="false">IF(F425="","",IFERROR(INDEX('Hitting Drills'!$D$6:$D$45,MATCH(F425,'Hitting Drills'!$B$6:$B$45,0)),"Not a hitting drill ID"))</f>
        <v/>
      </c>
      <c r="H425" s="27"/>
      <c r="I425" s="27"/>
      <c r="J425" s="27"/>
      <c r="K425" s="27"/>
      <c r="L425" s="27"/>
      <c r="M425" s="27"/>
      <c r="N425" s="27"/>
      <c r="O425" s="27"/>
      <c r="P425" s="27"/>
      <c r="Q425" s="27"/>
      <c r="R425" s="27"/>
      <c r="S425" s="29" t="str">
        <f aca="false">IF(OR(B425="",C425=""),"",IF(COUNTIFS($B$5:B425,B425,$C$5:C425,C425)=1,1,0))</f>
        <v/>
      </c>
      <c r="T425" s="29" t="str">
        <f aca="false">IF(OR(B425="",C425="",E425=""),"",IF(COUNTIFS($B$5:B425,B425,$C$5:C425,C425,$E$5:E425,E425)=1,1,0))</f>
        <v/>
      </c>
      <c r="U425" s="28" t="str">
        <f aca="false">IF(COUNTA(B425:C425,E425:F425,H425:P425)=0,"",IF(OR(B425="",C425="",E425=""),"Check: date, player, and context required",IF(AND(ISNUMBER(J425),ISNUMBER(I425),J425&gt;I425),"Check: solid contacts &gt; swings",IF(AND(ISNUMBER(L425),ISNUMBER(K425),L425&gt;K425),"Check: correct &gt; assessed decisions",IF(AND(ISNUMBER(N425),ISNUMBER(M425),N425&gt;M425),"Check: intended &gt; assessed landings",IF(AND(ISNUMBER(J425),I425=""),"Check: solid contacts without swings","OK"))))))</f>
        <v/>
      </c>
    </row>
    <row r="426" customFormat="false" ht="15" hidden="false" customHeight="false" outlineLevel="0" collapsed="false">
      <c r="B426" s="26"/>
      <c r="C426" s="27"/>
      <c r="D426" s="28" t="str">
        <f aca="false">IF(C426="","",IFERROR(INDEX(Players!$C$5:$C$104,MATCH(C426,Players!$B$5:$B$104,0)),"ID not found"))</f>
        <v/>
      </c>
      <c r="E426" s="27"/>
      <c r="F426" s="27"/>
      <c r="G426" s="28" t="str">
        <f aca="false">IF(F426="","",IFERROR(INDEX('Hitting Drills'!$D$6:$D$45,MATCH(F426,'Hitting Drills'!$B$6:$B$45,0)),"Not a hitting drill ID"))</f>
        <v/>
      </c>
      <c r="H426" s="27"/>
      <c r="I426" s="27"/>
      <c r="J426" s="27"/>
      <c r="K426" s="27"/>
      <c r="L426" s="27"/>
      <c r="M426" s="27"/>
      <c r="N426" s="27"/>
      <c r="O426" s="27"/>
      <c r="P426" s="27"/>
      <c r="Q426" s="27"/>
      <c r="R426" s="27"/>
      <c r="S426" s="29" t="str">
        <f aca="false">IF(OR(B426="",C426=""),"",IF(COUNTIFS($B$5:B426,B426,$C$5:C426,C426)=1,1,0))</f>
        <v/>
      </c>
      <c r="T426" s="29" t="str">
        <f aca="false">IF(OR(B426="",C426="",E426=""),"",IF(COUNTIFS($B$5:B426,B426,$C$5:C426,C426,$E$5:E426,E426)=1,1,0))</f>
        <v/>
      </c>
      <c r="U426" s="28" t="str">
        <f aca="false">IF(COUNTA(B426:C426,E426:F426,H426:P426)=0,"",IF(OR(B426="",C426="",E426=""),"Check: date, player, and context required",IF(AND(ISNUMBER(J426),ISNUMBER(I426),J426&gt;I426),"Check: solid contacts &gt; swings",IF(AND(ISNUMBER(L426),ISNUMBER(K426),L426&gt;K426),"Check: correct &gt; assessed decisions",IF(AND(ISNUMBER(N426),ISNUMBER(M426),N426&gt;M426),"Check: intended &gt; assessed landings",IF(AND(ISNUMBER(J426),I426=""),"Check: solid contacts without swings","OK"))))))</f>
        <v/>
      </c>
    </row>
    <row r="427" customFormat="false" ht="15" hidden="false" customHeight="false" outlineLevel="0" collapsed="false">
      <c r="B427" s="26"/>
      <c r="C427" s="27"/>
      <c r="D427" s="28" t="str">
        <f aca="false">IF(C427="","",IFERROR(INDEX(Players!$C$5:$C$104,MATCH(C427,Players!$B$5:$B$104,0)),"ID not found"))</f>
        <v/>
      </c>
      <c r="E427" s="27"/>
      <c r="F427" s="27"/>
      <c r="G427" s="28" t="str">
        <f aca="false">IF(F427="","",IFERROR(INDEX('Hitting Drills'!$D$6:$D$45,MATCH(F427,'Hitting Drills'!$B$6:$B$45,0)),"Not a hitting drill ID"))</f>
        <v/>
      </c>
      <c r="H427" s="27"/>
      <c r="I427" s="27"/>
      <c r="J427" s="27"/>
      <c r="K427" s="27"/>
      <c r="L427" s="27"/>
      <c r="M427" s="27"/>
      <c r="N427" s="27"/>
      <c r="O427" s="27"/>
      <c r="P427" s="27"/>
      <c r="Q427" s="27"/>
      <c r="R427" s="27"/>
      <c r="S427" s="29" t="str">
        <f aca="false">IF(OR(B427="",C427=""),"",IF(COUNTIFS($B$5:B427,B427,$C$5:C427,C427)=1,1,0))</f>
        <v/>
      </c>
      <c r="T427" s="29" t="str">
        <f aca="false">IF(OR(B427="",C427="",E427=""),"",IF(COUNTIFS($B$5:B427,B427,$C$5:C427,C427,$E$5:E427,E427)=1,1,0))</f>
        <v/>
      </c>
      <c r="U427" s="28" t="str">
        <f aca="false">IF(COUNTA(B427:C427,E427:F427,H427:P427)=0,"",IF(OR(B427="",C427="",E427=""),"Check: date, player, and context required",IF(AND(ISNUMBER(J427),ISNUMBER(I427),J427&gt;I427),"Check: solid contacts &gt; swings",IF(AND(ISNUMBER(L427),ISNUMBER(K427),L427&gt;K427),"Check: correct &gt; assessed decisions",IF(AND(ISNUMBER(N427),ISNUMBER(M427),N427&gt;M427),"Check: intended &gt; assessed landings",IF(AND(ISNUMBER(J427),I427=""),"Check: solid contacts without swings","OK"))))))</f>
        <v/>
      </c>
    </row>
    <row r="428" customFormat="false" ht="15" hidden="false" customHeight="false" outlineLevel="0" collapsed="false">
      <c r="B428" s="26"/>
      <c r="C428" s="27"/>
      <c r="D428" s="28" t="str">
        <f aca="false">IF(C428="","",IFERROR(INDEX(Players!$C$5:$C$104,MATCH(C428,Players!$B$5:$B$104,0)),"ID not found"))</f>
        <v/>
      </c>
      <c r="E428" s="27"/>
      <c r="F428" s="27"/>
      <c r="G428" s="28" t="str">
        <f aca="false">IF(F428="","",IFERROR(INDEX('Hitting Drills'!$D$6:$D$45,MATCH(F428,'Hitting Drills'!$B$6:$B$45,0)),"Not a hitting drill ID"))</f>
        <v/>
      </c>
      <c r="H428" s="27"/>
      <c r="I428" s="27"/>
      <c r="J428" s="27"/>
      <c r="K428" s="27"/>
      <c r="L428" s="27"/>
      <c r="M428" s="27"/>
      <c r="N428" s="27"/>
      <c r="O428" s="27"/>
      <c r="P428" s="27"/>
      <c r="Q428" s="27"/>
      <c r="R428" s="27"/>
      <c r="S428" s="29" t="str">
        <f aca="false">IF(OR(B428="",C428=""),"",IF(COUNTIFS($B$5:B428,B428,$C$5:C428,C428)=1,1,0))</f>
        <v/>
      </c>
      <c r="T428" s="29" t="str">
        <f aca="false">IF(OR(B428="",C428="",E428=""),"",IF(COUNTIFS($B$5:B428,B428,$C$5:C428,C428,$E$5:E428,E428)=1,1,0))</f>
        <v/>
      </c>
      <c r="U428" s="28" t="str">
        <f aca="false">IF(COUNTA(B428:C428,E428:F428,H428:P428)=0,"",IF(OR(B428="",C428="",E428=""),"Check: date, player, and context required",IF(AND(ISNUMBER(J428),ISNUMBER(I428),J428&gt;I428),"Check: solid contacts &gt; swings",IF(AND(ISNUMBER(L428),ISNUMBER(K428),L428&gt;K428),"Check: correct &gt; assessed decisions",IF(AND(ISNUMBER(N428),ISNUMBER(M428),N428&gt;M428),"Check: intended &gt; assessed landings",IF(AND(ISNUMBER(J428),I428=""),"Check: solid contacts without swings","OK"))))))</f>
        <v/>
      </c>
    </row>
    <row r="429" customFormat="false" ht="15" hidden="false" customHeight="false" outlineLevel="0" collapsed="false">
      <c r="B429" s="26"/>
      <c r="C429" s="27"/>
      <c r="D429" s="28" t="str">
        <f aca="false">IF(C429="","",IFERROR(INDEX(Players!$C$5:$C$104,MATCH(C429,Players!$B$5:$B$104,0)),"ID not found"))</f>
        <v/>
      </c>
      <c r="E429" s="27"/>
      <c r="F429" s="27"/>
      <c r="G429" s="28" t="str">
        <f aca="false">IF(F429="","",IFERROR(INDEX('Hitting Drills'!$D$6:$D$45,MATCH(F429,'Hitting Drills'!$B$6:$B$45,0)),"Not a hitting drill ID"))</f>
        <v/>
      </c>
      <c r="H429" s="27"/>
      <c r="I429" s="27"/>
      <c r="J429" s="27"/>
      <c r="K429" s="27"/>
      <c r="L429" s="27"/>
      <c r="M429" s="27"/>
      <c r="N429" s="27"/>
      <c r="O429" s="27"/>
      <c r="P429" s="27"/>
      <c r="Q429" s="27"/>
      <c r="R429" s="27"/>
      <c r="S429" s="29" t="str">
        <f aca="false">IF(OR(B429="",C429=""),"",IF(COUNTIFS($B$5:B429,B429,$C$5:C429,C429)=1,1,0))</f>
        <v/>
      </c>
      <c r="T429" s="29" t="str">
        <f aca="false">IF(OR(B429="",C429="",E429=""),"",IF(COUNTIFS($B$5:B429,B429,$C$5:C429,C429,$E$5:E429,E429)=1,1,0))</f>
        <v/>
      </c>
      <c r="U429" s="28" t="str">
        <f aca="false">IF(COUNTA(B429:C429,E429:F429,H429:P429)=0,"",IF(OR(B429="",C429="",E429=""),"Check: date, player, and context required",IF(AND(ISNUMBER(J429),ISNUMBER(I429),J429&gt;I429),"Check: solid contacts &gt; swings",IF(AND(ISNUMBER(L429),ISNUMBER(K429),L429&gt;K429),"Check: correct &gt; assessed decisions",IF(AND(ISNUMBER(N429),ISNUMBER(M429),N429&gt;M429),"Check: intended &gt; assessed landings",IF(AND(ISNUMBER(J429),I429=""),"Check: solid contacts without swings","OK"))))))</f>
        <v/>
      </c>
    </row>
    <row r="430" customFormat="false" ht="15" hidden="false" customHeight="false" outlineLevel="0" collapsed="false">
      <c r="B430" s="26"/>
      <c r="C430" s="27"/>
      <c r="D430" s="28" t="str">
        <f aca="false">IF(C430="","",IFERROR(INDEX(Players!$C$5:$C$104,MATCH(C430,Players!$B$5:$B$104,0)),"ID not found"))</f>
        <v/>
      </c>
      <c r="E430" s="27"/>
      <c r="F430" s="27"/>
      <c r="G430" s="28" t="str">
        <f aca="false">IF(F430="","",IFERROR(INDEX('Hitting Drills'!$D$6:$D$45,MATCH(F430,'Hitting Drills'!$B$6:$B$45,0)),"Not a hitting drill ID"))</f>
        <v/>
      </c>
      <c r="H430" s="27"/>
      <c r="I430" s="27"/>
      <c r="J430" s="27"/>
      <c r="K430" s="27"/>
      <c r="L430" s="27"/>
      <c r="M430" s="27"/>
      <c r="N430" s="27"/>
      <c r="O430" s="27"/>
      <c r="P430" s="27"/>
      <c r="Q430" s="27"/>
      <c r="R430" s="27"/>
      <c r="S430" s="29" t="str">
        <f aca="false">IF(OR(B430="",C430=""),"",IF(COUNTIFS($B$5:B430,B430,$C$5:C430,C430)=1,1,0))</f>
        <v/>
      </c>
      <c r="T430" s="29" t="str">
        <f aca="false">IF(OR(B430="",C430="",E430=""),"",IF(COUNTIFS($B$5:B430,B430,$C$5:C430,C430,$E$5:E430,E430)=1,1,0))</f>
        <v/>
      </c>
      <c r="U430" s="28" t="str">
        <f aca="false">IF(COUNTA(B430:C430,E430:F430,H430:P430)=0,"",IF(OR(B430="",C430="",E430=""),"Check: date, player, and context required",IF(AND(ISNUMBER(J430),ISNUMBER(I430),J430&gt;I430),"Check: solid contacts &gt; swings",IF(AND(ISNUMBER(L430),ISNUMBER(K430),L430&gt;K430),"Check: correct &gt; assessed decisions",IF(AND(ISNUMBER(N430),ISNUMBER(M430),N430&gt;M430),"Check: intended &gt; assessed landings",IF(AND(ISNUMBER(J430),I430=""),"Check: solid contacts without swings","OK"))))))</f>
        <v/>
      </c>
    </row>
    <row r="431" customFormat="false" ht="15" hidden="false" customHeight="false" outlineLevel="0" collapsed="false">
      <c r="B431" s="26"/>
      <c r="C431" s="27"/>
      <c r="D431" s="28" t="str">
        <f aca="false">IF(C431="","",IFERROR(INDEX(Players!$C$5:$C$104,MATCH(C431,Players!$B$5:$B$104,0)),"ID not found"))</f>
        <v/>
      </c>
      <c r="E431" s="27"/>
      <c r="F431" s="27"/>
      <c r="G431" s="28" t="str">
        <f aca="false">IF(F431="","",IFERROR(INDEX('Hitting Drills'!$D$6:$D$45,MATCH(F431,'Hitting Drills'!$B$6:$B$45,0)),"Not a hitting drill ID"))</f>
        <v/>
      </c>
      <c r="H431" s="27"/>
      <c r="I431" s="27"/>
      <c r="J431" s="27"/>
      <c r="K431" s="27"/>
      <c r="L431" s="27"/>
      <c r="M431" s="27"/>
      <c r="N431" s="27"/>
      <c r="O431" s="27"/>
      <c r="P431" s="27"/>
      <c r="Q431" s="27"/>
      <c r="R431" s="27"/>
      <c r="S431" s="29" t="str">
        <f aca="false">IF(OR(B431="",C431=""),"",IF(COUNTIFS($B$5:B431,B431,$C$5:C431,C431)=1,1,0))</f>
        <v/>
      </c>
      <c r="T431" s="29" t="str">
        <f aca="false">IF(OR(B431="",C431="",E431=""),"",IF(COUNTIFS($B$5:B431,B431,$C$5:C431,C431,$E$5:E431,E431)=1,1,0))</f>
        <v/>
      </c>
      <c r="U431" s="28" t="str">
        <f aca="false">IF(COUNTA(B431:C431,E431:F431,H431:P431)=0,"",IF(OR(B431="",C431="",E431=""),"Check: date, player, and context required",IF(AND(ISNUMBER(J431),ISNUMBER(I431),J431&gt;I431),"Check: solid contacts &gt; swings",IF(AND(ISNUMBER(L431),ISNUMBER(K431),L431&gt;K431),"Check: correct &gt; assessed decisions",IF(AND(ISNUMBER(N431),ISNUMBER(M431),N431&gt;M431),"Check: intended &gt; assessed landings",IF(AND(ISNUMBER(J431),I431=""),"Check: solid contacts without swings","OK"))))))</f>
        <v/>
      </c>
    </row>
    <row r="432" customFormat="false" ht="15" hidden="false" customHeight="false" outlineLevel="0" collapsed="false">
      <c r="B432" s="26"/>
      <c r="C432" s="27"/>
      <c r="D432" s="28" t="str">
        <f aca="false">IF(C432="","",IFERROR(INDEX(Players!$C$5:$C$104,MATCH(C432,Players!$B$5:$B$104,0)),"ID not found"))</f>
        <v/>
      </c>
      <c r="E432" s="27"/>
      <c r="F432" s="27"/>
      <c r="G432" s="28" t="str">
        <f aca="false">IF(F432="","",IFERROR(INDEX('Hitting Drills'!$D$6:$D$45,MATCH(F432,'Hitting Drills'!$B$6:$B$45,0)),"Not a hitting drill ID"))</f>
        <v/>
      </c>
      <c r="H432" s="27"/>
      <c r="I432" s="27"/>
      <c r="J432" s="27"/>
      <c r="K432" s="27"/>
      <c r="L432" s="27"/>
      <c r="M432" s="27"/>
      <c r="N432" s="27"/>
      <c r="O432" s="27"/>
      <c r="P432" s="27"/>
      <c r="Q432" s="27"/>
      <c r="R432" s="27"/>
      <c r="S432" s="29" t="str">
        <f aca="false">IF(OR(B432="",C432=""),"",IF(COUNTIFS($B$5:B432,B432,$C$5:C432,C432)=1,1,0))</f>
        <v/>
      </c>
      <c r="T432" s="29" t="str">
        <f aca="false">IF(OR(B432="",C432="",E432=""),"",IF(COUNTIFS($B$5:B432,B432,$C$5:C432,C432,$E$5:E432,E432)=1,1,0))</f>
        <v/>
      </c>
      <c r="U432" s="28" t="str">
        <f aca="false">IF(COUNTA(B432:C432,E432:F432,H432:P432)=0,"",IF(OR(B432="",C432="",E432=""),"Check: date, player, and context required",IF(AND(ISNUMBER(J432),ISNUMBER(I432),J432&gt;I432),"Check: solid contacts &gt; swings",IF(AND(ISNUMBER(L432),ISNUMBER(K432),L432&gt;K432),"Check: correct &gt; assessed decisions",IF(AND(ISNUMBER(N432),ISNUMBER(M432),N432&gt;M432),"Check: intended &gt; assessed landings",IF(AND(ISNUMBER(J432),I432=""),"Check: solid contacts without swings","OK"))))))</f>
        <v/>
      </c>
    </row>
    <row r="433" customFormat="false" ht="15" hidden="false" customHeight="false" outlineLevel="0" collapsed="false">
      <c r="B433" s="26"/>
      <c r="C433" s="27"/>
      <c r="D433" s="28" t="str">
        <f aca="false">IF(C433="","",IFERROR(INDEX(Players!$C$5:$C$104,MATCH(C433,Players!$B$5:$B$104,0)),"ID not found"))</f>
        <v/>
      </c>
      <c r="E433" s="27"/>
      <c r="F433" s="27"/>
      <c r="G433" s="28" t="str">
        <f aca="false">IF(F433="","",IFERROR(INDEX('Hitting Drills'!$D$6:$D$45,MATCH(F433,'Hitting Drills'!$B$6:$B$45,0)),"Not a hitting drill ID"))</f>
        <v/>
      </c>
      <c r="H433" s="27"/>
      <c r="I433" s="27"/>
      <c r="J433" s="27"/>
      <c r="K433" s="27"/>
      <c r="L433" s="27"/>
      <c r="M433" s="27"/>
      <c r="N433" s="27"/>
      <c r="O433" s="27"/>
      <c r="P433" s="27"/>
      <c r="Q433" s="27"/>
      <c r="R433" s="27"/>
      <c r="S433" s="29" t="str">
        <f aca="false">IF(OR(B433="",C433=""),"",IF(COUNTIFS($B$5:B433,B433,$C$5:C433,C433)=1,1,0))</f>
        <v/>
      </c>
      <c r="T433" s="29" t="str">
        <f aca="false">IF(OR(B433="",C433="",E433=""),"",IF(COUNTIFS($B$5:B433,B433,$C$5:C433,C433,$E$5:E433,E433)=1,1,0))</f>
        <v/>
      </c>
      <c r="U433" s="28" t="str">
        <f aca="false">IF(COUNTA(B433:C433,E433:F433,H433:P433)=0,"",IF(OR(B433="",C433="",E433=""),"Check: date, player, and context required",IF(AND(ISNUMBER(J433),ISNUMBER(I433),J433&gt;I433),"Check: solid contacts &gt; swings",IF(AND(ISNUMBER(L433),ISNUMBER(K433),L433&gt;K433),"Check: correct &gt; assessed decisions",IF(AND(ISNUMBER(N433),ISNUMBER(M433),N433&gt;M433),"Check: intended &gt; assessed landings",IF(AND(ISNUMBER(J433),I433=""),"Check: solid contacts without swings","OK"))))))</f>
        <v/>
      </c>
    </row>
    <row r="434" customFormat="false" ht="15" hidden="false" customHeight="false" outlineLevel="0" collapsed="false">
      <c r="B434" s="26"/>
      <c r="C434" s="27"/>
      <c r="D434" s="28" t="str">
        <f aca="false">IF(C434="","",IFERROR(INDEX(Players!$C$5:$C$104,MATCH(C434,Players!$B$5:$B$104,0)),"ID not found"))</f>
        <v/>
      </c>
      <c r="E434" s="27"/>
      <c r="F434" s="27"/>
      <c r="G434" s="28" t="str">
        <f aca="false">IF(F434="","",IFERROR(INDEX('Hitting Drills'!$D$6:$D$45,MATCH(F434,'Hitting Drills'!$B$6:$B$45,0)),"Not a hitting drill ID"))</f>
        <v/>
      </c>
      <c r="H434" s="27"/>
      <c r="I434" s="27"/>
      <c r="J434" s="27"/>
      <c r="K434" s="27"/>
      <c r="L434" s="27"/>
      <c r="M434" s="27"/>
      <c r="N434" s="27"/>
      <c r="O434" s="27"/>
      <c r="P434" s="27"/>
      <c r="Q434" s="27"/>
      <c r="R434" s="27"/>
      <c r="S434" s="29" t="str">
        <f aca="false">IF(OR(B434="",C434=""),"",IF(COUNTIFS($B$5:B434,B434,$C$5:C434,C434)=1,1,0))</f>
        <v/>
      </c>
      <c r="T434" s="29" t="str">
        <f aca="false">IF(OR(B434="",C434="",E434=""),"",IF(COUNTIFS($B$5:B434,B434,$C$5:C434,C434,$E$5:E434,E434)=1,1,0))</f>
        <v/>
      </c>
      <c r="U434" s="28" t="str">
        <f aca="false">IF(COUNTA(B434:C434,E434:F434,H434:P434)=0,"",IF(OR(B434="",C434="",E434=""),"Check: date, player, and context required",IF(AND(ISNUMBER(J434),ISNUMBER(I434),J434&gt;I434),"Check: solid contacts &gt; swings",IF(AND(ISNUMBER(L434),ISNUMBER(K434),L434&gt;K434),"Check: correct &gt; assessed decisions",IF(AND(ISNUMBER(N434),ISNUMBER(M434),N434&gt;M434),"Check: intended &gt; assessed landings",IF(AND(ISNUMBER(J434),I434=""),"Check: solid contacts without swings","OK"))))))</f>
        <v/>
      </c>
    </row>
    <row r="435" customFormat="false" ht="15" hidden="false" customHeight="false" outlineLevel="0" collapsed="false">
      <c r="B435" s="26"/>
      <c r="C435" s="27"/>
      <c r="D435" s="28" t="str">
        <f aca="false">IF(C435="","",IFERROR(INDEX(Players!$C$5:$C$104,MATCH(C435,Players!$B$5:$B$104,0)),"ID not found"))</f>
        <v/>
      </c>
      <c r="E435" s="27"/>
      <c r="F435" s="27"/>
      <c r="G435" s="28" t="str">
        <f aca="false">IF(F435="","",IFERROR(INDEX('Hitting Drills'!$D$6:$D$45,MATCH(F435,'Hitting Drills'!$B$6:$B$45,0)),"Not a hitting drill ID"))</f>
        <v/>
      </c>
      <c r="H435" s="27"/>
      <c r="I435" s="27"/>
      <c r="J435" s="27"/>
      <c r="K435" s="27"/>
      <c r="L435" s="27"/>
      <c r="M435" s="27"/>
      <c r="N435" s="27"/>
      <c r="O435" s="27"/>
      <c r="P435" s="27"/>
      <c r="Q435" s="27"/>
      <c r="R435" s="27"/>
      <c r="S435" s="29" t="str">
        <f aca="false">IF(OR(B435="",C435=""),"",IF(COUNTIFS($B$5:B435,B435,$C$5:C435,C435)=1,1,0))</f>
        <v/>
      </c>
      <c r="T435" s="29" t="str">
        <f aca="false">IF(OR(B435="",C435="",E435=""),"",IF(COUNTIFS($B$5:B435,B435,$C$5:C435,C435,$E$5:E435,E435)=1,1,0))</f>
        <v/>
      </c>
      <c r="U435" s="28" t="str">
        <f aca="false">IF(COUNTA(B435:C435,E435:F435,H435:P435)=0,"",IF(OR(B435="",C435="",E435=""),"Check: date, player, and context required",IF(AND(ISNUMBER(J435),ISNUMBER(I435),J435&gt;I435),"Check: solid contacts &gt; swings",IF(AND(ISNUMBER(L435),ISNUMBER(K435),L435&gt;K435),"Check: correct &gt; assessed decisions",IF(AND(ISNUMBER(N435),ISNUMBER(M435),N435&gt;M435),"Check: intended &gt; assessed landings",IF(AND(ISNUMBER(J435),I435=""),"Check: solid contacts without swings","OK"))))))</f>
        <v/>
      </c>
    </row>
    <row r="436" customFormat="false" ht="15" hidden="false" customHeight="false" outlineLevel="0" collapsed="false">
      <c r="B436" s="26"/>
      <c r="C436" s="27"/>
      <c r="D436" s="28" t="str">
        <f aca="false">IF(C436="","",IFERROR(INDEX(Players!$C$5:$C$104,MATCH(C436,Players!$B$5:$B$104,0)),"ID not found"))</f>
        <v/>
      </c>
      <c r="E436" s="27"/>
      <c r="F436" s="27"/>
      <c r="G436" s="28" t="str">
        <f aca="false">IF(F436="","",IFERROR(INDEX('Hitting Drills'!$D$6:$D$45,MATCH(F436,'Hitting Drills'!$B$6:$B$45,0)),"Not a hitting drill ID"))</f>
        <v/>
      </c>
      <c r="H436" s="27"/>
      <c r="I436" s="27"/>
      <c r="J436" s="27"/>
      <c r="K436" s="27"/>
      <c r="L436" s="27"/>
      <c r="M436" s="27"/>
      <c r="N436" s="27"/>
      <c r="O436" s="27"/>
      <c r="P436" s="27"/>
      <c r="Q436" s="27"/>
      <c r="R436" s="27"/>
      <c r="S436" s="29" t="str">
        <f aca="false">IF(OR(B436="",C436=""),"",IF(COUNTIFS($B$5:B436,B436,$C$5:C436,C436)=1,1,0))</f>
        <v/>
      </c>
      <c r="T436" s="29" t="str">
        <f aca="false">IF(OR(B436="",C436="",E436=""),"",IF(COUNTIFS($B$5:B436,B436,$C$5:C436,C436,$E$5:E436,E436)=1,1,0))</f>
        <v/>
      </c>
      <c r="U436" s="28" t="str">
        <f aca="false">IF(COUNTA(B436:C436,E436:F436,H436:P436)=0,"",IF(OR(B436="",C436="",E436=""),"Check: date, player, and context required",IF(AND(ISNUMBER(J436),ISNUMBER(I436),J436&gt;I436),"Check: solid contacts &gt; swings",IF(AND(ISNUMBER(L436),ISNUMBER(K436),L436&gt;K436),"Check: correct &gt; assessed decisions",IF(AND(ISNUMBER(N436),ISNUMBER(M436),N436&gt;M436),"Check: intended &gt; assessed landings",IF(AND(ISNUMBER(J436),I436=""),"Check: solid contacts without swings","OK"))))))</f>
        <v/>
      </c>
    </row>
    <row r="437" customFormat="false" ht="15" hidden="false" customHeight="false" outlineLevel="0" collapsed="false">
      <c r="B437" s="26"/>
      <c r="C437" s="27"/>
      <c r="D437" s="28" t="str">
        <f aca="false">IF(C437="","",IFERROR(INDEX(Players!$C$5:$C$104,MATCH(C437,Players!$B$5:$B$104,0)),"ID not found"))</f>
        <v/>
      </c>
      <c r="E437" s="27"/>
      <c r="F437" s="27"/>
      <c r="G437" s="28" t="str">
        <f aca="false">IF(F437="","",IFERROR(INDEX('Hitting Drills'!$D$6:$D$45,MATCH(F437,'Hitting Drills'!$B$6:$B$45,0)),"Not a hitting drill ID"))</f>
        <v/>
      </c>
      <c r="H437" s="27"/>
      <c r="I437" s="27"/>
      <c r="J437" s="27"/>
      <c r="K437" s="27"/>
      <c r="L437" s="27"/>
      <c r="M437" s="27"/>
      <c r="N437" s="27"/>
      <c r="O437" s="27"/>
      <c r="P437" s="27"/>
      <c r="Q437" s="27"/>
      <c r="R437" s="27"/>
      <c r="S437" s="29" t="str">
        <f aca="false">IF(OR(B437="",C437=""),"",IF(COUNTIFS($B$5:B437,B437,$C$5:C437,C437)=1,1,0))</f>
        <v/>
      </c>
      <c r="T437" s="29" t="str">
        <f aca="false">IF(OR(B437="",C437="",E437=""),"",IF(COUNTIFS($B$5:B437,B437,$C$5:C437,C437,$E$5:E437,E437)=1,1,0))</f>
        <v/>
      </c>
      <c r="U437" s="28" t="str">
        <f aca="false">IF(COUNTA(B437:C437,E437:F437,H437:P437)=0,"",IF(OR(B437="",C437="",E437=""),"Check: date, player, and context required",IF(AND(ISNUMBER(J437),ISNUMBER(I437),J437&gt;I437),"Check: solid contacts &gt; swings",IF(AND(ISNUMBER(L437),ISNUMBER(K437),L437&gt;K437),"Check: correct &gt; assessed decisions",IF(AND(ISNUMBER(N437),ISNUMBER(M437),N437&gt;M437),"Check: intended &gt; assessed landings",IF(AND(ISNUMBER(J437),I437=""),"Check: solid contacts without swings","OK"))))))</f>
        <v/>
      </c>
    </row>
    <row r="438" customFormat="false" ht="15" hidden="false" customHeight="false" outlineLevel="0" collapsed="false">
      <c r="B438" s="26"/>
      <c r="C438" s="27"/>
      <c r="D438" s="28" t="str">
        <f aca="false">IF(C438="","",IFERROR(INDEX(Players!$C$5:$C$104,MATCH(C438,Players!$B$5:$B$104,0)),"ID not found"))</f>
        <v/>
      </c>
      <c r="E438" s="27"/>
      <c r="F438" s="27"/>
      <c r="G438" s="28" t="str">
        <f aca="false">IF(F438="","",IFERROR(INDEX('Hitting Drills'!$D$6:$D$45,MATCH(F438,'Hitting Drills'!$B$6:$B$45,0)),"Not a hitting drill ID"))</f>
        <v/>
      </c>
      <c r="H438" s="27"/>
      <c r="I438" s="27"/>
      <c r="J438" s="27"/>
      <c r="K438" s="27"/>
      <c r="L438" s="27"/>
      <c r="M438" s="27"/>
      <c r="N438" s="27"/>
      <c r="O438" s="27"/>
      <c r="P438" s="27"/>
      <c r="Q438" s="27"/>
      <c r="R438" s="27"/>
      <c r="S438" s="29" t="str">
        <f aca="false">IF(OR(B438="",C438=""),"",IF(COUNTIFS($B$5:B438,B438,$C$5:C438,C438)=1,1,0))</f>
        <v/>
      </c>
      <c r="T438" s="29" t="str">
        <f aca="false">IF(OR(B438="",C438="",E438=""),"",IF(COUNTIFS($B$5:B438,B438,$C$5:C438,C438,$E$5:E438,E438)=1,1,0))</f>
        <v/>
      </c>
      <c r="U438" s="28" t="str">
        <f aca="false">IF(COUNTA(B438:C438,E438:F438,H438:P438)=0,"",IF(OR(B438="",C438="",E438=""),"Check: date, player, and context required",IF(AND(ISNUMBER(J438),ISNUMBER(I438),J438&gt;I438),"Check: solid contacts &gt; swings",IF(AND(ISNUMBER(L438),ISNUMBER(K438),L438&gt;K438),"Check: correct &gt; assessed decisions",IF(AND(ISNUMBER(N438),ISNUMBER(M438),N438&gt;M438),"Check: intended &gt; assessed landings",IF(AND(ISNUMBER(J438),I438=""),"Check: solid contacts without swings","OK"))))))</f>
        <v/>
      </c>
    </row>
    <row r="439" customFormat="false" ht="15" hidden="false" customHeight="false" outlineLevel="0" collapsed="false">
      <c r="B439" s="26"/>
      <c r="C439" s="27"/>
      <c r="D439" s="28" t="str">
        <f aca="false">IF(C439="","",IFERROR(INDEX(Players!$C$5:$C$104,MATCH(C439,Players!$B$5:$B$104,0)),"ID not found"))</f>
        <v/>
      </c>
      <c r="E439" s="27"/>
      <c r="F439" s="27"/>
      <c r="G439" s="28" t="str">
        <f aca="false">IF(F439="","",IFERROR(INDEX('Hitting Drills'!$D$6:$D$45,MATCH(F439,'Hitting Drills'!$B$6:$B$45,0)),"Not a hitting drill ID"))</f>
        <v/>
      </c>
      <c r="H439" s="27"/>
      <c r="I439" s="27"/>
      <c r="J439" s="27"/>
      <c r="K439" s="27"/>
      <c r="L439" s="27"/>
      <c r="M439" s="27"/>
      <c r="N439" s="27"/>
      <c r="O439" s="27"/>
      <c r="P439" s="27"/>
      <c r="Q439" s="27"/>
      <c r="R439" s="27"/>
      <c r="S439" s="29" t="str">
        <f aca="false">IF(OR(B439="",C439=""),"",IF(COUNTIFS($B$5:B439,B439,$C$5:C439,C439)=1,1,0))</f>
        <v/>
      </c>
      <c r="T439" s="29" t="str">
        <f aca="false">IF(OR(B439="",C439="",E439=""),"",IF(COUNTIFS($B$5:B439,B439,$C$5:C439,C439,$E$5:E439,E439)=1,1,0))</f>
        <v/>
      </c>
      <c r="U439" s="28" t="str">
        <f aca="false">IF(COUNTA(B439:C439,E439:F439,H439:P439)=0,"",IF(OR(B439="",C439="",E439=""),"Check: date, player, and context required",IF(AND(ISNUMBER(J439),ISNUMBER(I439),J439&gt;I439),"Check: solid contacts &gt; swings",IF(AND(ISNUMBER(L439),ISNUMBER(K439),L439&gt;K439),"Check: correct &gt; assessed decisions",IF(AND(ISNUMBER(N439),ISNUMBER(M439),N439&gt;M439),"Check: intended &gt; assessed landings",IF(AND(ISNUMBER(J439),I439=""),"Check: solid contacts without swings","OK"))))))</f>
        <v/>
      </c>
    </row>
    <row r="440" customFormat="false" ht="15" hidden="false" customHeight="false" outlineLevel="0" collapsed="false">
      <c r="B440" s="26"/>
      <c r="C440" s="27"/>
      <c r="D440" s="28" t="str">
        <f aca="false">IF(C440="","",IFERROR(INDEX(Players!$C$5:$C$104,MATCH(C440,Players!$B$5:$B$104,0)),"ID not found"))</f>
        <v/>
      </c>
      <c r="E440" s="27"/>
      <c r="F440" s="27"/>
      <c r="G440" s="28" t="str">
        <f aca="false">IF(F440="","",IFERROR(INDEX('Hitting Drills'!$D$6:$D$45,MATCH(F440,'Hitting Drills'!$B$6:$B$45,0)),"Not a hitting drill ID"))</f>
        <v/>
      </c>
      <c r="H440" s="27"/>
      <c r="I440" s="27"/>
      <c r="J440" s="27"/>
      <c r="K440" s="27"/>
      <c r="L440" s="27"/>
      <c r="M440" s="27"/>
      <c r="N440" s="27"/>
      <c r="O440" s="27"/>
      <c r="P440" s="27"/>
      <c r="Q440" s="27"/>
      <c r="R440" s="27"/>
      <c r="S440" s="29" t="str">
        <f aca="false">IF(OR(B440="",C440=""),"",IF(COUNTIFS($B$5:B440,B440,$C$5:C440,C440)=1,1,0))</f>
        <v/>
      </c>
      <c r="T440" s="29" t="str">
        <f aca="false">IF(OR(B440="",C440="",E440=""),"",IF(COUNTIFS($B$5:B440,B440,$C$5:C440,C440,$E$5:E440,E440)=1,1,0))</f>
        <v/>
      </c>
      <c r="U440" s="28" t="str">
        <f aca="false">IF(COUNTA(B440:C440,E440:F440,H440:P440)=0,"",IF(OR(B440="",C440="",E440=""),"Check: date, player, and context required",IF(AND(ISNUMBER(J440),ISNUMBER(I440),J440&gt;I440),"Check: solid contacts &gt; swings",IF(AND(ISNUMBER(L440),ISNUMBER(K440),L440&gt;K440),"Check: correct &gt; assessed decisions",IF(AND(ISNUMBER(N440),ISNUMBER(M440),N440&gt;M440),"Check: intended &gt; assessed landings",IF(AND(ISNUMBER(J440),I440=""),"Check: solid contacts without swings","OK"))))))</f>
        <v/>
      </c>
    </row>
    <row r="441" customFormat="false" ht="15" hidden="false" customHeight="false" outlineLevel="0" collapsed="false">
      <c r="B441" s="26"/>
      <c r="C441" s="27"/>
      <c r="D441" s="28" t="str">
        <f aca="false">IF(C441="","",IFERROR(INDEX(Players!$C$5:$C$104,MATCH(C441,Players!$B$5:$B$104,0)),"ID not found"))</f>
        <v/>
      </c>
      <c r="E441" s="27"/>
      <c r="F441" s="27"/>
      <c r="G441" s="28" t="str">
        <f aca="false">IF(F441="","",IFERROR(INDEX('Hitting Drills'!$D$6:$D$45,MATCH(F441,'Hitting Drills'!$B$6:$B$45,0)),"Not a hitting drill ID"))</f>
        <v/>
      </c>
      <c r="H441" s="27"/>
      <c r="I441" s="27"/>
      <c r="J441" s="27"/>
      <c r="K441" s="27"/>
      <c r="L441" s="27"/>
      <c r="M441" s="27"/>
      <c r="N441" s="27"/>
      <c r="O441" s="27"/>
      <c r="P441" s="27"/>
      <c r="Q441" s="27"/>
      <c r="R441" s="27"/>
      <c r="S441" s="29" t="str">
        <f aca="false">IF(OR(B441="",C441=""),"",IF(COUNTIFS($B$5:B441,B441,$C$5:C441,C441)=1,1,0))</f>
        <v/>
      </c>
      <c r="T441" s="29" t="str">
        <f aca="false">IF(OR(B441="",C441="",E441=""),"",IF(COUNTIFS($B$5:B441,B441,$C$5:C441,C441,$E$5:E441,E441)=1,1,0))</f>
        <v/>
      </c>
      <c r="U441" s="28" t="str">
        <f aca="false">IF(COUNTA(B441:C441,E441:F441,H441:P441)=0,"",IF(OR(B441="",C441="",E441=""),"Check: date, player, and context required",IF(AND(ISNUMBER(J441),ISNUMBER(I441),J441&gt;I441),"Check: solid contacts &gt; swings",IF(AND(ISNUMBER(L441),ISNUMBER(K441),L441&gt;K441),"Check: correct &gt; assessed decisions",IF(AND(ISNUMBER(N441),ISNUMBER(M441),N441&gt;M441),"Check: intended &gt; assessed landings",IF(AND(ISNUMBER(J441),I441=""),"Check: solid contacts without swings","OK"))))))</f>
        <v/>
      </c>
    </row>
    <row r="442" customFormat="false" ht="15" hidden="false" customHeight="false" outlineLevel="0" collapsed="false">
      <c r="B442" s="26"/>
      <c r="C442" s="27"/>
      <c r="D442" s="28" t="str">
        <f aca="false">IF(C442="","",IFERROR(INDEX(Players!$C$5:$C$104,MATCH(C442,Players!$B$5:$B$104,0)),"ID not found"))</f>
        <v/>
      </c>
      <c r="E442" s="27"/>
      <c r="F442" s="27"/>
      <c r="G442" s="28" t="str">
        <f aca="false">IF(F442="","",IFERROR(INDEX('Hitting Drills'!$D$6:$D$45,MATCH(F442,'Hitting Drills'!$B$6:$B$45,0)),"Not a hitting drill ID"))</f>
        <v/>
      </c>
      <c r="H442" s="27"/>
      <c r="I442" s="27"/>
      <c r="J442" s="27"/>
      <c r="K442" s="27"/>
      <c r="L442" s="27"/>
      <c r="M442" s="27"/>
      <c r="N442" s="27"/>
      <c r="O442" s="27"/>
      <c r="P442" s="27"/>
      <c r="Q442" s="27"/>
      <c r="R442" s="27"/>
      <c r="S442" s="29" t="str">
        <f aca="false">IF(OR(B442="",C442=""),"",IF(COUNTIFS($B$5:B442,B442,$C$5:C442,C442)=1,1,0))</f>
        <v/>
      </c>
      <c r="T442" s="29" t="str">
        <f aca="false">IF(OR(B442="",C442="",E442=""),"",IF(COUNTIFS($B$5:B442,B442,$C$5:C442,C442,$E$5:E442,E442)=1,1,0))</f>
        <v/>
      </c>
      <c r="U442" s="28" t="str">
        <f aca="false">IF(COUNTA(B442:C442,E442:F442,H442:P442)=0,"",IF(OR(B442="",C442="",E442=""),"Check: date, player, and context required",IF(AND(ISNUMBER(J442),ISNUMBER(I442),J442&gt;I442),"Check: solid contacts &gt; swings",IF(AND(ISNUMBER(L442),ISNUMBER(K442),L442&gt;K442),"Check: correct &gt; assessed decisions",IF(AND(ISNUMBER(N442),ISNUMBER(M442),N442&gt;M442),"Check: intended &gt; assessed landings",IF(AND(ISNUMBER(J442),I442=""),"Check: solid contacts without swings","OK"))))))</f>
        <v/>
      </c>
    </row>
    <row r="443" customFormat="false" ht="15" hidden="false" customHeight="false" outlineLevel="0" collapsed="false">
      <c r="B443" s="26"/>
      <c r="C443" s="27"/>
      <c r="D443" s="28" t="str">
        <f aca="false">IF(C443="","",IFERROR(INDEX(Players!$C$5:$C$104,MATCH(C443,Players!$B$5:$B$104,0)),"ID not found"))</f>
        <v/>
      </c>
      <c r="E443" s="27"/>
      <c r="F443" s="27"/>
      <c r="G443" s="28" t="str">
        <f aca="false">IF(F443="","",IFERROR(INDEX('Hitting Drills'!$D$6:$D$45,MATCH(F443,'Hitting Drills'!$B$6:$B$45,0)),"Not a hitting drill ID"))</f>
        <v/>
      </c>
      <c r="H443" s="27"/>
      <c r="I443" s="27"/>
      <c r="J443" s="27"/>
      <c r="K443" s="27"/>
      <c r="L443" s="27"/>
      <c r="M443" s="27"/>
      <c r="N443" s="27"/>
      <c r="O443" s="27"/>
      <c r="P443" s="27"/>
      <c r="Q443" s="27"/>
      <c r="R443" s="27"/>
      <c r="S443" s="29" t="str">
        <f aca="false">IF(OR(B443="",C443=""),"",IF(COUNTIFS($B$5:B443,B443,$C$5:C443,C443)=1,1,0))</f>
        <v/>
      </c>
      <c r="T443" s="29" t="str">
        <f aca="false">IF(OR(B443="",C443="",E443=""),"",IF(COUNTIFS($B$5:B443,B443,$C$5:C443,C443,$E$5:E443,E443)=1,1,0))</f>
        <v/>
      </c>
      <c r="U443" s="28" t="str">
        <f aca="false">IF(COUNTA(B443:C443,E443:F443,H443:P443)=0,"",IF(OR(B443="",C443="",E443=""),"Check: date, player, and context required",IF(AND(ISNUMBER(J443),ISNUMBER(I443),J443&gt;I443),"Check: solid contacts &gt; swings",IF(AND(ISNUMBER(L443),ISNUMBER(K443),L443&gt;K443),"Check: correct &gt; assessed decisions",IF(AND(ISNUMBER(N443),ISNUMBER(M443),N443&gt;M443),"Check: intended &gt; assessed landings",IF(AND(ISNUMBER(J443),I443=""),"Check: solid contacts without swings","OK"))))))</f>
        <v/>
      </c>
    </row>
    <row r="444" customFormat="false" ht="15" hidden="false" customHeight="false" outlineLevel="0" collapsed="false">
      <c r="B444" s="26"/>
      <c r="C444" s="27"/>
      <c r="D444" s="28" t="str">
        <f aca="false">IF(C444="","",IFERROR(INDEX(Players!$C$5:$C$104,MATCH(C444,Players!$B$5:$B$104,0)),"ID not found"))</f>
        <v/>
      </c>
      <c r="E444" s="27"/>
      <c r="F444" s="27"/>
      <c r="G444" s="28" t="str">
        <f aca="false">IF(F444="","",IFERROR(INDEX('Hitting Drills'!$D$6:$D$45,MATCH(F444,'Hitting Drills'!$B$6:$B$45,0)),"Not a hitting drill ID"))</f>
        <v/>
      </c>
      <c r="H444" s="27"/>
      <c r="I444" s="27"/>
      <c r="J444" s="27"/>
      <c r="K444" s="27"/>
      <c r="L444" s="27"/>
      <c r="M444" s="27"/>
      <c r="N444" s="27"/>
      <c r="O444" s="27"/>
      <c r="P444" s="27"/>
      <c r="Q444" s="27"/>
      <c r="R444" s="27"/>
      <c r="S444" s="29" t="str">
        <f aca="false">IF(OR(B444="",C444=""),"",IF(COUNTIFS($B$5:B444,B444,$C$5:C444,C444)=1,1,0))</f>
        <v/>
      </c>
      <c r="T444" s="29" t="str">
        <f aca="false">IF(OR(B444="",C444="",E444=""),"",IF(COUNTIFS($B$5:B444,B444,$C$5:C444,C444,$E$5:E444,E444)=1,1,0))</f>
        <v/>
      </c>
      <c r="U444" s="28" t="str">
        <f aca="false">IF(COUNTA(B444:C444,E444:F444,H444:P444)=0,"",IF(OR(B444="",C444="",E444=""),"Check: date, player, and context required",IF(AND(ISNUMBER(J444),ISNUMBER(I444),J444&gt;I444),"Check: solid contacts &gt; swings",IF(AND(ISNUMBER(L444),ISNUMBER(K444),L444&gt;K444),"Check: correct &gt; assessed decisions",IF(AND(ISNUMBER(N444),ISNUMBER(M444),N444&gt;M444),"Check: intended &gt; assessed landings",IF(AND(ISNUMBER(J444),I444=""),"Check: solid contacts without swings","OK"))))))</f>
        <v/>
      </c>
    </row>
    <row r="445" customFormat="false" ht="15" hidden="false" customHeight="false" outlineLevel="0" collapsed="false">
      <c r="B445" s="26"/>
      <c r="C445" s="27"/>
      <c r="D445" s="28" t="str">
        <f aca="false">IF(C445="","",IFERROR(INDEX(Players!$C$5:$C$104,MATCH(C445,Players!$B$5:$B$104,0)),"ID not found"))</f>
        <v/>
      </c>
      <c r="E445" s="27"/>
      <c r="F445" s="27"/>
      <c r="G445" s="28" t="str">
        <f aca="false">IF(F445="","",IFERROR(INDEX('Hitting Drills'!$D$6:$D$45,MATCH(F445,'Hitting Drills'!$B$6:$B$45,0)),"Not a hitting drill ID"))</f>
        <v/>
      </c>
      <c r="H445" s="27"/>
      <c r="I445" s="27"/>
      <c r="J445" s="27"/>
      <c r="K445" s="27"/>
      <c r="L445" s="27"/>
      <c r="M445" s="27"/>
      <c r="N445" s="27"/>
      <c r="O445" s="27"/>
      <c r="P445" s="27"/>
      <c r="Q445" s="27"/>
      <c r="R445" s="27"/>
      <c r="S445" s="29" t="str">
        <f aca="false">IF(OR(B445="",C445=""),"",IF(COUNTIFS($B$5:B445,B445,$C$5:C445,C445)=1,1,0))</f>
        <v/>
      </c>
      <c r="T445" s="29" t="str">
        <f aca="false">IF(OR(B445="",C445="",E445=""),"",IF(COUNTIFS($B$5:B445,B445,$C$5:C445,C445,$E$5:E445,E445)=1,1,0))</f>
        <v/>
      </c>
      <c r="U445" s="28" t="str">
        <f aca="false">IF(COUNTA(B445:C445,E445:F445,H445:P445)=0,"",IF(OR(B445="",C445="",E445=""),"Check: date, player, and context required",IF(AND(ISNUMBER(J445),ISNUMBER(I445),J445&gt;I445),"Check: solid contacts &gt; swings",IF(AND(ISNUMBER(L445),ISNUMBER(K445),L445&gt;K445),"Check: correct &gt; assessed decisions",IF(AND(ISNUMBER(N445),ISNUMBER(M445),N445&gt;M445),"Check: intended &gt; assessed landings",IF(AND(ISNUMBER(J445),I445=""),"Check: solid contacts without swings","OK"))))))</f>
        <v/>
      </c>
    </row>
    <row r="446" customFormat="false" ht="15" hidden="false" customHeight="false" outlineLevel="0" collapsed="false">
      <c r="B446" s="26"/>
      <c r="C446" s="27"/>
      <c r="D446" s="28" t="str">
        <f aca="false">IF(C446="","",IFERROR(INDEX(Players!$C$5:$C$104,MATCH(C446,Players!$B$5:$B$104,0)),"ID not found"))</f>
        <v/>
      </c>
      <c r="E446" s="27"/>
      <c r="F446" s="27"/>
      <c r="G446" s="28" t="str">
        <f aca="false">IF(F446="","",IFERROR(INDEX('Hitting Drills'!$D$6:$D$45,MATCH(F446,'Hitting Drills'!$B$6:$B$45,0)),"Not a hitting drill ID"))</f>
        <v/>
      </c>
      <c r="H446" s="27"/>
      <c r="I446" s="27"/>
      <c r="J446" s="27"/>
      <c r="K446" s="27"/>
      <c r="L446" s="27"/>
      <c r="M446" s="27"/>
      <c r="N446" s="27"/>
      <c r="O446" s="27"/>
      <c r="P446" s="27"/>
      <c r="Q446" s="27"/>
      <c r="R446" s="27"/>
      <c r="S446" s="29" t="str">
        <f aca="false">IF(OR(B446="",C446=""),"",IF(COUNTIFS($B$5:B446,B446,$C$5:C446,C446)=1,1,0))</f>
        <v/>
      </c>
      <c r="T446" s="29" t="str">
        <f aca="false">IF(OR(B446="",C446="",E446=""),"",IF(COUNTIFS($B$5:B446,B446,$C$5:C446,C446,$E$5:E446,E446)=1,1,0))</f>
        <v/>
      </c>
      <c r="U446" s="28" t="str">
        <f aca="false">IF(COUNTA(B446:C446,E446:F446,H446:P446)=0,"",IF(OR(B446="",C446="",E446=""),"Check: date, player, and context required",IF(AND(ISNUMBER(J446),ISNUMBER(I446),J446&gt;I446),"Check: solid contacts &gt; swings",IF(AND(ISNUMBER(L446),ISNUMBER(K446),L446&gt;K446),"Check: correct &gt; assessed decisions",IF(AND(ISNUMBER(N446),ISNUMBER(M446),N446&gt;M446),"Check: intended &gt; assessed landings",IF(AND(ISNUMBER(J446),I446=""),"Check: solid contacts without swings","OK"))))))</f>
        <v/>
      </c>
    </row>
    <row r="447" customFormat="false" ht="15" hidden="false" customHeight="false" outlineLevel="0" collapsed="false">
      <c r="B447" s="26"/>
      <c r="C447" s="27"/>
      <c r="D447" s="28" t="str">
        <f aca="false">IF(C447="","",IFERROR(INDEX(Players!$C$5:$C$104,MATCH(C447,Players!$B$5:$B$104,0)),"ID not found"))</f>
        <v/>
      </c>
      <c r="E447" s="27"/>
      <c r="F447" s="27"/>
      <c r="G447" s="28" t="str">
        <f aca="false">IF(F447="","",IFERROR(INDEX('Hitting Drills'!$D$6:$D$45,MATCH(F447,'Hitting Drills'!$B$6:$B$45,0)),"Not a hitting drill ID"))</f>
        <v/>
      </c>
      <c r="H447" s="27"/>
      <c r="I447" s="27"/>
      <c r="J447" s="27"/>
      <c r="K447" s="27"/>
      <c r="L447" s="27"/>
      <c r="M447" s="27"/>
      <c r="N447" s="27"/>
      <c r="O447" s="27"/>
      <c r="P447" s="27"/>
      <c r="Q447" s="27"/>
      <c r="R447" s="27"/>
      <c r="S447" s="29" t="str">
        <f aca="false">IF(OR(B447="",C447=""),"",IF(COUNTIFS($B$5:B447,B447,$C$5:C447,C447)=1,1,0))</f>
        <v/>
      </c>
      <c r="T447" s="29" t="str">
        <f aca="false">IF(OR(B447="",C447="",E447=""),"",IF(COUNTIFS($B$5:B447,B447,$C$5:C447,C447,$E$5:E447,E447)=1,1,0))</f>
        <v/>
      </c>
      <c r="U447" s="28" t="str">
        <f aca="false">IF(COUNTA(B447:C447,E447:F447,H447:P447)=0,"",IF(OR(B447="",C447="",E447=""),"Check: date, player, and context required",IF(AND(ISNUMBER(J447),ISNUMBER(I447),J447&gt;I447),"Check: solid contacts &gt; swings",IF(AND(ISNUMBER(L447),ISNUMBER(K447),L447&gt;K447),"Check: correct &gt; assessed decisions",IF(AND(ISNUMBER(N447),ISNUMBER(M447),N447&gt;M447),"Check: intended &gt; assessed landings",IF(AND(ISNUMBER(J447),I447=""),"Check: solid contacts without swings","OK"))))))</f>
        <v/>
      </c>
    </row>
    <row r="448" customFormat="false" ht="15" hidden="false" customHeight="false" outlineLevel="0" collapsed="false">
      <c r="B448" s="26"/>
      <c r="C448" s="27"/>
      <c r="D448" s="28" t="str">
        <f aca="false">IF(C448="","",IFERROR(INDEX(Players!$C$5:$C$104,MATCH(C448,Players!$B$5:$B$104,0)),"ID not found"))</f>
        <v/>
      </c>
      <c r="E448" s="27"/>
      <c r="F448" s="27"/>
      <c r="G448" s="28" t="str">
        <f aca="false">IF(F448="","",IFERROR(INDEX('Hitting Drills'!$D$6:$D$45,MATCH(F448,'Hitting Drills'!$B$6:$B$45,0)),"Not a hitting drill ID"))</f>
        <v/>
      </c>
      <c r="H448" s="27"/>
      <c r="I448" s="27"/>
      <c r="J448" s="27"/>
      <c r="K448" s="27"/>
      <c r="L448" s="27"/>
      <c r="M448" s="27"/>
      <c r="N448" s="27"/>
      <c r="O448" s="27"/>
      <c r="P448" s="27"/>
      <c r="Q448" s="27"/>
      <c r="R448" s="27"/>
      <c r="S448" s="29" t="str">
        <f aca="false">IF(OR(B448="",C448=""),"",IF(COUNTIFS($B$5:B448,B448,$C$5:C448,C448)=1,1,0))</f>
        <v/>
      </c>
      <c r="T448" s="29" t="str">
        <f aca="false">IF(OR(B448="",C448="",E448=""),"",IF(COUNTIFS($B$5:B448,B448,$C$5:C448,C448,$E$5:E448,E448)=1,1,0))</f>
        <v/>
      </c>
      <c r="U448" s="28" t="str">
        <f aca="false">IF(COUNTA(B448:C448,E448:F448,H448:P448)=0,"",IF(OR(B448="",C448="",E448=""),"Check: date, player, and context required",IF(AND(ISNUMBER(J448),ISNUMBER(I448),J448&gt;I448),"Check: solid contacts &gt; swings",IF(AND(ISNUMBER(L448),ISNUMBER(K448),L448&gt;K448),"Check: correct &gt; assessed decisions",IF(AND(ISNUMBER(N448),ISNUMBER(M448),N448&gt;M448),"Check: intended &gt; assessed landings",IF(AND(ISNUMBER(J448),I448=""),"Check: solid contacts without swings","OK"))))))</f>
        <v/>
      </c>
    </row>
    <row r="449" customFormat="false" ht="15" hidden="false" customHeight="false" outlineLevel="0" collapsed="false">
      <c r="B449" s="26"/>
      <c r="C449" s="27"/>
      <c r="D449" s="28" t="str">
        <f aca="false">IF(C449="","",IFERROR(INDEX(Players!$C$5:$C$104,MATCH(C449,Players!$B$5:$B$104,0)),"ID not found"))</f>
        <v/>
      </c>
      <c r="E449" s="27"/>
      <c r="F449" s="27"/>
      <c r="G449" s="28" t="str">
        <f aca="false">IF(F449="","",IFERROR(INDEX('Hitting Drills'!$D$6:$D$45,MATCH(F449,'Hitting Drills'!$B$6:$B$45,0)),"Not a hitting drill ID"))</f>
        <v/>
      </c>
      <c r="H449" s="27"/>
      <c r="I449" s="27"/>
      <c r="J449" s="27"/>
      <c r="K449" s="27"/>
      <c r="L449" s="27"/>
      <c r="M449" s="27"/>
      <c r="N449" s="27"/>
      <c r="O449" s="27"/>
      <c r="P449" s="27"/>
      <c r="Q449" s="27"/>
      <c r="R449" s="27"/>
      <c r="S449" s="29" t="str">
        <f aca="false">IF(OR(B449="",C449=""),"",IF(COUNTIFS($B$5:B449,B449,$C$5:C449,C449)=1,1,0))</f>
        <v/>
      </c>
      <c r="T449" s="29" t="str">
        <f aca="false">IF(OR(B449="",C449="",E449=""),"",IF(COUNTIFS($B$5:B449,B449,$C$5:C449,C449,$E$5:E449,E449)=1,1,0))</f>
        <v/>
      </c>
      <c r="U449" s="28" t="str">
        <f aca="false">IF(COUNTA(B449:C449,E449:F449,H449:P449)=0,"",IF(OR(B449="",C449="",E449=""),"Check: date, player, and context required",IF(AND(ISNUMBER(J449),ISNUMBER(I449),J449&gt;I449),"Check: solid contacts &gt; swings",IF(AND(ISNUMBER(L449),ISNUMBER(K449),L449&gt;K449),"Check: correct &gt; assessed decisions",IF(AND(ISNUMBER(N449),ISNUMBER(M449),N449&gt;M449),"Check: intended &gt; assessed landings",IF(AND(ISNUMBER(J449),I449=""),"Check: solid contacts without swings","OK"))))))</f>
        <v/>
      </c>
    </row>
    <row r="450" customFormat="false" ht="15" hidden="false" customHeight="false" outlineLevel="0" collapsed="false">
      <c r="B450" s="26"/>
      <c r="C450" s="27"/>
      <c r="D450" s="28" t="str">
        <f aca="false">IF(C450="","",IFERROR(INDEX(Players!$C$5:$C$104,MATCH(C450,Players!$B$5:$B$104,0)),"ID not found"))</f>
        <v/>
      </c>
      <c r="E450" s="27"/>
      <c r="F450" s="27"/>
      <c r="G450" s="28" t="str">
        <f aca="false">IF(F450="","",IFERROR(INDEX('Hitting Drills'!$D$6:$D$45,MATCH(F450,'Hitting Drills'!$B$6:$B$45,0)),"Not a hitting drill ID"))</f>
        <v/>
      </c>
      <c r="H450" s="27"/>
      <c r="I450" s="27"/>
      <c r="J450" s="27"/>
      <c r="K450" s="27"/>
      <c r="L450" s="27"/>
      <c r="M450" s="27"/>
      <c r="N450" s="27"/>
      <c r="O450" s="27"/>
      <c r="P450" s="27"/>
      <c r="Q450" s="27"/>
      <c r="R450" s="27"/>
      <c r="S450" s="29" t="str">
        <f aca="false">IF(OR(B450="",C450=""),"",IF(COUNTIFS($B$5:B450,B450,$C$5:C450,C450)=1,1,0))</f>
        <v/>
      </c>
      <c r="T450" s="29" t="str">
        <f aca="false">IF(OR(B450="",C450="",E450=""),"",IF(COUNTIFS($B$5:B450,B450,$C$5:C450,C450,$E$5:E450,E450)=1,1,0))</f>
        <v/>
      </c>
      <c r="U450" s="28" t="str">
        <f aca="false">IF(COUNTA(B450:C450,E450:F450,H450:P450)=0,"",IF(OR(B450="",C450="",E450=""),"Check: date, player, and context required",IF(AND(ISNUMBER(J450),ISNUMBER(I450),J450&gt;I450),"Check: solid contacts &gt; swings",IF(AND(ISNUMBER(L450),ISNUMBER(K450),L450&gt;K450),"Check: correct &gt; assessed decisions",IF(AND(ISNUMBER(N450),ISNUMBER(M450),N450&gt;M450),"Check: intended &gt; assessed landings",IF(AND(ISNUMBER(J450),I450=""),"Check: solid contacts without swings","OK"))))))</f>
        <v/>
      </c>
    </row>
    <row r="451" customFormat="false" ht="15" hidden="false" customHeight="false" outlineLevel="0" collapsed="false">
      <c r="B451" s="26"/>
      <c r="C451" s="27"/>
      <c r="D451" s="28" t="str">
        <f aca="false">IF(C451="","",IFERROR(INDEX(Players!$C$5:$C$104,MATCH(C451,Players!$B$5:$B$104,0)),"ID not found"))</f>
        <v/>
      </c>
      <c r="E451" s="27"/>
      <c r="F451" s="27"/>
      <c r="G451" s="28" t="str">
        <f aca="false">IF(F451="","",IFERROR(INDEX('Hitting Drills'!$D$6:$D$45,MATCH(F451,'Hitting Drills'!$B$6:$B$45,0)),"Not a hitting drill ID"))</f>
        <v/>
      </c>
      <c r="H451" s="27"/>
      <c r="I451" s="27"/>
      <c r="J451" s="27"/>
      <c r="K451" s="27"/>
      <c r="L451" s="27"/>
      <c r="M451" s="27"/>
      <c r="N451" s="27"/>
      <c r="O451" s="27"/>
      <c r="P451" s="27"/>
      <c r="Q451" s="27"/>
      <c r="R451" s="27"/>
      <c r="S451" s="29" t="str">
        <f aca="false">IF(OR(B451="",C451=""),"",IF(COUNTIFS($B$5:B451,B451,$C$5:C451,C451)=1,1,0))</f>
        <v/>
      </c>
      <c r="T451" s="29" t="str">
        <f aca="false">IF(OR(B451="",C451="",E451=""),"",IF(COUNTIFS($B$5:B451,B451,$C$5:C451,C451,$E$5:E451,E451)=1,1,0))</f>
        <v/>
      </c>
      <c r="U451" s="28" t="str">
        <f aca="false">IF(COUNTA(B451:C451,E451:F451,H451:P451)=0,"",IF(OR(B451="",C451="",E451=""),"Check: date, player, and context required",IF(AND(ISNUMBER(J451),ISNUMBER(I451),J451&gt;I451),"Check: solid contacts &gt; swings",IF(AND(ISNUMBER(L451),ISNUMBER(K451),L451&gt;K451),"Check: correct &gt; assessed decisions",IF(AND(ISNUMBER(N451),ISNUMBER(M451),N451&gt;M451),"Check: intended &gt; assessed landings",IF(AND(ISNUMBER(J451),I451=""),"Check: solid contacts without swings","OK"))))))</f>
        <v/>
      </c>
    </row>
    <row r="452" customFormat="false" ht="15" hidden="false" customHeight="false" outlineLevel="0" collapsed="false">
      <c r="B452" s="26"/>
      <c r="C452" s="27"/>
      <c r="D452" s="28" t="str">
        <f aca="false">IF(C452="","",IFERROR(INDEX(Players!$C$5:$C$104,MATCH(C452,Players!$B$5:$B$104,0)),"ID not found"))</f>
        <v/>
      </c>
      <c r="E452" s="27"/>
      <c r="F452" s="27"/>
      <c r="G452" s="28" t="str">
        <f aca="false">IF(F452="","",IFERROR(INDEX('Hitting Drills'!$D$6:$D$45,MATCH(F452,'Hitting Drills'!$B$6:$B$45,0)),"Not a hitting drill ID"))</f>
        <v/>
      </c>
      <c r="H452" s="27"/>
      <c r="I452" s="27"/>
      <c r="J452" s="27"/>
      <c r="K452" s="27"/>
      <c r="L452" s="27"/>
      <c r="M452" s="27"/>
      <c r="N452" s="27"/>
      <c r="O452" s="27"/>
      <c r="P452" s="27"/>
      <c r="Q452" s="27"/>
      <c r="R452" s="27"/>
      <c r="S452" s="29" t="str">
        <f aca="false">IF(OR(B452="",C452=""),"",IF(COUNTIFS($B$5:B452,B452,$C$5:C452,C452)=1,1,0))</f>
        <v/>
      </c>
      <c r="T452" s="29" t="str">
        <f aca="false">IF(OR(B452="",C452="",E452=""),"",IF(COUNTIFS($B$5:B452,B452,$C$5:C452,C452,$E$5:E452,E452)=1,1,0))</f>
        <v/>
      </c>
      <c r="U452" s="28" t="str">
        <f aca="false">IF(COUNTA(B452:C452,E452:F452,H452:P452)=0,"",IF(OR(B452="",C452="",E452=""),"Check: date, player, and context required",IF(AND(ISNUMBER(J452),ISNUMBER(I452),J452&gt;I452),"Check: solid contacts &gt; swings",IF(AND(ISNUMBER(L452),ISNUMBER(K452),L452&gt;K452),"Check: correct &gt; assessed decisions",IF(AND(ISNUMBER(N452),ISNUMBER(M452),N452&gt;M452),"Check: intended &gt; assessed landings",IF(AND(ISNUMBER(J452),I452=""),"Check: solid contacts without swings","OK"))))))</f>
        <v/>
      </c>
    </row>
    <row r="453" customFormat="false" ht="15" hidden="false" customHeight="false" outlineLevel="0" collapsed="false">
      <c r="B453" s="26"/>
      <c r="C453" s="27"/>
      <c r="D453" s="28" t="str">
        <f aca="false">IF(C453="","",IFERROR(INDEX(Players!$C$5:$C$104,MATCH(C453,Players!$B$5:$B$104,0)),"ID not found"))</f>
        <v/>
      </c>
      <c r="E453" s="27"/>
      <c r="F453" s="27"/>
      <c r="G453" s="28" t="str">
        <f aca="false">IF(F453="","",IFERROR(INDEX('Hitting Drills'!$D$6:$D$45,MATCH(F453,'Hitting Drills'!$B$6:$B$45,0)),"Not a hitting drill ID"))</f>
        <v/>
      </c>
      <c r="H453" s="27"/>
      <c r="I453" s="27"/>
      <c r="J453" s="27"/>
      <c r="K453" s="27"/>
      <c r="L453" s="27"/>
      <c r="M453" s="27"/>
      <c r="N453" s="27"/>
      <c r="O453" s="27"/>
      <c r="P453" s="27"/>
      <c r="Q453" s="27"/>
      <c r="R453" s="27"/>
      <c r="S453" s="29" t="str">
        <f aca="false">IF(OR(B453="",C453=""),"",IF(COUNTIFS($B$5:B453,B453,$C$5:C453,C453)=1,1,0))</f>
        <v/>
      </c>
      <c r="T453" s="29" t="str">
        <f aca="false">IF(OR(B453="",C453="",E453=""),"",IF(COUNTIFS($B$5:B453,B453,$C$5:C453,C453,$E$5:E453,E453)=1,1,0))</f>
        <v/>
      </c>
      <c r="U453" s="28" t="str">
        <f aca="false">IF(COUNTA(B453:C453,E453:F453,H453:P453)=0,"",IF(OR(B453="",C453="",E453=""),"Check: date, player, and context required",IF(AND(ISNUMBER(J453),ISNUMBER(I453),J453&gt;I453),"Check: solid contacts &gt; swings",IF(AND(ISNUMBER(L453),ISNUMBER(K453),L453&gt;K453),"Check: correct &gt; assessed decisions",IF(AND(ISNUMBER(N453),ISNUMBER(M453),N453&gt;M453),"Check: intended &gt; assessed landings",IF(AND(ISNUMBER(J453),I453=""),"Check: solid contacts without swings","OK"))))))</f>
        <v/>
      </c>
    </row>
    <row r="454" customFormat="false" ht="15" hidden="false" customHeight="false" outlineLevel="0" collapsed="false">
      <c r="B454" s="26"/>
      <c r="C454" s="27"/>
      <c r="D454" s="28" t="str">
        <f aca="false">IF(C454="","",IFERROR(INDEX(Players!$C$5:$C$104,MATCH(C454,Players!$B$5:$B$104,0)),"ID not found"))</f>
        <v/>
      </c>
      <c r="E454" s="27"/>
      <c r="F454" s="27"/>
      <c r="G454" s="28" t="str">
        <f aca="false">IF(F454="","",IFERROR(INDEX('Hitting Drills'!$D$6:$D$45,MATCH(F454,'Hitting Drills'!$B$6:$B$45,0)),"Not a hitting drill ID"))</f>
        <v/>
      </c>
      <c r="H454" s="27"/>
      <c r="I454" s="27"/>
      <c r="J454" s="27"/>
      <c r="K454" s="27"/>
      <c r="L454" s="27"/>
      <c r="M454" s="27"/>
      <c r="N454" s="27"/>
      <c r="O454" s="27"/>
      <c r="P454" s="27"/>
      <c r="Q454" s="27"/>
      <c r="R454" s="27"/>
      <c r="S454" s="29" t="str">
        <f aca="false">IF(OR(B454="",C454=""),"",IF(COUNTIFS($B$5:B454,B454,$C$5:C454,C454)=1,1,0))</f>
        <v/>
      </c>
      <c r="T454" s="29" t="str">
        <f aca="false">IF(OR(B454="",C454="",E454=""),"",IF(COUNTIFS($B$5:B454,B454,$C$5:C454,C454,$E$5:E454,E454)=1,1,0))</f>
        <v/>
      </c>
      <c r="U454" s="28" t="str">
        <f aca="false">IF(COUNTA(B454:C454,E454:F454,H454:P454)=0,"",IF(OR(B454="",C454="",E454=""),"Check: date, player, and context required",IF(AND(ISNUMBER(J454),ISNUMBER(I454),J454&gt;I454),"Check: solid contacts &gt; swings",IF(AND(ISNUMBER(L454),ISNUMBER(K454),L454&gt;K454),"Check: correct &gt; assessed decisions",IF(AND(ISNUMBER(N454),ISNUMBER(M454),N454&gt;M454),"Check: intended &gt; assessed landings",IF(AND(ISNUMBER(J454),I454=""),"Check: solid contacts without swings","OK"))))))</f>
        <v/>
      </c>
    </row>
    <row r="455" customFormat="false" ht="15" hidden="false" customHeight="false" outlineLevel="0" collapsed="false">
      <c r="B455" s="26"/>
      <c r="C455" s="27"/>
      <c r="D455" s="28" t="str">
        <f aca="false">IF(C455="","",IFERROR(INDEX(Players!$C$5:$C$104,MATCH(C455,Players!$B$5:$B$104,0)),"ID not found"))</f>
        <v/>
      </c>
      <c r="E455" s="27"/>
      <c r="F455" s="27"/>
      <c r="G455" s="28" t="str">
        <f aca="false">IF(F455="","",IFERROR(INDEX('Hitting Drills'!$D$6:$D$45,MATCH(F455,'Hitting Drills'!$B$6:$B$45,0)),"Not a hitting drill ID"))</f>
        <v/>
      </c>
      <c r="H455" s="27"/>
      <c r="I455" s="27"/>
      <c r="J455" s="27"/>
      <c r="K455" s="27"/>
      <c r="L455" s="27"/>
      <c r="M455" s="27"/>
      <c r="N455" s="27"/>
      <c r="O455" s="27"/>
      <c r="P455" s="27"/>
      <c r="Q455" s="27"/>
      <c r="R455" s="27"/>
      <c r="S455" s="29" t="str">
        <f aca="false">IF(OR(B455="",C455=""),"",IF(COUNTIFS($B$5:B455,B455,$C$5:C455,C455)=1,1,0))</f>
        <v/>
      </c>
      <c r="T455" s="29" t="str">
        <f aca="false">IF(OR(B455="",C455="",E455=""),"",IF(COUNTIFS($B$5:B455,B455,$C$5:C455,C455,$E$5:E455,E455)=1,1,0))</f>
        <v/>
      </c>
      <c r="U455" s="28" t="str">
        <f aca="false">IF(COUNTA(B455:C455,E455:F455,H455:P455)=0,"",IF(OR(B455="",C455="",E455=""),"Check: date, player, and context required",IF(AND(ISNUMBER(J455),ISNUMBER(I455),J455&gt;I455),"Check: solid contacts &gt; swings",IF(AND(ISNUMBER(L455),ISNUMBER(K455),L455&gt;K455),"Check: correct &gt; assessed decisions",IF(AND(ISNUMBER(N455),ISNUMBER(M455),N455&gt;M455),"Check: intended &gt; assessed landings",IF(AND(ISNUMBER(J455),I455=""),"Check: solid contacts without swings","OK"))))))</f>
        <v/>
      </c>
    </row>
    <row r="456" customFormat="false" ht="15" hidden="false" customHeight="false" outlineLevel="0" collapsed="false">
      <c r="B456" s="26"/>
      <c r="C456" s="27"/>
      <c r="D456" s="28" t="str">
        <f aca="false">IF(C456="","",IFERROR(INDEX(Players!$C$5:$C$104,MATCH(C456,Players!$B$5:$B$104,0)),"ID not found"))</f>
        <v/>
      </c>
      <c r="E456" s="27"/>
      <c r="F456" s="27"/>
      <c r="G456" s="28" t="str">
        <f aca="false">IF(F456="","",IFERROR(INDEX('Hitting Drills'!$D$6:$D$45,MATCH(F456,'Hitting Drills'!$B$6:$B$45,0)),"Not a hitting drill ID"))</f>
        <v/>
      </c>
      <c r="H456" s="27"/>
      <c r="I456" s="27"/>
      <c r="J456" s="27"/>
      <c r="K456" s="27"/>
      <c r="L456" s="27"/>
      <c r="M456" s="27"/>
      <c r="N456" s="27"/>
      <c r="O456" s="27"/>
      <c r="P456" s="27"/>
      <c r="Q456" s="27"/>
      <c r="R456" s="27"/>
      <c r="S456" s="29" t="str">
        <f aca="false">IF(OR(B456="",C456=""),"",IF(COUNTIFS($B$5:B456,B456,$C$5:C456,C456)=1,1,0))</f>
        <v/>
      </c>
      <c r="T456" s="29" t="str">
        <f aca="false">IF(OR(B456="",C456="",E456=""),"",IF(COUNTIFS($B$5:B456,B456,$C$5:C456,C456,$E$5:E456,E456)=1,1,0))</f>
        <v/>
      </c>
      <c r="U456" s="28" t="str">
        <f aca="false">IF(COUNTA(B456:C456,E456:F456,H456:P456)=0,"",IF(OR(B456="",C456="",E456=""),"Check: date, player, and context required",IF(AND(ISNUMBER(J456),ISNUMBER(I456),J456&gt;I456),"Check: solid contacts &gt; swings",IF(AND(ISNUMBER(L456),ISNUMBER(K456),L456&gt;K456),"Check: correct &gt; assessed decisions",IF(AND(ISNUMBER(N456),ISNUMBER(M456),N456&gt;M456),"Check: intended &gt; assessed landings",IF(AND(ISNUMBER(J456),I456=""),"Check: solid contacts without swings","OK"))))))</f>
        <v/>
      </c>
    </row>
    <row r="457" customFormat="false" ht="15" hidden="false" customHeight="false" outlineLevel="0" collapsed="false">
      <c r="B457" s="26"/>
      <c r="C457" s="27"/>
      <c r="D457" s="28" t="str">
        <f aca="false">IF(C457="","",IFERROR(INDEX(Players!$C$5:$C$104,MATCH(C457,Players!$B$5:$B$104,0)),"ID not found"))</f>
        <v/>
      </c>
      <c r="E457" s="27"/>
      <c r="F457" s="27"/>
      <c r="G457" s="28" t="str">
        <f aca="false">IF(F457="","",IFERROR(INDEX('Hitting Drills'!$D$6:$D$45,MATCH(F457,'Hitting Drills'!$B$6:$B$45,0)),"Not a hitting drill ID"))</f>
        <v/>
      </c>
      <c r="H457" s="27"/>
      <c r="I457" s="27"/>
      <c r="J457" s="27"/>
      <c r="K457" s="27"/>
      <c r="L457" s="27"/>
      <c r="M457" s="27"/>
      <c r="N457" s="27"/>
      <c r="O457" s="27"/>
      <c r="P457" s="27"/>
      <c r="Q457" s="27"/>
      <c r="R457" s="27"/>
      <c r="S457" s="29" t="str">
        <f aca="false">IF(OR(B457="",C457=""),"",IF(COUNTIFS($B$5:B457,B457,$C$5:C457,C457)=1,1,0))</f>
        <v/>
      </c>
      <c r="T457" s="29" t="str">
        <f aca="false">IF(OR(B457="",C457="",E457=""),"",IF(COUNTIFS($B$5:B457,B457,$C$5:C457,C457,$E$5:E457,E457)=1,1,0))</f>
        <v/>
      </c>
      <c r="U457" s="28" t="str">
        <f aca="false">IF(COUNTA(B457:C457,E457:F457,H457:P457)=0,"",IF(OR(B457="",C457="",E457=""),"Check: date, player, and context required",IF(AND(ISNUMBER(J457),ISNUMBER(I457),J457&gt;I457),"Check: solid contacts &gt; swings",IF(AND(ISNUMBER(L457),ISNUMBER(K457),L457&gt;K457),"Check: correct &gt; assessed decisions",IF(AND(ISNUMBER(N457),ISNUMBER(M457),N457&gt;M457),"Check: intended &gt; assessed landings",IF(AND(ISNUMBER(J457),I457=""),"Check: solid contacts without swings","OK"))))))</f>
        <v/>
      </c>
    </row>
    <row r="458" customFormat="false" ht="15" hidden="false" customHeight="false" outlineLevel="0" collapsed="false">
      <c r="B458" s="26"/>
      <c r="C458" s="27"/>
      <c r="D458" s="28" t="str">
        <f aca="false">IF(C458="","",IFERROR(INDEX(Players!$C$5:$C$104,MATCH(C458,Players!$B$5:$B$104,0)),"ID not found"))</f>
        <v/>
      </c>
      <c r="E458" s="27"/>
      <c r="F458" s="27"/>
      <c r="G458" s="28" t="str">
        <f aca="false">IF(F458="","",IFERROR(INDEX('Hitting Drills'!$D$6:$D$45,MATCH(F458,'Hitting Drills'!$B$6:$B$45,0)),"Not a hitting drill ID"))</f>
        <v/>
      </c>
      <c r="H458" s="27"/>
      <c r="I458" s="27"/>
      <c r="J458" s="27"/>
      <c r="K458" s="27"/>
      <c r="L458" s="27"/>
      <c r="M458" s="27"/>
      <c r="N458" s="27"/>
      <c r="O458" s="27"/>
      <c r="P458" s="27"/>
      <c r="Q458" s="27"/>
      <c r="R458" s="27"/>
      <c r="S458" s="29" t="str">
        <f aca="false">IF(OR(B458="",C458=""),"",IF(COUNTIFS($B$5:B458,B458,$C$5:C458,C458)=1,1,0))</f>
        <v/>
      </c>
      <c r="T458" s="29" t="str">
        <f aca="false">IF(OR(B458="",C458="",E458=""),"",IF(COUNTIFS($B$5:B458,B458,$C$5:C458,C458,$E$5:E458,E458)=1,1,0))</f>
        <v/>
      </c>
      <c r="U458" s="28" t="str">
        <f aca="false">IF(COUNTA(B458:C458,E458:F458,H458:P458)=0,"",IF(OR(B458="",C458="",E458=""),"Check: date, player, and context required",IF(AND(ISNUMBER(J458),ISNUMBER(I458),J458&gt;I458),"Check: solid contacts &gt; swings",IF(AND(ISNUMBER(L458),ISNUMBER(K458),L458&gt;K458),"Check: correct &gt; assessed decisions",IF(AND(ISNUMBER(N458),ISNUMBER(M458),N458&gt;M458),"Check: intended &gt; assessed landings",IF(AND(ISNUMBER(J458),I458=""),"Check: solid contacts without swings","OK"))))))</f>
        <v/>
      </c>
    </row>
    <row r="459" customFormat="false" ht="15" hidden="false" customHeight="false" outlineLevel="0" collapsed="false">
      <c r="B459" s="26"/>
      <c r="C459" s="27"/>
      <c r="D459" s="28" t="str">
        <f aca="false">IF(C459="","",IFERROR(INDEX(Players!$C$5:$C$104,MATCH(C459,Players!$B$5:$B$104,0)),"ID not found"))</f>
        <v/>
      </c>
      <c r="E459" s="27"/>
      <c r="F459" s="27"/>
      <c r="G459" s="28" t="str">
        <f aca="false">IF(F459="","",IFERROR(INDEX('Hitting Drills'!$D$6:$D$45,MATCH(F459,'Hitting Drills'!$B$6:$B$45,0)),"Not a hitting drill ID"))</f>
        <v/>
      </c>
      <c r="H459" s="27"/>
      <c r="I459" s="27"/>
      <c r="J459" s="27"/>
      <c r="K459" s="27"/>
      <c r="L459" s="27"/>
      <c r="M459" s="27"/>
      <c r="N459" s="27"/>
      <c r="O459" s="27"/>
      <c r="P459" s="27"/>
      <c r="Q459" s="27"/>
      <c r="R459" s="27"/>
      <c r="S459" s="29" t="str">
        <f aca="false">IF(OR(B459="",C459=""),"",IF(COUNTIFS($B$5:B459,B459,$C$5:C459,C459)=1,1,0))</f>
        <v/>
      </c>
      <c r="T459" s="29" t="str">
        <f aca="false">IF(OR(B459="",C459="",E459=""),"",IF(COUNTIFS($B$5:B459,B459,$C$5:C459,C459,$E$5:E459,E459)=1,1,0))</f>
        <v/>
      </c>
      <c r="U459" s="28" t="str">
        <f aca="false">IF(COUNTA(B459:C459,E459:F459,H459:P459)=0,"",IF(OR(B459="",C459="",E459=""),"Check: date, player, and context required",IF(AND(ISNUMBER(J459),ISNUMBER(I459),J459&gt;I459),"Check: solid contacts &gt; swings",IF(AND(ISNUMBER(L459),ISNUMBER(K459),L459&gt;K459),"Check: correct &gt; assessed decisions",IF(AND(ISNUMBER(N459),ISNUMBER(M459),N459&gt;M459),"Check: intended &gt; assessed landings",IF(AND(ISNUMBER(J459),I459=""),"Check: solid contacts without swings","OK"))))))</f>
        <v/>
      </c>
    </row>
    <row r="460" customFormat="false" ht="15" hidden="false" customHeight="false" outlineLevel="0" collapsed="false">
      <c r="B460" s="26"/>
      <c r="C460" s="27"/>
      <c r="D460" s="28" t="str">
        <f aca="false">IF(C460="","",IFERROR(INDEX(Players!$C$5:$C$104,MATCH(C460,Players!$B$5:$B$104,0)),"ID not found"))</f>
        <v/>
      </c>
      <c r="E460" s="27"/>
      <c r="F460" s="27"/>
      <c r="G460" s="28" t="str">
        <f aca="false">IF(F460="","",IFERROR(INDEX('Hitting Drills'!$D$6:$D$45,MATCH(F460,'Hitting Drills'!$B$6:$B$45,0)),"Not a hitting drill ID"))</f>
        <v/>
      </c>
      <c r="H460" s="27"/>
      <c r="I460" s="27"/>
      <c r="J460" s="27"/>
      <c r="K460" s="27"/>
      <c r="L460" s="27"/>
      <c r="M460" s="27"/>
      <c r="N460" s="27"/>
      <c r="O460" s="27"/>
      <c r="P460" s="27"/>
      <c r="Q460" s="27"/>
      <c r="R460" s="27"/>
      <c r="S460" s="29" t="str">
        <f aca="false">IF(OR(B460="",C460=""),"",IF(COUNTIFS($B$5:B460,B460,$C$5:C460,C460)=1,1,0))</f>
        <v/>
      </c>
      <c r="T460" s="29" t="str">
        <f aca="false">IF(OR(B460="",C460="",E460=""),"",IF(COUNTIFS($B$5:B460,B460,$C$5:C460,C460,$E$5:E460,E460)=1,1,0))</f>
        <v/>
      </c>
      <c r="U460" s="28" t="str">
        <f aca="false">IF(COUNTA(B460:C460,E460:F460,H460:P460)=0,"",IF(OR(B460="",C460="",E460=""),"Check: date, player, and context required",IF(AND(ISNUMBER(J460),ISNUMBER(I460),J460&gt;I460),"Check: solid contacts &gt; swings",IF(AND(ISNUMBER(L460),ISNUMBER(K460),L460&gt;K460),"Check: correct &gt; assessed decisions",IF(AND(ISNUMBER(N460),ISNUMBER(M460),N460&gt;M460),"Check: intended &gt; assessed landings",IF(AND(ISNUMBER(J460),I460=""),"Check: solid contacts without swings","OK"))))))</f>
        <v/>
      </c>
    </row>
    <row r="461" customFormat="false" ht="15" hidden="false" customHeight="false" outlineLevel="0" collapsed="false">
      <c r="B461" s="26"/>
      <c r="C461" s="27"/>
      <c r="D461" s="28" t="str">
        <f aca="false">IF(C461="","",IFERROR(INDEX(Players!$C$5:$C$104,MATCH(C461,Players!$B$5:$B$104,0)),"ID not found"))</f>
        <v/>
      </c>
      <c r="E461" s="27"/>
      <c r="F461" s="27"/>
      <c r="G461" s="28" t="str">
        <f aca="false">IF(F461="","",IFERROR(INDEX('Hitting Drills'!$D$6:$D$45,MATCH(F461,'Hitting Drills'!$B$6:$B$45,0)),"Not a hitting drill ID"))</f>
        <v/>
      </c>
      <c r="H461" s="27"/>
      <c r="I461" s="27"/>
      <c r="J461" s="27"/>
      <c r="K461" s="27"/>
      <c r="L461" s="27"/>
      <c r="M461" s="27"/>
      <c r="N461" s="27"/>
      <c r="O461" s="27"/>
      <c r="P461" s="27"/>
      <c r="Q461" s="27"/>
      <c r="R461" s="27"/>
      <c r="S461" s="29" t="str">
        <f aca="false">IF(OR(B461="",C461=""),"",IF(COUNTIFS($B$5:B461,B461,$C$5:C461,C461)=1,1,0))</f>
        <v/>
      </c>
      <c r="T461" s="29" t="str">
        <f aca="false">IF(OR(B461="",C461="",E461=""),"",IF(COUNTIFS($B$5:B461,B461,$C$5:C461,C461,$E$5:E461,E461)=1,1,0))</f>
        <v/>
      </c>
      <c r="U461" s="28" t="str">
        <f aca="false">IF(COUNTA(B461:C461,E461:F461,H461:P461)=0,"",IF(OR(B461="",C461="",E461=""),"Check: date, player, and context required",IF(AND(ISNUMBER(J461),ISNUMBER(I461),J461&gt;I461),"Check: solid contacts &gt; swings",IF(AND(ISNUMBER(L461),ISNUMBER(K461),L461&gt;K461),"Check: correct &gt; assessed decisions",IF(AND(ISNUMBER(N461),ISNUMBER(M461),N461&gt;M461),"Check: intended &gt; assessed landings",IF(AND(ISNUMBER(J461),I461=""),"Check: solid contacts without swings","OK"))))))</f>
        <v/>
      </c>
    </row>
    <row r="462" customFormat="false" ht="15" hidden="false" customHeight="false" outlineLevel="0" collapsed="false">
      <c r="B462" s="26"/>
      <c r="C462" s="27"/>
      <c r="D462" s="28" t="str">
        <f aca="false">IF(C462="","",IFERROR(INDEX(Players!$C$5:$C$104,MATCH(C462,Players!$B$5:$B$104,0)),"ID not found"))</f>
        <v/>
      </c>
      <c r="E462" s="27"/>
      <c r="F462" s="27"/>
      <c r="G462" s="28" t="str">
        <f aca="false">IF(F462="","",IFERROR(INDEX('Hitting Drills'!$D$6:$D$45,MATCH(F462,'Hitting Drills'!$B$6:$B$45,0)),"Not a hitting drill ID"))</f>
        <v/>
      </c>
      <c r="H462" s="27"/>
      <c r="I462" s="27"/>
      <c r="J462" s="27"/>
      <c r="K462" s="27"/>
      <c r="L462" s="27"/>
      <c r="M462" s="27"/>
      <c r="N462" s="27"/>
      <c r="O462" s="27"/>
      <c r="P462" s="27"/>
      <c r="Q462" s="27"/>
      <c r="R462" s="27"/>
      <c r="S462" s="29" t="str">
        <f aca="false">IF(OR(B462="",C462=""),"",IF(COUNTIFS($B$5:B462,B462,$C$5:C462,C462)=1,1,0))</f>
        <v/>
      </c>
      <c r="T462" s="29" t="str">
        <f aca="false">IF(OR(B462="",C462="",E462=""),"",IF(COUNTIFS($B$5:B462,B462,$C$5:C462,C462,$E$5:E462,E462)=1,1,0))</f>
        <v/>
      </c>
      <c r="U462" s="28" t="str">
        <f aca="false">IF(COUNTA(B462:C462,E462:F462,H462:P462)=0,"",IF(OR(B462="",C462="",E462=""),"Check: date, player, and context required",IF(AND(ISNUMBER(J462),ISNUMBER(I462),J462&gt;I462),"Check: solid contacts &gt; swings",IF(AND(ISNUMBER(L462),ISNUMBER(K462),L462&gt;K462),"Check: correct &gt; assessed decisions",IF(AND(ISNUMBER(N462),ISNUMBER(M462),N462&gt;M462),"Check: intended &gt; assessed landings",IF(AND(ISNUMBER(J462),I462=""),"Check: solid contacts without swings","OK"))))))</f>
        <v/>
      </c>
    </row>
    <row r="463" customFormat="false" ht="15" hidden="false" customHeight="false" outlineLevel="0" collapsed="false">
      <c r="B463" s="26"/>
      <c r="C463" s="27"/>
      <c r="D463" s="28" t="str">
        <f aca="false">IF(C463="","",IFERROR(INDEX(Players!$C$5:$C$104,MATCH(C463,Players!$B$5:$B$104,0)),"ID not found"))</f>
        <v/>
      </c>
      <c r="E463" s="27"/>
      <c r="F463" s="27"/>
      <c r="G463" s="28" t="str">
        <f aca="false">IF(F463="","",IFERROR(INDEX('Hitting Drills'!$D$6:$D$45,MATCH(F463,'Hitting Drills'!$B$6:$B$45,0)),"Not a hitting drill ID"))</f>
        <v/>
      </c>
      <c r="H463" s="27"/>
      <c r="I463" s="27"/>
      <c r="J463" s="27"/>
      <c r="K463" s="27"/>
      <c r="L463" s="27"/>
      <c r="M463" s="27"/>
      <c r="N463" s="27"/>
      <c r="O463" s="27"/>
      <c r="P463" s="27"/>
      <c r="Q463" s="27"/>
      <c r="R463" s="27"/>
      <c r="S463" s="29" t="str">
        <f aca="false">IF(OR(B463="",C463=""),"",IF(COUNTIFS($B$5:B463,B463,$C$5:C463,C463)=1,1,0))</f>
        <v/>
      </c>
      <c r="T463" s="29" t="str">
        <f aca="false">IF(OR(B463="",C463="",E463=""),"",IF(COUNTIFS($B$5:B463,B463,$C$5:C463,C463,$E$5:E463,E463)=1,1,0))</f>
        <v/>
      </c>
      <c r="U463" s="28" t="str">
        <f aca="false">IF(COUNTA(B463:C463,E463:F463,H463:P463)=0,"",IF(OR(B463="",C463="",E463=""),"Check: date, player, and context required",IF(AND(ISNUMBER(J463),ISNUMBER(I463),J463&gt;I463),"Check: solid contacts &gt; swings",IF(AND(ISNUMBER(L463),ISNUMBER(K463),L463&gt;K463),"Check: correct &gt; assessed decisions",IF(AND(ISNUMBER(N463),ISNUMBER(M463),N463&gt;M463),"Check: intended &gt; assessed landings",IF(AND(ISNUMBER(J463),I463=""),"Check: solid contacts without swings","OK"))))))</f>
        <v/>
      </c>
    </row>
    <row r="464" customFormat="false" ht="15" hidden="false" customHeight="false" outlineLevel="0" collapsed="false">
      <c r="B464" s="26"/>
      <c r="C464" s="27"/>
      <c r="D464" s="28" t="str">
        <f aca="false">IF(C464="","",IFERROR(INDEX(Players!$C$5:$C$104,MATCH(C464,Players!$B$5:$B$104,0)),"ID not found"))</f>
        <v/>
      </c>
      <c r="E464" s="27"/>
      <c r="F464" s="27"/>
      <c r="G464" s="28" t="str">
        <f aca="false">IF(F464="","",IFERROR(INDEX('Hitting Drills'!$D$6:$D$45,MATCH(F464,'Hitting Drills'!$B$6:$B$45,0)),"Not a hitting drill ID"))</f>
        <v/>
      </c>
      <c r="H464" s="27"/>
      <c r="I464" s="27"/>
      <c r="J464" s="27"/>
      <c r="K464" s="27"/>
      <c r="L464" s="27"/>
      <c r="M464" s="27"/>
      <c r="N464" s="27"/>
      <c r="O464" s="27"/>
      <c r="P464" s="27"/>
      <c r="Q464" s="27"/>
      <c r="R464" s="27"/>
      <c r="S464" s="29" t="str">
        <f aca="false">IF(OR(B464="",C464=""),"",IF(COUNTIFS($B$5:B464,B464,$C$5:C464,C464)=1,1,0))</f>
        <v/>
      </c>
      <c r="T464" s="29" t="str">
        <f aca="false">IF(OR(B464="",C464="",E464=""),"",IF(COUNTIFS($B$5:B464,B464,$C$5:C464,C464,$E$5:E464,E464)=1,1,0))</f>
        <v/>
      </c>
      <c r="U464" s="28" t="str">
        <f aca="false">IF(COUNTA(B464:C464,E464:F464,H464:P464)=0,"",IF(OR(B464="",C464="",E464=""),"Check: date, player, and context required",IF(AND(ISNUMBER(J464),ISNUMBER(I464),J464&gt;I464),"Check: solid contacts &gt; swings",IF(AND(ISNUMBER(L464),ISNUMBER(K464),L464&gt;K464),"Check: correct &gt; assessed decisions",IF(AND(ISNUMBER(N464),ISNUMBER(M464),N464&gt;M464),"Check: intended &gt; assessed landings",IF(AND(ISNUMBER(J464),I464=""),"Check: solid contacts without swings","OK"))))))</f>
        <v/>
      </c>
    </row>
    <row r="465" customFormat="false" ht="15" hidden="false" customHeight="false" outlineLevel="0" collapsed="false">
      <c r="B465" s="26"/>
      <c r="C465" s="27"/>
      <c r="D465" s="28" t="str">
        <f aca="false">IF(C465="","",IFERROR(INDEX(Players!$C$5:$C$104,MATCH(C465,Players!$B$5:$B$104,0)),"ID not found"))</f>
        <v/>
      </c>
      <c r="E465" s="27"/>
      <c r="F465" s="27"/>
      <c r="G465" s="28" t="str">
        <f aca="false">IF(F465="","",IFERROR(INDEX('Hitting Drills'!$D$6:$D$45,MATCH(F465,'Hitting Drills'!$B$6:$B$45,0)),"Not a hitting drill ID"))</f>
        <v/>
      </c>
      <c r="H465" s="27"/>
      <c r="I465" s="27"/>
      <c r="J465" s="27"/>
      <c r="K465" s="27"/>
      <c r="L465" s="27"/>
      <c r="M465" s="27"/>
      <c r="N465" s="27"/>
      <c r="O465" s="27"/>
      <c r="P465" s="27"/>
      <c r="Q465" s="27"/>
      <c r="R465" s="27"/>
      <c r="S465" s="29" t="str">
        <f aca="false">IF(OR(B465="",C465=""),"",IF(COUNTIFS($B$5:B465,B465,$C$5:C465,C465)=1,1,0))</f>
        <v/>
      </c>
      <c r="T465" s="29" t="str">
        <f aca="false">IF(OR(B465="",C465="",E465=""),"",IF(COUNTIFS($B$5:B465,B465,$C$5:C465,C465,$E$5:E465,E465)=1,1,0))</f>
        <v/>
      </c>
      <c r="U465" s="28" t="str">
        <f aca="false">IF(COUNTA(B465:C465,E465:F465,H465:P465)=0,"",IF(OR(B465="",C465="",E465=""),"Check: date, player, and context required",IF(AND(ISNUMBER(J465),ISNUMBER(I465),J465&gt;I465),"Check: solid contacts &gt; swings",IF(AND(ISNUMBER(L465),ISNUMBER(K465),L465&gt;K465),"Check: correct &gt; assessed decisions",IF(AND(ISNUMBER(N465),ISNUMBER(M465),N465&gt;M465),"Check: intended &gt; assessed landings",IF(AND(ISNUMBER(J465),I465=""),"Check: solid contacts without swings","OK"))))))</f>
        <v/>
      </c>
    </row>
    <row r="466" customFormat="false" ht="15" hidden="false" customHeight="false" outlineLevel="0" collapsed="false">
      <c r="B466" s="26"/>
      <c r="C466" s="27"/>
      <c r="D466" s="28" t="str">
        <f aca="false">IF(C466="","",IFERROR(INDEX(Players!$C$5:$C$104,MATCH(C466,Players!$B$5:$B$104,0)),"ID not found"))</f>
        <v/>
      </c>
      <c r="E466" s="27"/>
      <c r="F466" s="27"/>
      <c r="G466" s="28" t="str">
        <f aca="false">IF(F466="","",IFERROR(INDEX('Hitting Drills'!$D$6:$D$45,MATCH(F466,'Hitting Drills'!$B$6:$B$45,0)),"Not a hitting drill ID"))</f>
        <v/>
      </c>
      <c r="H466" s="27"/>
      <c r="I466" s="27"/>
      <c r="J466" s="27"/>
      <c r="K466" s="27"/>
      <c r="L466" s="27"/>
      <c r="M466" s="27"/>
      <c r="N466" s="27"/>
      <c r="O466" s="27"/>
      <c r="P466" s="27"/>
      <c r="Q466" s="27"/>
      <c r="R466" s="27"/>
      <c r="S466" s="29" t="str">
        <f aca="false">IF(OR(B466="",C466=""),"",IF(COUNTIFS($B$5:B466,B466,$C$5:C466,C466)=1,1,0))</f>
        <v/>
      </c>
      <c r="T466" s="29" t="str">
        <f aca="false">IF(OR(B466="",C466="",E466=""),"",IF(COUNTIFS($B$5:B466,B466,$C$5:C466,C466,$E$5:E466,E466)=1,1,0))</f>
        <v/>
      </c>
      <c r="U466" s="28" t="str">
        <f aca="false">IF(COUNTA(B466:C466,E466:F466,H466:P466)=0,"",IF(OR(B466="",C466="",E466=""),"Check: date, player, and context required",IF(AND(ISNUMBER(J466),ISNUMBER(I466),J466&gt;I466),"Check: solid contacts &gt; swings",IF(AND(ISNUMBER(L466),ISNUMBER(K466),L466&gt;K466),"Check: correct &gt; assessed decisions",IF(AND(ISNUMBER(N466),ISNUMBER(M466),N466&gt;M466),"Check: intended &gt; assessed landings",IF(AND(ISNUMBER(J466),I466=""),"Check: solid contacts without swings","OK"))))))</f>
        <v/>
      </c>
    </row>
    <row r="467" customFormat="false" ht="15" hidden="false" customHeight="false" outlineLevel="0" collapsed="false">
      <c r="B467" s="26"/>
      <c r="C467" s="27"/>
      <c r="D467" s="28" t="str">
        <f aca="false">IF(C467="","",IFERROR(INDEX(Players!$C$5:$C$104,MATCH(C467,Players!$B$5:$B$104,0)),"ID not found"))</f>
        <v/>
      </c>
      <c r="E467" s="27"/>
      <c r="F467" s="27"/>
      <c r="G467" s="28" t="str">
        <f aca="false">IF(F467="","",IFERROR(INDEX('Hitting Drills'!$D$6:$D$45,MATCH(F467,'Hitting Drills'!$B$6:$B$45,0)),"Not a hitting drill ID"))</f>
        <v/>
      </c>
      <c r="H467" s="27"/>
      <c r="I467" s="27"/>
      <c r="J467" s="27"/>
      <c r="K467" s="27"/>
      <c r="L467" s="27"/>
      <c r="M467" s="27"/>
      <c r="N467" s="27"/>
      <c r="O467" s="27"/>
      <c r="P467" s="27"/>
      <c r="Q467" s="27"/>
      <c r="R467" s="27"/>
      <c r="S467" s="29" t="str">
        <f aca="false">IF(OR(B467="",C467=""),"",IF(COUNTIFS($B$5:B467,B467,$C$5:C467,C467)=1,1,0))</f>
        <v/>
      </c>
      <c r="T467" s="29" t="str">
        <f aca="false">IF(OR(B467="",C467="",E467=""),"",IF(COUNTIFS($B$5:B467,B467,$C$5:C467,C467,$E$5:E467,E467)=1,1,0))</f>
        <v/>
      </c>
      <c r="U467" s="28" t="str">
        <f aca="false">IF(COUNTA(B467:C467,E467:F467,H467:P467)=0,"",IF(OR(B467="",C467="",E467=""),"Check: date, player, and context required",IF(AND(ISNUMBER(J467),ISNUMBER(I467),J467&gt;I467),"Check: solid contacts &gt; swings",IF(AND(ISNUMBER(L467),ISNUMBER(K467),L467&gt;K467),"Check: correct &gt; assessed decisions",IF(AND(ISNUMBER(N467),ISNUMBER(M467),N467&gt;M467),"Check: intended &gt; assessed landings",IF(AND(ISNUMBER(J467),I467=""),"Check: solid contacts without swings","OK"))))))</f>
        <v/>
      </c>
    </row>
    <row r="468" customFormat="false" ht="15" hidden="false" customHeight="false" outlineLevel="0" collapsed="false">
      <c r="B468" s="26"/>
      <c r="C468" s="27"/>
      <c r="D468" s="28" t="str">
        <f aca="false">IF(C468="","",IFERROR(INDEX(Players!$C$5:$C$104,MATCH(C468,Players!$B$5:$B$104,0)),"ID not found"))</f>
        <v/>
      </c>
      <c r="E468" s="27"/>
      <c r="F468" s="27"/>
      <c r="G468" s="28" t="str">
        <f aca="false">IF(F468="","",IFERROR(INDEX('Hitting Drills'!$D$6:$D$45,MATCH(F468,'Hitting Drills'!$B$6:$B$45,0)),"Not a hitting drill ID"))</f>
        <v/>
      </c>
      <c r="H468" s="27"/>
      <c r="I468" s="27"/>
      <c r="J468" s="27"/>
      <c r="K468" s="27"/>
      <c r="L468" s="27"/>
      <c r="M468" s="27"/>
      <c r="N468" s="27"/>
      <c r="O468" s="27"/>
      <c r="P468" s="27"/>
      <c r="Q468" s="27"/>
      <c r="R468" s="27"/>
      <c r="S468" s="29" t="str">
        <f aca="false">IF(OR(B468="",C468=""),"",IF(COUNTIFS($B$5:B468,B468,$C$5:C468,C468)=1,1,0))</f>
        <v/>
      </c>
      <c r="T468" s="29" t="str">
        <f aca="false">IF(OR(B468="",C468="",E468=""),"",IF(COUNTIFS($B$5:B468,B468,$C$5:C468,C468,$E$5:E468,E468)=1,1,0))</f>
        <v/>
      </c>
      <c r="U468" s="28" t="str">
        <f aca="false">IF(COUNTA(B468:C468,E468:F468,H468:P468)=0,"",IF(OR(B468="",C468="",E468=""),"Check: date, player, and context required",IF(AND(ISNUMBER(J468),ISNUMBER(I468),J468&gt;I468),"Check: solid contacts &gt; swings",IF(AND(ISNUMBER(L468),ISNUMBER(K468),L468&gt;K468),"Check: correct &gt; assessed decisions",IF(AND(ISNUMBER(N468),ISNUMBER(M468),N468&gt;M468),"Check: intended &gt; assessed landings",IF(AND(ISNUMBER(J468),I468=""),"Check: solid contacts without swings","OK"))))))</f>
        <v/>
      </c>
    </row>
    <row r="469" customFormat="false" ht="15" hidden="false" customHeight="false" outlineLevel="0" collapsed="false">
      <c r="B469" s="26"/>
      <c r="C469" s="27"/>
      <c r="D469" s="28" t="str">
        <f aca="false">IF(C469="","",IFERROR(INDEX(Players!$C$5:$C$104,MATCH(C469,Players!$B$5:$B$104,0)),"ID not found"))</f>
        <v/>
      </c>
      <c r="E469" s="27"/>
      <c r="F469" s="27"/>
      <c r="G469" s="28" t="str">
        <f aca="false">IF(F469="","",IFERROR(INDEX('Hitting Drills'!$D$6:$D$45,MATCH(F469,'Hitting Drills'!$B$6:$B$45,0)),"Not a hitting drill ID"))</f>
        <v/>
      </c>
      <c r="H469" s="27"/>
      <c r="I469" s="27"/>
      <c r="J469" s="27"/>
      <c r="K469" s="27"/>
      <c r="L469" s="27"/>
      <c r="M469" s="27"/>
      <c r="N469" s="27"/>
      <c r="O469" s="27"/>
      <c r="P469" s="27"/>
      <c r="Q469" s="27"/>
      <c r="R469" s="27"/>
      <c r="S469" s="29" t="str">
        <f aca="false">IF(OR(B469="",C469=""),"",IF(COUNTIFS($B$5:B469,B469,$C$5:C469,C469)=1,1,0))</f>
        <v/>
      </c>
      <c r="T469" s="29" t="str">
        <f aca="false">IF(OR(B469="",C469="",E469=""),"",IF(COUNTIFS($B$5:B469,B469,$C$5:C469,C469,$E$5:E469,E469)=1,1,0))</f>
        <v/>
      </c>
      <c r="U469" s="28" t="str">
        <f aca="false">IF(COUNTA(B469:C469,E469:F469,H469:P469)=0,"",IF(OR(B469="",C469="",E469=""),"Check: date, player, and context required",IF(AND(ISNUMBER(J469),ISNUMBER(I469),J469&gt;I469),"Check: solid contacts &gt; swings",IF(AND(ISNUMBER(L469),ISNUMBER(K469),L469&gt;K469),"Check: correct &gt; assessed decisions",IF(AND(ISNUMBER(N469),ISNUMBER(M469),N469&gt;M469),"Check: intended &gt; assessed landings",IF(AND(ISNUMBER(J469),I469=""),"Check: solid contacts without swings","OK"))))))</f>
        <v/>
      </c>
    </row>
    <row r="470" customFormat="false" ht="15" hidden="false" customHeight="false" outlineLevel="0" collapsed="false">
      <c r="B470" s="26"/>
      <c r="C470" s="27"/>
      <c r="D470" s="28" t="str">
        <f aca="false">IF(C470="","",IFERROR(INDEX(Players!$C$5:$C$104,MATCH(C470,Players!$B$5:$B$104,0)),"ID not found"))</f>
        <v/>
      </c>
      <c r="E470" s="27"/>
      <c r="F470" s="27"/>
      <c r="G470" s="28" t="str">
        <f aca="false">IF(F470="","",IFERROR(INDEX('Hitting Drills'!$D$6:$D$45,MATCH(F470,'Hitting Drills'!$B$6:$B$45,0)),"Not a hitting drill ID"))</f>
        <v/>
      </c>
      <c r="H470" s="27"/>
      <c r="I470" s="27"/>
      <c r="J470" s="27"/>
      <c r="K470" s="27"/>
      <c r="L470" s="27"/>
      <c r="M470" s="27"/>
      <c r="N470" s="27"/>
      <c r="O470" s="27"/>
      <c r="P470" s="27"/>
      <c r="Q470" s="27"/>
      <c r="R470" s="27"/>
      <c r="S470" s="29" t="str">
        <f aca="false">IF(OR(B470="",C470=""),"",IF(COUNTIFS($B$5:B470,B470,$C$5:C470,C470)=1,1,0))</f>
        <v/>
      </c>
      <c r="T470" s="29" t="str">
        <f aca="false">IF(OR(B470="",C470="",E470=""),"",IF(COUNTIFS($B$5:B470,B470,$C$5:C470,C470,$E$5:E470,E470)=1,1,0))</f>
        <v/>
      </c>
      <c r="U470" s="28" t="str">
        <f aca="false">IF(COUNTA(B470:C470,E470:F470,H470:P470)=0,"",IF(OR(B470="",C470="",E470=""),"Check: date, player, and context required",IF(AND(ISNUMBER(J470),ISNUMBER(I470),J470&gt;I470),"Check: solid contacts &gt; swings",IF(AND(ISNUMBER(L470),ISNUMBER(K470),L470&gt;K470),"Check: correct &gt; assessed decisions",IF(AND(ISNUMBER(N470),ISNUMBER(M470),N470&gt;M470),"Check: intended &gt; assessed landings",IF(AND(ISNUMBER(J470),I470=""),"Check: solid contacts without swings","OK"))))))</f>
        <v/>
      </c>
    </row>
    <row r="471" customFormat="false" ht="15" hidden="false" customHeight="false" outlineLevel="0" collapsed="false">
      <c r="B471" s="26"/>
      <c r="C471" s="27"/>
      <c r="D471" s="28" t="str">
        <f aca="false">IF(C471="","",IFERROR(INDEX(Players!$C$5:$C$104,MATCH(C471,Players!$B$5:$B$104,0)),"ID not found"))</f>
        <v/>
      </c>
      <c r="E471" s="27"/>
      <c r="F471" s="27"/>
      <c r="G471" s="28" t="str">
        <f aca="false">IF(F471="","",IFERROR(INDEX('Hitting Drills'!$D$6:$D$45,MATCH(F471,'Hitting Drills'!$B$6:$B$45,0)),"Not a hitting drill ID"))</f>
        <v/>
      </c>
      <c r="H471" s="27"/>
      <c r="I471" s="27"/>
      <c r="J471" s="27"/>
      <c r="K471" s="27"/>
      <c r="L471" s="27"/>
      <c r="M471" s="27"/>
      <c r="N471" s="27"/>
      <c r="O471" s="27"/>
      <c r="P471" s="27"/>
      <c r="Q471" s="27"/>
      <c r="R471" s="27"/>
      <c r="S471" s="29" t="str">
        <f aca="false">IF(OR(B471="",C471=""),"",IF(COUNTIFS($B$5:B471,B471,$C$5:C471,C471)=1,1,0))</f>
        <v/>
      </c>
      <c r="T471" s="29" t="str">
        <f aca="false">IF(OR(B471="",C471="",E471=""),"",IF(COUNTIFS($B$5:B471,B471,$C$5:C471,C471,$E$5:E471,E471)=1,1,0))</f>
        <v/>
      </c>
      <c r="U471" s="28" t="str">
        <f aca="false">IF(COUNTA(B471:C471,E471:F471,H471:P471)=0,"",IF(OR(B471="",C471="",E471=""),"Check: date, player, and context required",IF(AND(ISNUMBER(J471),ISNUMBER(I471),J471&gt;I471),"Check: solid contacts &gt; swings",IF(AND(ISNUMBER(L471),ISNUMBER(K471),L471&gt;K471),"Check: correct &gt; assessed decisions",IF(AND(ISNUMBER(N471),ISNUMBER(M471),N471&gt;M471),"Check: intended &gt; assessed landings",IF(AND(ISNUMBER(J471),I471=""),"Check: solid contacts without swings","OK"))))))</f>
        <v/>
      </c>
    </row>
    <row r="472" customFormat="false" ht="15" hidden="false" customHeight="false" outlineLevel="0" collapsed="false">
      <c r="B472" s="26"/>
      <c r="C472" s="27"/>
      <c r="D472" s="28" t="str">
        <f aca="false">IF(C472="","",IFERROR(INDEX(Players!$C$5:$C$104,MATCH(C472,Players!$B$5:$B$104,0)),"ID not found"))</f>
        <v/>
      </c>
      <c r="E472" s="27"/>
      <c r="F472" s="27"/>
      <c r="G472" s="28" t="str">
        <f aca="false">IF(F472="","",IFERROR(INDEX('Hitting Drills'!$D$6:$D$45,MATCH(F472,'Hitting Drills'!$B$6:$B$45,0)),"Not a hitting drill ID"))</f>
        <v/>
      </c>
      <c r="H472" s="27"/>
      <c r="I472" s="27"/>
      <c r="J472" s="27"/>
      <c r="K472" s="27"/>
      <c r="L472" s="27"/>
      <c r="M472" s="27"/>
      <c r="N472" s="27"/>
      <c r="O472" s="27"/>
      <c r="P472" s="27"/>
      <c r="Q472" s="27"/>
      <c r="R472" s="27"/>
      <c r="S472" s="29" t="str">
        <f aca="false">IF(OR(B472="",C472=""),"",IF(COUNTIFS($B$5:B472,B472,$C$5:C472,C472)=1,1,0))</f>
        <v/>
      </c>
      <c r="T472" s="29" t="str">
        <f aca="false">IF(OR(B472="",C472="",E472=""),"",IF(COUNTIFS($B$5:B472,B472,$C$5:C472,C472,$E$5:E472,E472)=1,1,0))</f>
        <v/>
      </c>
      <c r="U472" s="28" t="str">
        <f aca="false">IF(COUNTA(B472:C472,E472:F472,H472:P472)=0,"",IF(OR(B472="",C472="",E472=""),"Check: date, player, and context required",IF(AND(ISNUMBER(J472),ISNUMBER(I472),J472&gt;I472),"Check: solid contacts &gt; swings",IF(AND(ISNUMBER(L472),ISNUMBER(K472),L472&gt;K472),"Check: correct &gt; assessed decisions",IF(AND(ISNUMBER(N472),ISNUMBER(M472),N472&gt;M472),"Check: intended &gt; assessed landings",IF(AND(ISNUMBER(J472),I472=""),"Check: solid contacts without swings","OK"))))))</f>
        <v/>
      </c>
    </row>
    <row r="473" customFormat="false" ht="15" hidden="false" customHeight="false" outlineLevel="0" collapsed="false">
      <c r="B473" s="26"/>
      <c r="C473" s="27"/>
      <c r="D473" s="28" t="str">
        <f aca="false">IF(C473="","",IFERROR(INDEX(Players!$C$5:$C$104,MATCH(C473,Players!$B$5:$B$104,0)),"ID not found"))</f>
        <v/>
      </c>
      <c r="E473" s="27"/>
      <c r="F473" s="27"/>
      <c r="G473" s="28" t="str">
        <f aca="false">IF(F473="","",IFERROR(INDEX('Hitting Drills'!$D$6:$D$45,MATCH(F473,'Hitting Drills'!$B$6:$B$45,0)),"Not a hitting drill ID"))</f>
        <v/>
      </c>
      <c r="H473" s="27"/>
      <c r="I473" s="27"/>
      <c r="J473" s="27"/>
      <c r="K473" s="27"/>
      <c r="L473" s="27"/>
      <c r="M473" s="27"/>
      <c r="N473" s="27"/>
      <c r="O473" s="27"/>
      <c r="P473" s="27"/>
      <c r="Q473" s="27"/>
      <c r="R473" s="27"/>
      <c r="S473" s="29" t="str">
        <f aca="false">IF(OR(B473="",C473=""),"",IF(COUNTIFS($B$5:B473,B473,$C$5:C473,C473)=1,1,0))</f>
        <v/>
      </c>
      <c r="T473" s="29" t="str">
        <f aca="false">IF(OR(B473="",C473="",E473=""),"",IF(COUNTIFS($B$5:B473,B473,$C$5:C473,C473,$E$5:E473,E473)=1,1,0))</f>
        <v/>
      </c>
      <c r="U473" s="28" t="str">
        <f aca="false">IF(COUNTA(B473:C473,E473:F473,H473:P473)=0,"",IF(OR(B473="",C473="",E473=""),"Check: date, player, and context required",IF(AND(ISNUMBER(J473),ISNUMBER(I473),J473&gt;I473),"Check: solid contacts &gt; swings",IF(AND(ISNUMBER(L473),ISNUMBER(K473),L473&gt;K473),"Check: correct &gt; assessed decisions",IF(AND(ISNUMBER(N473),ISNUMBER(M473),N473&gt;M473),"Check: intended &gt; assessed landings",IF(AND(ISNUMBER(J473),I473=""),"Check: solid contacts without swings","OK"))))))</f>
        <v/>
      </c>
    </row>
    <row r="474" customFormat="false" ht="15" hidden="false" customHeight="false" outlineLevel="0" collapsed="false">
      <c r="B474" s="26"/>
      <c r="C474" s="27"/>
      <c r="D474" s="28" t="str">
        <f aca="false">IF(C474="","",IFERROR(INDEX(Players!$C$5:$C$104,MATCH(C474,Players!$B$5:$B$104,0)),"ID not found"))</f>
        <v/>
      </c>
      <c r="E474" s="27"/>
      <c r="F474" s="27"/>
      <c r="G474" s="28" t="str">
        <f aca="false">IF(F474="","",IFERROR(INDEX('Hitting Drills'!$D$6:$D$45,MATCH(F474,'Hitting Drills'!$B$6:$B$45,0)),"Not a hitting drill ID"))</f>
        <v/>
      </c>
      <c r="H474" s="27"/>
      <c r="I474" s="27"/>
      <c r="J474" s="27"/>
      <c r="K474" s="27"/>
      <c r="L474" s="27"/>
      <c r="M474" s="27"/>
      <c r="N474" s="27"/>
      <c r="O474" s="27"/>
      <c r="P474" s="27"/>
      <c r="Q474" s="27"/>
      <c r="R474" s="27"/>
      <c r="S474" s="29" t="str">
        <f aca="false">IF(OR(B474="",C474=""),"",IF(COUNTIFS($B$5:B474,B474,$C$5:C474,C474)=1,1,0))</f>
        <v/>
      </c>
      <c r="T474" s="29" t="str">
        <f aca="false">IF(OR(B474="",C474="",E474=""),"",IF(COUNTIFS($B$5:B474,B474,$C$5:C474,C474,$E$5:E474,E474)=1,1,0))</f>
        <v/>
      </c>
      <c r="U474" s="28" t="str">
        <f aca="false">IF(COUNTA(B474:C474,E474:F474,H474:P474)=0,"",IF(OR(B474="",C474="",E474=""),"Check: date, player, and context required",IF(AND(ISNUMBER(J474),ISNUMBER(I474),J474&gt;I474),"Check: solid contacts &gt; swings",IF(AND(ISNUMBER(L474),ISNUMBER(K474),L474&gt;K474),"Check: correct &gt; assessed decisions",IF(AND(ISNUMBER(N474),ISNUMBER(M474),N474&gt;M474),"Check: intended &gt; assessed landings",IF(AND(ISNUMBER(J474),I474=""),"Check: solid contacts without swings","OK"))))))</f>
        <v/>
      </c>
    </row>
    <row r="475" customFormat="false" ht="15" hidden="false" customHeight="false" outlineLevel="0" collapsed="false">
      <c r="B475" s="26"/>
      <c r="C475" s="27"/>
      <c r="D475" s="28" t="str">
        <f aca="false">IF(C475="","",IFERROR(INDEX(Players!$C$5:$C$104,MATCH(C475,Players!$B$5:$B$104,0)),"ID not found"))</f>
        <v/>
      </c>
      <c r="E475" s="27"/>
      <c r="F475" s="27"/>
      <c r="G475" s="28" t="str">
        <f aca="false">IF(F475="","",IFERROR(INDEX('Hitting Drills'!$D$6:$D$45,MATCH(F475,'Hitting Drills'!$B$6:$B$45,0)),"Not a hitting drill ID"))</f>
        <v/>
      </c>
      <c r="H475" s="27"/>
      <c r="I475" s="27"/>
      <c r="J475" s="27"/>
      <c r="K475" s="27"/>
      <c r="L475" s="27"/>
      <c r="M475" s="27"/>
      <c r="N475" s="27"/>
      <c r="O475" s="27"/>
      <c r="P475" s="27"/>
      <c r="Q475" s="27"/>
      <c r="R475" s="27"/>
      <c r="S475" s="29" t="str">
        <f aca="false">IF(OR(B475="",C475=""),"",IF(COUNTIFS($B$5:B475,B475,$C$5:C475,C475)=1,1,0))</f>
        <v/>
      </c>
      <c r="T475" s="29" t="str">
        <f aca="false">IF(OR(B475="",C475="",E475=""),"",IF(COUNTIFS($B$5:B475,B475,$C$5:C475,C475,$E$5:E475,E475)=1,1,0))</f>
        <v/>
      </c>
      <c r="U475" s="28" t="str">
        <f aca="false">IF(COUNTA(B475:C475,E475:F475,H475:P475)=0,"",IF(OR(B475="",C475="",E475=""),"Check: date, player, and context required",IF(AND(ISNUMBER(J475),ISNUMBER(I475),J475&gt;I475),"Check: solid contacts &gt; swings",IF(AND(ISNUMBER(L475),ISNUMBER(K475),L475&gt;K475),"Check: correct &gt; assessed decisions",IF(AND(ISNUMBER(N475),ISNUMBER(M475),N475&gt;M475),"Check: intended &gt; assessed landings",IF(AND(ISNUMBER(J475),I475=""),"Check: solid contacts without swings","OK"))))))</f>
        <v/>
      </c>
    </row>
    <row r="476" customFormat="false" ht="15" hidden="false" customHeight="false" outlineLevel="0" collapsed="false">
      <c r="B476" s="26"/>
      <c r="C476" s="27"/>
      <c r="D476" s="28" t="str">
        <f aca="false">IF(C476="","",IFERROR(INDEX(Players!$C$5:$C$104,MATCH(C476,Players!$B$5:$B$104,0)),"ID not found"))</f>
        <v/>
      </c>
      <c r="E476" s="27"/>
      <c r="F476" s="27"/>
      <c r="G476" s="28" t="str">
        <f aca="false">IF(F476="","",IFERROR(INDEX('Hitting Drills'!$D$6:$D$45,MATCH(F476,'Hitting Drills'!$B$6:$B$45,0)),"Not a hitting drill ID"))</f>
        <v/>
      </c>
      <c r="H476" s="27"/>
      <c r="I476" s="27"/>
      <c r="J476" s="27"/>
      <c r="K476" s="27"/>
      <c r="L476" s="27"/>
      <c r="M476" s="27"/>
      <c r="N476" s="27"/>
      <c r="O476" s="27"/>
      <c r="P476" s="27"/>
      <c r="Q476" s="27"/>
      <c r="R476" s="27"/>
      <c r="S476" s="29" t="str">
        <f aca="false">IF(OR(B476="",C476=""),"",IF(COUNTIFS($B$5:B476,B476,$C$5:C476,C476)=1,1,0))</f>
        <v/>
      </c>
      <c r="T476" s="29" t="str">
        <f aca="false">IF(OR(B476="",C476="",E476=""),"",IF(COUNTIFS($B$5:B476,B476,$C$5:C476,C476,$E$5:E476,E476)=1,1,0))</f>
        <v/>
      </c>
      <c r="U476" s="28" t="str">
        <f aca="false">IF(COUNTA(B476:C476,E476:F476,H476:P476)=0,"",IF(OR(B476="",C476="",E476=""),"Check: date, player, and context required",IF(AND(ISNUMBER(J476),ISNUMBER(I476),J476&gt;I476),"Check: solid contacts &gt; swings",IF(AND(ISNUMBER(L476),ISNUMBER(K476),L476&gt;K476),"Check: correct &gt; assessed decisions",IF(AND(ISNUMBER(N476),ISNUMBER(M476),N476&gt;M476),"Check: intended &gt; assessed landings",IF(AND(ISNUMBER(J476),I476=""),"Check: solid contacts without swings","OK"))))))</f>
        <v/>
      </c>
    </row>
    <row r="477" customFormat="false" ht="15" hidden="false" customHeight="false" outlineLevel="0" collapsed="false">
      <c r="B477" s="26"/>
      <c r="C477" s="27"/>
      <c r="D477" s="28" t="str">
        <f aca="false">IF(C477="","",IFERROR(INDEX(Players!$C$5:$C$104,MATCH(C477,Players!$B$5:$B$104,0)),"ID not found"))</f>
        <v/>
      </c>
      <c r="E477" s="27"/>
      <c r="F477" s="27"/>
      <c r="G477" s="28" t="str">
        <f aca="false">IF(F477="","",IFERROR(INDEX('Hitting Drills'!$D$6:$D$45,MATCH(F477,'Hitting Drills'!$B$6:$B$45,0)),"Not a hitting drill ID"))</f>
        <v/>
      </c>
      <c r="H477" s="27"/>
      <c r="I477" s="27"/>
      <c r="J477" s="27"/>
      <c r="K477" s="27"/>
      <c r="L477" s="27"/>
      <c r="M477" s="27"/>
      <c r="N477" s="27"/>
      <c r="O477" s="27"/>
      <c r="P477" s="27"/>
      <c r="Q477" s="27"/>
      <c r="R477" s="27"/>
      <c r="S477" s="29" t="str">
        <f aca="false">IF(OR(B477="",C477=""),"",IF(COUNTIFS($B$5:B477,B477,$C$5:C477,C477)=1,1,0))</f>
        <v/>
      </c>
      <c r="T477" s="29" t="str">
        <f aca="false">IF(OR(B477="",C477="",E477=""),"",IF(COUNTIFS($B$5:B477,B477,$C$5:C477,C477,$E$5:E477,E477)=1,1,0))</f>
        <v/>
      </c>
      <c r="U477" s="28" t="str">
        <f aca="false">IF(COUNTA(B477:C477,E477:F477,H477:P477)=0,"",IF(OR(B477="",C477="",E477=""),"Check: date, player, and context required",IF(AND(ISNUMBER(J477),ISNUMBER(I477),J477&gt;I477),"Check: solid contacts &gt; swings",IF(AND(ISNUMBER(L477),ISNUMBER(K477),L477&gt;K477),"Check: correct &gt; assessed decisions",IF(AND(ISNUMBER(N477),ISNUMBER(M477),N477&gt;M477),"Check: intended &gt; assessed landings",IF(AND(ISNUMBER(J477),I477=""),"Check: solid contacts without swings","OK"))))))</f>
        <v/>
      </c>
    </row>
    <row r="478" customFormat="false" ht="15" hidden="false" customHeight="false" outlineLevel="0" collapsed="false">
      <c r="B478" s="26"/>
      <c r="C478" s="27"/>
      <c r="D478" s="28" t="str">
        <f aca="false">IF(C478="","",IFERROR(INDEX(Players!$C$5:$C$104,MATCH(C478,Players!$B$5:$B$104,0)),"ID not found"))</f>
        <v/>
      </c>
      <c r="E478" s="27"/>
      <c r="F478" s="27"/>
      <c r="G478" s="28" t="str">
        <f aca="false">IF(F478="","",IFERROR(INDEX('Hitting Drills'!$D$6:$D$45,MATCH(F478,'Hitting Drills'!$B$6:$B$45,0)),"Not a hitting drill ID"))</f>
        <v/>
      </c>
      <c r="H478" s="27"/>
      <c r="I478" s="27"/>
      <c r="J478" s="27"/>
      <c r="K478" s="27"/>
      <c r="L478" s="27"/>
      <c r="M478" s="27"/>
      <c r="N478" s="27"/>
      <c r="O478" s="27"/>
      <c r="P478" s="27"/>
      <c r="Q478" s="27"/>
      <c r="R478" s="27"/>
      <c r="S478" s="29" t="str">
        <f aca="false">IF(OR(B478="",C478=""),"",IF(COUNTIFS($B$5:B478,B478,$C$5:C478,C478)=1,1,0))</f>
        <v/>
      </c>
      <c r="T478" s="29" t="str">
        <f aca="false">IF(OR(B478="",C478="",E478=""),"",IF(COUNTIFS($B$5:B478,B478,$C$5:C478,C478,$E$5:E478,E478)=1,1,0))</f>
        <v/>
      </c>
      <c r="U478" s="28" t="str">
        <f aca="false">IF(COUNTA(B478:C478,E478:F478,H478:P478)=0,"",IF(OR(B478="",C478="",E478=""),"Check: date, player, and context required",IF(AND(ISNUMBER(J478),ISNUMBER(I478),J478&gt;I478),"Check: solid contacts &gt; swings",IF(AND(ISNUMBER(L478),ISNUMBER(K478),L478&gt;K478),"Check: correct &gt; assessed decisions",IF(AND(ISNUMBER(N478),ISNUMBER(M478),N478&gt;M478),"Check: intended &gt; assessed landings",IF(AND(ISNUMBER(J478),I478=""),"Check: solid contacts without swings","OK"))))))</f>
        <v/>
      </c>
    </row>
    <row r="479" customFormat="false" ht="15" hidden="false" customHeight="false" outlineLevel="0" collapsed="false">
      <c r="B479" s="26"/>
      <c r="C479" s="27"/>
      <c r="D479" s="28" t="str">
        <f aca="false">IF(C479="","",IFERROR(INDEX(Players!$C$5:$C$104,MATCH(C479,Players!$B$5:$B$104,0)),"ID not found"))</f>
        <v/>
      </c>
      <c r="E479" s="27"/>
      <c r="F479" s="27"/>
      <c r="G479" s="28" t="str">
        <f aca="false">IF(F479="","",IFERROR(INDEX('Hitting Drills'!$D$6:$D$45,MATCH(F479,'Hitting Drills'!$B$6:$B$45,0)),"Not a hitting drill ID"))</f>
        <v/>
      </c>
      <c r="H479" s="27"/>
      <c r="I479" s="27"/>
      <c r="J479" s="27"/>
      <c r="K479" s="27"/>
      <c r="L479" s="27"/>
      <c r="M479" s="27"/>
      <c r="N479" s="27"/>
      <c r="O479" s="27"/>
      <c r="P479" s="27"/>
      <c r="Q479" s="27"/>
      <c r="R479" s="27"/>
      <c r="S479" s="29" t="str">
        <f aca="false">IF(OR(B479="",C479=""),"",IF(COUNTIFS($B$5:B479,B479,$C$5:C479,C479)=1,1,0))</f>
        <v/>
      </c>
      <c r="T479" s="29" t="str">
        <f aca="false">IF(OR(B479="",C479="",E479=""),"",IF(COUNTIFS($B$5:B479,B479,$C$5:C479,C479,$E$5:E479,E479)=1,1,0))</f>
        <v/>
      </c>
      <c r="U479" s="28" t="str">
        <f aca="false">IF(COUNTA(B479:C479,E479:F479,H479:P479)=0,"",IF(OR(B479="",C479="",E479=""),"Check: date, player, and context required",IF(AND(ISNUMBER(J479),ISNUMBER(I479),J479&gt;I479),"Check: solid contacts &gt; swings",IF(AND(ISNUMBER(L479),ISNUMBER(K479),L479&gt;K479),"Check: correct &gt; assessed decisions",IF(AND(ISNUMBER(N479),ISNUMBER(M479),N479&gt;M479),"Check: intended &gt; assessed landings",IF(AND(ISNUMBER(J479),I479=""),"Check: solid contacts without swings","OK"))))))</f>
        <v/>
      </c>
    </row>
    <row r="480" customFormat="false" ht="15" hidden="false" customHeight="false" outlineLevel="0" collapsed="false">
      <c r="B480" s="26"/>
      <c r="C480" s="27"/>
      <c r="D480" s="28" t="str">
        <f aca="false">IF(C480="","",IFERROR(INDEX(Players!$C$5:$C$104,MATCH(C480,Players!$B$5:$B$104,0)),"ID not found"))</f>
        <v/>
      </c>
      <c r="E480" s="27"/>
      <c r="F480" s="27"/>
      <c r="G480" s="28" t="str">
        <f aca="false">IF(F480="","",IFERROR(INDEX('Hitting Drills'!$D$6:$D$45,MATCH(F480,'Hitting Drills'!$B$6:$B$45,0)),"Not a hitting drill ID"))</f>
        <v/>
      </c>
      <c r="H480" s="27"/>
      <c r="I480" s="27"/>
      <c r="J480" s="27"/>
      <c r="K480" s="27"/>
      <c r="L480" s="27"/>
      <c r="M480" s="27"/>
      <c r="N480" s="27"/>
      <c r="O480" s="27"/>
      <c r="P480" s="27"/>
      <c r="Q480" s="27"/>
      <c r="R480" s="27"/>
      <c r="S480" s="29" t="str">
        <f aca="false">IF(OR(B480="",C480=""),"",IF(COUNTIFS($B$5:B480,B480,$C$5:C480,C480)=1,1,0))</f>
        <v/>
      </c>
      <c r="T480" s="29" t="str">
        <f aca="false">IF(OR(B480="",C480="",E480=""),"",IF(COUNTIFS($B$5:B480,B480,$C$5:C480,C480,$E$5:E480,E480)=1,1,0))</f>
        <v/>
      </c>
      <c r="U480" s="28" t="str">
        <f aca="false">IF(COUNTA(B480:C480,E480:F480,H480:P480)=0,"",IF(OR(B480="",C480="",E480=""),"Check: date, player, and context required",IF(AND(ISNUMBER(J480),ISNUMBER(I480),J480&gt;I480),"Check: solid contacts &gt; swings",IF(AND(ISNUMBER(L480),ISNUMBER(K480),L480&gt;K480),"Check: correct &gt; assessed decisions",IF(AND(ISNUMBER(N480),ISNUMBER(M480),N480&gt;M480),"Check: intended &gt; assessed landings",IF(AND(ISNUMBER(J480),I480=""),"Check: solid contacts without swings","OK"))))))</f>
        <v/>
      </c>
    </row>
    <row r="481" customFormat="false" ht="15" hidden="false" customHeight="false" outlineLevel="0" collapsed="false">
      <c r="B481" s="26"/>
      <c r="C481" s="27"/>
      <c r="D481" s="28" t="str">
        <f aca="false">IF(C481="","",IFERROR(INDEX(Players!$C$5:$C$104,MATCH(C481,Players!$B$5:$B$104,0)),"ID not found"))</f>
        <v/>
      </c>
      <c r="E481" s="27"/>
      <c r="F481" s="27"/>
      <c r="G481" s="28" t="str">
        <f aca="false">IF(F481="","",IFERROR(INDEX('Hitting Drills'!$D$6:$D$45,MATCH(F481,'Hitting Drills'!$B$6:$B$45,0)),"Not a hitting drill ID"))</f>
        <v/>
      </c>
      <c r="H481" s="27"/>
      <c r="I481" s="27"/>
      <c r="J481" s="27"/>
      <c r="K481" s="27"/>
      <c r="L481" s="27"/>
      <c r="M481" s="27"/>
      <c r="N481" s="27"/>
      <c r="O481" s="27"/>
      <c r="P481" s="27"/>
      <c r="Q481" s="27"/>
      <c r="R481" s="27"/>
      <c r="S481" s="29" t="str">
        <f aca="false">IF(OR(B481="",C481=""),"",IF(COUNTIFS($B$5:B481,B481,$C$5:C481,C481)=1,1,0))</f>
        <v/>
      </c>
      <c r="T481" s="29" t="str">
        <f aca="false">IF(OR(B481="",C481="",E481=""),"",IF(COUNTIFS($B$5:B481,B481,$C$5:C481,C481,$E$5:E481,E481)=1,1,0))</f>
        <v/>
      </c>
      <c r="U481" s="28" t="str">
        <f aca="false">IF(COUNTA(B481:C481,E481:F481,H481:P481)=0,"",IF(OR(B481="",C481="",E481=""),"Check: date, player, and context required",IF(AND(ISNUMBER(J481),ISNUMBER(I481),J481&gt;I481),"Check: solid contacts &gt; swings",IF(AND(ISNUMBER(L481),ISNUMBER(K481),L481&gt;K481),"Check: correct &gt; assessed decisions",IF(AND(ISNUMBER(N481),ISNUMBER(M481),N481&gt;M481),"Check: intended &gt; assessed landings",IF(AND(ISNUMBER(J481),I481=""),"Check: solid contacts without swings","OK"))))))</f>
        <v/>
      </c>
    </row>
    <row r="482" customFormat="false" ht="15" hidden="false" customHeight="false" outlineLevel="0" collapsed="false">
      <c r="B482" s="26"/>
      <c r="C482" s="27"/>
      <c r="D482" s="28" t="str">
        <f aca="false">IF(C482="","",IFERROR(INDEX(Players!$C$5:$C$104,MATCH(C482,Players!$B$5:$B$104,0)),"ID not found"))</f>
        <v/>
      </c>
      <c r="E482" s="27"/>
      <c r="F482" s="27"/>
      <c r="G482" s="28" t="str">
        <f aca="false">IF(F482="","",IFERROR(INDEX('Hitting Drills'!$D$6:$D$45,MATCH(F482,'Hitting Drills'!$B$6:$B$45,0)),"Not a hitting drill ID"))</f>
        <v/>
      </c>
      <c r="H482" s="27"/>
      <c r="I482" s="27"/>
      <c r="J482" s="27"/>
      <c r="K482" s="27"/>
      <c r="L482" s="27"/>
      <c r="M482" s="27"/>
      <c r="N482" s="27"/>
      <c r="O482" s="27"/>
      <c r="P482" s="27"/>
      <c r="Q482" s="27"/>
      <c r="R482" s="27"/>
      <c r="S482" s="29" t="str">
        <f aca="false">IF(OR(B482="",C482=""),"",IF(COUNTIFS($B$5:B482,B482,$C$5:C482,C482)=1,1,0))</f>
        <v/>
      </c>
      <c r="T482" s="29" t="str">
        <f aca="false">IF(OR(B482="",C482="",E482=""),"",IF(COUNTIFS($B$5:B482,B482,$C$5:C482,C482,$E$5:E482,E482)=1,1,0))</f>
        <v/>
      </c>
      <c r="U482" s="28" t="str">
        <f aca="false">IF(COUNTA(B482:C482,E482:F482,H482:P482)=0,"",IF(OR(B482="",C482="",E482=""),"Check: date, player, and context required",IF(AND(ISNUMBER(J482),ISNUMBER(I482),J482&gt;I482),"Check: solid contacts &gt; swings",IF(AND(ISNUMBER(L482),ISNUMBER(K482),L482&gt;K482),"Check: correct &gt; assessed decisions",IF(AND(ISNUMBER(N482),ISNUMBER(M482),N482&gt;M482),"Check: intended &gt; assessed landings",IF(AND(ISNUMBER(J482),I482=""),"Check: solid contacts without swings","OK"))))))</f>
        <v/>
      </c>
    </row>
    <row r="483" customFormat="false" ht="15" hidden="false" customHeight="false" outlineLevel="0" collapsed="false">
      <c r="B483" s="26"/>
      <c r="C483" s="27"/>
      <c r="D483" s="28" t="str">
        <f aca="false">IF(C483="","",IFERROR(INDEX(Players!$C$5:$C$104,MATCH(C483,Players!$B$5:$B$104,0)),"ID not found"))</f>
        <v/>
      </c>
      <c r="E483" s="27"/>
      <c r="F483" s="27"/>
      <c r="G483" s="28" t="str">
        <f aca="false">IF(F483="","",IFERROR(INDEX('Hitting Drills'!$D$6:$D$45,MATCH(F483,'Hitting Drills'!$B$6:$B$45,0)),"Not a hitting drill ID"))</f>
        <v/>
      </c>
      <c r="H483" s="27"/>
      <c r="I483" s="27"/>
      <c r="J483" s="27"/>
      <c r="K483" s="27"/>
      <c r="L483" s="27"/>
      <c r="M483" s="27"/>
      <c r="N483" s="27"/>
      <c r="O483" s="27"/>
      <c r="P483" s="27"/>
      <c r="Q483" s="27"/>
      <c r="R483" s="27"/>
      <c r="S483" s="29" t="str">
        <f aca="false">IF(OR(B483="",C483=""),"",IF(COUNTIFS($B$5:B483,B483,$C$5:C483,C483)=1,1,0))</f>
        <v/>
      </c>
      <c r="T483" s="29" t="str">
        <f aca="false">IF(OR(B483="",C483="",E483=""),"",IF(COUNTIFS($B$5:B483,B483,$C$5:C483,C483,$E$5:E483,E483)=1,1,0))</f>
        <v/>
      </c>
      <c r="U483" s="28" t="str">
        <f aca="false">IF(COUNTA(B483:C483,E483:F483,H483:P483)=0,"",IF(OR(B483="",C483="",E483=""),"Check: date, player, and context required",IF(AND(ISNUMBER(J483),ISNUMBER(I483),J483&gt;I483),"Check: solid contacts &gt; swings",IF(AND(ISNUMBER(L483),ISNUMBER(K483),L483&gt;K483),"Check: correct &gt; assessed decisions",IF(AND(ISNUMBER(N483),ISNUMBER(M483),N483&gt;M483),"Check: intended &gt; assessed landings",IF(AND(ISNUMBER(J483),I483=""),"Check: solid contacts without swings","OK"))))))</f>
        <v/>
      </c>
    </row>
    <row r="484" customFormat="false" ht="15" hidden="false" customHeight="false" outlineLevel="0" collapsed="false">
      <c r="B484" s="26"/>
      <c r="C484" s="27"/>
      <c r="D484" s="28" t="str">
        <f aca="false">IF(C484="","",IFERROR(INDEX(Players!$C$5:$C$104,MATCH(C484,Players!$B$5:$B$104,0)),"ID not found"))</f>
        <v/>
      </c>
      <c r="E484" s="27"/>
      <c r="F484" s="27"/>
      <c r="G484" s="28" t="str">
        <f aca="false">IF(F484="","",IFERROR(INDEX('Hitting Drills'!$D$6:$D$45,MATCH(F484,'Hitting Drills'!$B$6:$B$45,0)),"Not a hitting drill ID"))</f>
        <v/>
      </c>
      <c r="H484" s="27"/>
      <c r="I484" s="27"/>
      <c r="J484" s="27"/>
      <c r="K484" s="27"/>
      <c r="L484" s="27"/>
      <c r="M484" s="27"/>
      <c r="N484" s="27"/>
      <c r="O484" s="27"/>
      <c r="P484" s="27"/>
      <c r="Q484" s="27"/>
      <c r="R484" s="27"/>
      <c r="S484" s="29" t="str">
        <f aca="false">IF(OR(B484="",C484=""),"",IF(COUNTIFS($B$5:B484,B484,$C$5:C484,C484)=1,1,0))</f>
        <v/>
      </c>
      <c r="T484" s="29" t="str">
        <f aca="false">IF(OR(B484="",C484="",E484=""),"",IF(COUNTIFS($B$5:B484,B484,$C$5:C484,C484,$E$5:E484,E484)=1,1,0))</f>
        <v/>
      </c>
      <c r="U484" s="28" t="str">
        <f aca="false">IF(COUNTA(B484:C484,E484:F484,H484:P484)=0,"",IF(OR(B484="",C484="",E484=""),"Check: date, player, and context required",IF(AND(ISNUMBER(J484),ISNUMBER(I484),J484&gt;I484),"Check: solid contacts &gt; swings",IF(AND(ISNUMBER(L484),ISNUMBER(K484),L484&gt;K484),"Check: correct &gt; assessed decisions",IF(AND(ISNUMBER(N484),ISNUMBER(M484),N484&gt;M484),"Check: intended &gt; assessed landings",IF(AND(ISNUMBER(J484),I484=""),"Check: solid contacts without swings","OK"))))))</f>
        <v/>
      </c>
    </row>
    <row r="485" customFormat="false" ht="15" hidden="false" customHeight="false" outlineLevel="0" collapsed="false">
      <c r="B485" s="26"/>
      <c r="C485" s="27"/>
      <c r="D485" s="28" t="str">
        <f aca="false">IF(C485="","",IFERROR(INDEX(Players!$C$5:$C$104,MATCH(C485,Players!$B$5:$B$104,0)),"ID not found"))</f>
        <v/>
      </c>
      <c r="E485" s="27"/>
      <c r="F485" s="27"/>
      <c r="G485" s="28" t="str">
        <f aca="false">IF(F485="","",IFERROR(INDEX('Hitting Drills'!$D$6:$D$45,MATCH(F485,'Hitting Drills'!$B$6:$B$45,0)),"Not a hitting drill ID"))</f>
        <v/>
      </c>
      <c r="H485" s="27"/>
      <c r="I485" s="27"/>
      <c r="J485" s="27"/>
      <c r="K485" s="27"/>
      <c r="L485" s="27"/>
      <c r="M485" s="27"/>
      <c r="N485" s="27"/>
      <c r="O485" s="27"/>
      <c r="P485" s="27"/>
      <c r="Q485" s="27"/>
      <c r="R485" s="27"/>
      <c r="S485" s="29" t="str">
        <f aca="false">IF(OR(B485="",C485=""),"",IF(COUNTIFS($B$5:B485,B485,$C$5:C485,C485)=1,1,0))</f>
        <v/>
      </c>
      <c r="T485" s="29" t="str">
        <f aca="false">IF(OR(B485="",C485="",E485=""),"",IF(COUNTIFS($B$5:B485,B485,$C$5:C485,C485,$E$5:E485,E485)=1,1,0))</f>
        <v/>
      </c>
      <c r="U485" s="28" t="str">
        <f aca="false">IF(COUNTA(B485:C485,E485:F485,H485:P485)=0,"",IF(OR(B485="",C485="",E485=""),"Check: date, player, and context required",IF(AND(ISNUMBER(J485),ISNUMBER(I485),J485&gt;I485),"Check: solid contacts &gt; swings",IF(AND(ISNUMBER(L485),ISNUMBER(K485),L485&gt;K485),"Check: correct &gt; assessed decisions",IF(AND(ISNUMBER(N485),ISNUMBER(M485),N485&gt;M485),"Check: intended &gt; assessed landings",IF(AND(ISNUMBER(J485),I485=""),"Check: solid contacts without swings","OK"))))))</f>
        <v/>
      </c>
    </row>
    <row r="486" customFormat="false" ht="15" hidden="false" customHeight="false" outlineLevel="0" collapsed="false">
      <c r="B486" s="26"/>
      <c r="C486" s="27"/>
      <c r="D486" s="28" t="str">
        <f aca="false">IF(C486="","",IFERROR(INDEX(Players!$C$5:$C$104,MATCH(C486,Players!$B$5:$B$104,0)),"ID not found"))</f>
        <v/>
      </c>
      <c r="E486" s="27"/>
      <c r="F486" s="27"/>
      <c r="G486" s="28" t="str">
        <f aca="false">IF(F486="","",IFERROR(INDEX('Hitting Drills'!$D$6:$D$45,MATCH(F486,'Hitting Drills'!$B$6:$B$45,0)),"Not a hitting drill ID"))</f>
        <v/>
      </c>
      <c r="H486" s="27"/>
      <c r="I486" s="27"/>
      <c r="J486" s="27"/>
      <c r="K486" s="27"/>
      <c r="L486" s="27"/>
      <c r="M486" s="27"/>
      <c r="N486" s="27"/>
      <c r="O486" s="27"/>
      <c r="P486" s="27"/>
      <c r="Q486" s="27"/>
      <c r="R486" s="27"/>
      <c r="S486" s="29" t="str">
        <f aca="false">IF(OR(B486="",C486=""),"",IF(COUNTIFS($B$5:B486,B486,$C$5:C486,C486)=1,1,0))</f>
        <v/>
      </c>
      <c r="T486" s="29" t="str">
        <f aca="false">IF(OR(B486="",C486="",E486=""),"",IF(COUNTIFS($B$5:B486,B486,$C$5:C486,C486,$E$5:E486,E486)=1,1,0))</f>
        <v/>
      </c>
      <c r="U486" s="28" t="str">
        <f aca="false">IF(COUNTA(B486:C486,E486:F486,H486:P486)=0,"",IF(OR(B486="",C486="",E486=""),"Check: date, player, and context required",IF(AND(ISNUMBER(J486),ISNUMBER(I486),J486&gt;I486),"Check: solid contacts &gt; swings",IF(AND(ISNUMBER(L486),ISNUMBER(K486),L486&gt;K486),"Check: correct &gt; assessed decisions",IF(AND(ISNUMBER(N486),ISNUMBER(M486),N486&gt;M486),"Check: intended &gt; assessed landings",IF(AND(ISNUMBER(J486),I486=""),"Check: solid contacts without swings","OK"))))))</f>
        <v/>
      </c>
    </row>
    <row r="487" customFormat="false" ht="15" hidden="false" customHeight="false" outlineLevel="0" collapsed="false">
      <c r="B487" s="26"/>
      <c r="C487" s="27"/>
      <c r="D487" s="28" t="str">
        <f aca="false">IF(C487="","",IFERROR(INDEX(Players!$C$5:$C$104,MATCH(C487,Players!$B$5:$B$104,0)),"ID not found"))</f>
        <v/>
      </c>
      <c r="E487" s="27"/>
      <c r="F487" s="27"/>
      <c r="G487" s="28" t="str">
        <f aca="false">IF(F487="","",IFERROR(INDEX('Hitting Drills'!$D$6:$D$45,MATCH(F487,'Hitting Drills'!$B$6:$B$45,0)),"Not a hitting drill ID"))</f>
        <v/>
      </c>
      <c r="H487" s="27"/>
      <c r="I487" s="27"/>
      <c r="J487" s="27"/>
      <c r="K487" s="27"/>
      <c r="L487" s="27"/>
      <c r="M487" s="27"/>
      <c r="N487" s="27"/>
      <c r="O487" s="27"/>
      <c r="P487" s="27"/>
      <c r="Q487" s="27"/>
      <c r="R487" s="27"/>
      <c r="S487" s="29" t="str">
        <f aca="false">IF(OR(B487="",C487=""),"",IF(COUNTIFS($B$5:B487,B487,$C$5:C487,C487)=1,1,0))</f>
        <v/>
      </c>
      <c r="T487" s="29" t="str">
        <f aca="false">IF(OR(B487="",C487="",E487=""),"",IF(COUNTIFS($B$5:B487,B487,$C$5:C487,C487,$E$5:E487,E487)=1,1,0))</f>
        <v/>
      </c>
      <c r="U487" s="28" t="str">
        <f aca="false">IF(COUNTA(B487:C487,E487:F487,H487:P487)=0,"",IF(OR(B487="",C487="",E487=""),"Check: date, player, and context required",IF(AND(ISNUMBER(J487),ISNUMBER(I487),J487&gt;I487),"Check: solid contacts &gt; swings",IF(AND(ISNUMBER(L487),ISNUMBER(K487),L487&gt;K487),"Check: correct &gt; assessed decisions",IF(AND(ISNUMBER(N487),ISNUMBER(M487),N487&gt;M487),"Check: intended &gt; assessed landings",IF(AND(ISNUMBER(J487),I487=""),"Check: solid contacts without swings","OK"))))))</f>
        <v/>
      </c>
    </row>
    <row r="488" customFormat="false" ht="15" hidden="false" customHeight="false" outlineLevel="0" collapsed="false">
      <c r="B488" s="26"/>
      <c r="C488" s="27"/>
      <c r="D488" s="28" t="str">
        <f aca="false">IF(C488="","",IFERROR(INDEX(Players!$C$5:$C$104,MATCH(C488,Players!$B$5:$B$104,0)),"ID not found"))</f>
        <v/>
      </c>
      <c r="E488" s="27"/>
      <c r="F488" s="27"/>
      <c r="G488" s="28" t="str">
        <f aca="false">IF(F488="","",IFERROR(INDEX('Hitting Drills'!$D$6:$D$45,MATCH(F488,'Hitting Drills'!$B$6:$B$45,0)),"Not a hitting drill ID"))</f>
        <v/>
      </c>
      <c r="H488" s="27"/>
      <c r="I488" s="27"/>
      <c r="J488" s="27"/>
      <c r="K488" s="27"/>
      <c r="L488" s="27"/>
      <c r="M488" s="27"/>
      <c r="N488" s="27"/>
      <c r="O488" s="27"/>
      <c r="P488" s="27"/>
      <c r="Q488" s="27"/>
      <c r="R488" s="27"/>
      <c r="S488" s="29" t="str">
        <f aca="false">IF(OR(B488="",C488=""),"",IF(COUNTIFS($B$5:B488,B488,$C$5:C488,C488)=1,1,0))</f>
        <v/>
      </c>
      <c r="T488" s="29" t="str">
        <f aca="false">IF(OR(B488="",C488="",E488=""),"",IF(COUNTIFS($B$5:B488,B488,$C$5:C488,C488,$E$5:E488,E488)=1,1,0))</f>
        <v/>
      </c>
      <c r="U488" s="28" t="str">
        <f aca="false">IF(COUNTA(B488:C488,E488:F488,H488:P488)=0,"",IF(OR(B488="",C488="",E488=""),"Check: date, player, and context required",IF(AND(ISNUMBER(J488),ISNUMBER(I488),J488&gt;I488),"Check: solid contacts &gt; swings",IF(AND(ISNUMBER(L488),ISNUMBER(K488),L488&gt;K488),"Check: correct &gt; assessed decisions",IF(AND(ISNUMBER(N488),ISNUMBER(M488),N488&gt;M488),"Check: intended &gt; assessed landings",IF(AND(ISNUMBER(J488),I488=""),"Check: solid contacts without swings","OK"))))))</f>
        <v/>
      </c>
    </row>
    <row r="489" customFormat="false" ht="15" hidden="false" customHeight="false" outlineLevel="0" collapsed="false">
      <c r="B489" s="26"/>
      <c r="C489" s="27"/>
      <c r="D489" s="28" t="str">
        <f aca="false">IF(C489="","",IFERROR(INDEX(Players!$C$5:$C$104,MATCH(C489,Players!$B$5:$B$104,0)),"ID not found"))</f>
        <v/>
      </c>
      <c r="E489" s="27"/>
      <c r="F489" s="27"/>
      <c r="G489" s="28" t="str">
        <f aca="false">IF(F489="","",IFERROR(INDEX('Hitting Drills'!$D$6:$D$45,MATCH(F489,'Hitting Drills'!$B$6:$B$45,0)),"Not a hitting drill ID"))</f>
        <v/>
      </c>
      <c r="H489" s="27"/>
      <c r="I489" s="27"/>
      <c r="J489" s="27"/>
      <c r="K489" s="27"/>
      <c r="L489" s="27"/>
      <c r="M489" s="27"/>
      <c r="N489" s="27"/>
      <c r="O489" s="27"/>
      <c r="P489" s="27"/>
      <c r="Q489" s="27"/>
      <c r="R489" s="27"/>
      <c r="S489" s="29" t="str">
        <f aca="false">IF(OR(B489="",C489=""),"",IF(COUNTIFS($B$5:B489,B489,$C$5:C489,C489)=1,1,0))</f>
        <v/>
      </c>
      <c r="T489" s="29" t="str">
        <f aca="false">IF(OR(B489="",C489="",E489=""),"",IF(COUNTIFS($B$5:B489,B489,$C$5:C489,C489,$E$5:E489,E489)=1,1,0))</f>
        <v/>
      </c>
      <c r="U489" s="28" t="str">
        <f aca="false">IF(COUNTA(B489:C489,E489:F489,H489:P489)=0,"",IF(OR(B489="",C489="",E489=""),"Check: date, player, and context required",IF(AND(ISNUMBER(J489),ISNUMBER(I489),J489&gt;I489),"Check: solid contacts &gt; swings",IF(AND(ISNUMBER(L489),ISNUMBER(K489),L489&gt;K489),"Check: correct &gt; assessed decisions",IF(AND(ISNUMBER(N489),ISNUMBER(M489),N489&gt;M489),"Check: intended &gt; assessed landings",IF(AND(ISNUMBER(J489),I489=""),"Check: solid contacts without swings","OK"))))))</f>
        <v/>
      </c>
    </row>
    <row r="490" customFormat="false" ht="15" hidden="false" customHeight="false" outlineLevel="0" collapsed="false">
      <c r="B490" s="26"/>
      <c r="C490" s="27"/>
      <c r="D490" s="28" t="str">
        <f aca="false">IF(C490="","",IFERROR(INDEX(Players!$C$5:$C$104,MATCH(C490,Players!$B$5:$B$104,0)),"ID not found"))</f>
        <v/>
      </c>
      <c r="E490" s="27"/>
      <c r="F490" s="27"/>
      <c r="G490" s="28" t="str">
        <f aca="false">IF(F490="","",IFERROR(INDEX('Hitting Drills'!$D$6:$D$45,MATCH(F490,'Hitting Drills'!$B$6:$B$45,0)),"Not a hitting drill ID"))</f>
        <v/>
      </c>
      <c r="H490" s="27"/>
      <c r="I490" s="27"/>
      <c r="J490" s="27"/>
      <c r="K490" s="27"/>
      <c r="L490" s="27"/>
      <c r="M490" s="27"/>
      <c r="N490" s="27"/>
      <c r="O490" s="27"/>
      <c r="P490" s="27"/>
      <c r="Q490" s="27"/>
      <c r="R490" s="27"/>
      <c r="S490" s="29" t="str">
        <f aca="false">IF(OR(B490="",C490=""),"",IF(COUNTIFS($B$5:B490,B490,$C$5:C490,C490)=1,1,0))</f>
        <v/>
      </c>
      <c r="T490" s="29" t="str">
        <f aca="false">IF(OR(B490="",C490="",E490=""),"",IF(COUNTIFS($B$5:B490,B490,$C$5:C490,C490,$E$5:E490,E490)=1,1,0))</f>
        <v/>
      </c>
      <c r="U490" s="28" t="str">
        <f aca="false">IF(COUNTA(B490:C490,E490:F490,H490:P490)=0,"",IF(OR(B490="",C490="",E490=""),"Check: date, player, and context required",IF(AND(ISNUMBER(J490),ISNUMBER(I490),J490&gt;I490),"Check: solid contacts &gt; swings",IF(AND(ISNUMBER(L490),ISNUMBER(K490),L490&gt;K490),"Check: correct &gt; assessed decisions",IF(AND(ISNUMBER(N490),ISNUMBER(M490),N490&gt;M490),"Check: intended &gt; assessed landings",IF(AND(ISNUMBER(J490),I490=""),"Check: solid contacts without swings","OK"))))))</f>
        <v/>
      </c>
    </row>
    <row r="491" customFormat="false" ht="15" hidden="false" customHeight="false" outlineLevel="0" collapsed="false">
      <c r="B491" s="26"/>
      <c r="C491" s="27"/>
      <c r="D491" s="28" t="str">
        <f aca="false">IF(C491="","",IFERROR(INDEX(Players!$C$5:$C$104,MATCH(C491,Players!$B$5:$B$104,0)),"ID not found"))</f>
        <v/>
      </c>
      <c r="E491" s="27"/>
      <c r="F491" s="27"/>
      <c r="G491" s="28" t="str">
        <f aca="false">IF(F491="","",IFERROR(INDEX('Hitting Drills'!$D$6:$D$45,MATCH(F491,'Hitting Drills'!$B$6:$B$45,0)),"Not a hitting drill ID"))</f>
        <v/>
      </c>
      <c r="H491" s="27"/>
      <c r="I491" s="27"/>
      <c r="J491" s="27"/>
      <c r="K491" s="27"/>
      <c r="L491" s="27"/>
      <c r="M491" s="27"/>
      <c r="N491" s="27"/>
      <c r="O491" s="27"/>
      <c r="P491" s="27"/>
      <c r="Q491" s="27"/>
      <c r="R491" s="27"/>
      <c r="S491" s="29" t="str">
        <f aca="false">IF(OR(B491="",C491=""),"",IF(COUNTIFS($B$5:B491,B491,$C$5:C491,C491)=1,1,0))</f>
        <v/>
      </c>
      <c r="T491" s="29" t="str">
        <f aca="false">IF(OR(B491="",C491="",E491=""),"",IF(COUNTIFS($B$5:B491,B491,$C$5:C491,C491,$E$5:E491,E491)=1,1,0))</f>
        <v/>
      </c>
      <c r="U491" s="28" t="str">
        <f aca="false">IF(COUNTA(B491:C491,E491:F491,H491:P491)=0,"",IF(OR(B491="",C491="",E491=""),"Check: date, player, and context required",IF(AND(ISNUMBER(J491),ISNUMBER(I491),J491&gt;I491),"Check: solid contacts &gt; swings",IF(AND(ISNUMBER(L491),ISNUMBER(K491),L491&gt;K491),"Check: correct &gt; assessed decisions",IF(AND(ISNUMBER(N491),ISNUMBER(M491),N491&gt;M491),"Check: intended &gt; assessed landings",IF(AND(ISNUMBER(J491),I491=""),"Check: solid contacts without swings","OK"))))))</f>
        <v/>
      </c>
    </row>
    <row r="492" customFormat="false" ht="15" hidden="false" customHeight="false" outlineLevel="0" collapsed="false">
      <c r="B492" s="26"/>
      <c r="C492" s="27"/>
      <c r="D492" s="28" t="str">
        <f aca="false">IF(C492="","",IFERROR(INDEX(Players!$C$5:$C$104,MATCH(C492,Players!$B$5:$B$104,0)),"ID not found"))</f>
        <v/>
      </c>
      <c r="E492" s="27"/>
      <c r="F492" s="27"/>
      <c r="G492" s="28" t="str">
        <f aca="false">IF(F492="","",IFERROR(INDEX('Hitting Drills'!$D$6:$D$45,MATCH(F492,'Hitting Drills'!$B$6:$B$45,0)),"Not a hitting drill ID"))</f>
        <v/>
      </c>
      <c r="H492" s="27"/>
      <c r="I492" s="27"/>
      <c r="J492" s="27"/>
      <c r="K492" s="27"/>
      <c r="L492" s="27"/>
      <c r="M492" s="27"/>
      <c r="N492" s="27"/>
      <c r="O492" s="27"/>
      <c r="P492" s="27"/>
      <c r="Q492" s="27"/>
      <c r="R492" s="27"/>
      <c r="S492" s="29" t="str">
        <f aca="false">IF(OR(B492="",C492=""),"",IF(COUNTIFS($B$5:B492,B492,$C$5:C492,C492)=1,1,0))</f>
        <v/>
      </c>
      <c r="T492" s="29" t="str">
        <f aca="false">IF(OR(B492="",C492="",E492=""),"",IF(COUNTIFS($B$5:B492,B492,$C$5:C492,C492,$E$5:E492,E492)=1,1,0))</f>
        <v/>
      </c>
      <c r="U492" s="28" t="str">
        <f aca="false">IF(COUNTA(B492:C492,E492:F492,H492:P492)=0,"",IF(OR(B492="",C492="",E492=""),"Check: date, player, and context required",IF(AND(ISNUMBER(J492),ISNUMBER(I492),J492&gt;I492),"Check: solid contacts &gt; swings",IF(AND(ISNUMBER(L492),ISNUMBER(K492),L492&gt;K492),"Check: correct &gt; assessed decisions",IF(AND(ISNUMBER(N492),ISNUMBER(M492),N492&gt;M492),"Check: intended &gt; assessed landings",IF(AND(ISNUMBER(J492),I492=""),"Check: solid contacts without swings","OK"))))))</f>
        <v/>
      </c>
    </row>
    <row r="493" customFormat="false" ht="15" hidden="false" customHeight="false" outlineLevel="0" collapsed="false">
      <c r="B493" s="26"/>
      <c r="C493" s="27"/>
      <c r="D493" s="28" t="str">
        <f aca="false">IF(C493="","",IFERROR(INDEX(Players!$C$5:$C$104,MATCH(C493,Players!$B$5:$B$104,0)),"ID not found"))</f>
        <v/>
      </c>
      <c r="E493" s="27"/>
      <c r="F493" s="27"/>
      <c r="G493" s="28" t="str">
        <f aca="false">IF(F493="","",IFERROR(INDEX('Hitting Drills'!$D$6:$D$45,MATCH(F493,'Hitting Drills'!$B$6:$B$45,0)),"Not a hitting drill ID"))</f>
        <v/>
      </c>
      <c r="H493" s="27"/>
      <c r="I493" s="27"/>
      <c r="J493" s="27"/>
      <c r="K493" s="27"/>
      <c r="L493" s="27"/>
      <c r="M493" s="27"/>
      <c r="N493" s="27"/>
      <c r="O493" s="27"/>
      <c r="P493" s="27"/>
      <c r="Q493" s="27"/>
      <c r="R493" s="27"/>
      <c r="S493" s="29" t="str">
        <f aca="false">IF(OR(B493="",C493=""),"",IF(COUNTIFS($B$5:B493,B493,$C$5:C493,C493)=1,1,0))</f>
        <v/>
      </c>
      <c r="T493" s="29" t="str">
        <f aca="false">IF(OR(B493="",C493="",E493=""),"",IF(COUNTIFS($B$5:B493,B493,$C$5:C493,C493,$E$5:E493,E493)=1,1,0))</f>
        <v/>
      </c>
      <c r="U493" s="28" t="str">
        <f aca="false">IF(COUNTA(B493:C493,E493:F493,H493:P493)=0,"",IF(OR(B493="",C493="",E493=""),"Check: date, player, and context required",IF(AND(ISNUMBER(J493),ISNUMBER(I493),J493&gt;I493),"Check: solid contacts &gt; swings",IF(AND(ISNUMBER(L493),ISNUMBER(K493),L493&gt;K493),"Check: correct &gt; assessed decisions",IF(AND(ISNUMBER(N493),ISNUMBER(M493),N493&gt;M493),"Check: intended &gt; assessed landings",IF(AND(ISNUMBER(J493),I493=""),"Check: solid contacts without swings","OK"))))))</f>
        <v/>
      </c>
    </row>
    <row r="494" customFormat="false" ht="15" hidden="false" customHeight="false" outlineLevel="0" collapsed="false">
      <c r="B494" s="26"/>
      <c r="C494" s="27"/>
      <c r="D494" s="28" t="str">
        <f aca="false">IF(C494="","",IFERROR(INDEX(Players!$C$5:$C$104,MATCH(C494,Players!$B$5:$B$104,0)),"ID not found"))</f>
        <v/>
      </c>
      <c r="E494" s="27"/>
      <c r="F494" s="27"/>
      <c r="G494" s="28" t="str">
        <f aca="false">IF(F494="","",IFERROR(INDEX('Hitting Drills'!$D$6:$D$45,MATCH(F494,'Hitting Drills'!$B$6:$B$45,0)),"Not a hitting drill ID"))</f>
        <v/>
      </c>
      <c r="H494" s="27"/>
      <c r="I494" s="27"/>
      <c r="J494" s="27"/>
      <c r="K494" s="27"/>
      <c r="L494" s="27"/>
      <c r="M494" s="27"/>
      <c r="N494" s="27"/>
      <c r="O494" s="27"/>
      <c r="P494" s="27"/>
      <c r="Q494" s="27"/>
      <c r="R494" s="27"/>
      <c r="S494" s="29" t="str">
        <f aca="false">IF(OR(B494="",C494=""),"",IF(COUNTIFS($B$5:B494,B494,$C$5:C494,C494)=1,1,0))</f>
        <v/>
      </c>
      <c r="T494" s="29" t="str">
        <f aca="false">IF(OR(B494="",C494="",E494=""),"",IF(COUNTIFS($B$5:B494,B494,$C$5:C494,C494,$E$5:E494,E494)=1,1,0))</f>
        <v/>
      </c>
      <c r="U494" s="28" t="str">
        <f aca="false">IF(COUNTA(B494:C494,E494:F494,H494:P494)=0,"",IF(OR(B494="",C494="",E494=""),"Check: date, player, and context required",IF(AND(ISNUMBER(J494),ISNUMBER(I494),J494&gt;I494),"Check: solid contacts &gt; swings",IF(AND(ISNUMBER(L494),ISNUMBER(K494),L494&gt;K494),"Check: correct &gt; assessed decisions",IF(AND(ISNUMBER(N494),ISNUMBER(M494),N494&gt;M494),"Check: intended &gt; assessed landings",IF(AND(ISNUMBER(J494),I494=""),"Check: solid contacts without swings","OK"))))))</f>
        <v/>
      </c>
    </row>
    <row r="495" customFormat="false" ht="15" hidden="false" customHeight="false" outlineLevel="0" collapsed="false">
      <c r="B495" s="26"/>
      <c r="C495" s="27"/>
      <c r="D495" s="28" t="str">
        <f aca="false">IF(C495="","",IFERROR(INDEX(Players!$C$5:$C$104,MATCH(C495,Players!$B$5:$B$104,0)),"ID not found"))</f>
        <v/>
      </c>
      <c r="E495" s="27"/>
      <c r="F495" s="27"/>
      <c r="G495" s="28" t="str">
        <f aca="false">IF(F495="","",IFERROR(INDEX('Hitting Drills'!$D$6:$D$45,MATCH(F495,'Hitting Drills'!$B$6:$B$45,0)),"Not a hitting drill ID"))</f>
        <v/>
      </c>
      <c r="H495" s="27"/>
      <c r="I495" s="27"/>
      <c r="J495" s="27"/>
      <c r="K495" s="27"/>
      <c r="L495" s="27"/>
      <c r="M495" s="27"/>
      <c r="N495" s="27"/>
      <c r="O495" s="27"/>
      <c r="P495" s="27"/>
      <c r="Q495" s="27"/>
      <c r="R495" s="27"/>
      <c r="S495" s="29" t="str">
        <f aca="false">IF(OR(B495="",C495=""),"",IF(COUNTIFS($B$5:B495,B495,$C$5:C495,C495)=1,1,0))</f>
        <v/>
      </c>
      <c r="T495" s="29" t="str">
        <f aca="false">IF(OR(B495="",C495="",E495=""),"",IF(COUNTIFS($B$5:B495,B495,$C$5:C495,C495,$E$5:E495,E495)=1,1,0))</f>
        <v/>
      </c>
      <c r="U495" s="28" t="str">
        <f aca="false">IF(COUNTA(B495:C495,E495:F495,H495:P495)=0,"",IF(OR(B495="",C495="",E495=""),"Check: date, player, and context required",IF(AND(ISNUMBER(J495),ISNUMBER(I495),J495&gt;I495),"Check: solid contacts &gt; swings",IF(AND(ISNUMBER(L495),ISNUMBER(K495),L495&gt;K495),"Check: correct &gt; assessed decisions",IF(AND(ISNUMBER(N495),ISNUMBER(M495),N495&gt;M495),"Check: intended &gt; assessed landings",IF(AND(ISNUMBER(J495),I495=""),"Check: solid contacts without swings","OK"))))))</f>
        <v/>
      </c>
    </row>
    <row r="496" customFormat="false" ht="15" hidden="false" customHeight="false" outlineLevel="0" collapsed="false">
      <c r="B496" s="26"/>
      <c r="C496" s="27"/>
      <c r="D496" s="28" t="str">
        <f aca="false">IF(C496="","",IFERROR(INDEX(Players!$C$5:$C$104,MATCH(C496,Players!$B$5:$B$104,0)),"ID not found"))</f>
        <v/>
      </c>
      <c r="E496" s="27"/>
      <c r="F496" s="27"/>
      <c r="G496" s="28" t="str">
        <f aca="false">IF(F496="","",IFERROR(INDEX('Hitting Drills'!$D$6:$D$45,MATCH(F496,'Hitting Drills'!$B$6:$B$45,0)),"Not a hitting drill ID"))</f>
        <v/>
      </c>
      <c r="H496" s="27"/>
      <c r="I496" s="27"/>
      <c r="J496" s="27"/>
      <c r="K496" s="27"/>
      <c r="L496" s="27"/>
      <c r="M496" s="27"/>
      <c r="N496" s="27"/>
      <c r="O496" s="27"/>
      <c r="P496" s="27"/>
      <c r="Q496" s="27"/>
      <c r="R496" s="27"/>
      <c r="S496" s="29" t="str">
        <f aca="false">IF(OR(B496="",C496=""),"",IF(COUNTIFS($B$5:B496,B496,$C$5:C496,C496)=1,1,0))</f>
        <v/>
      </c>
      <c r="T496" s="29" t="str">
        <f aca="false">IF(OR(B496="",C496="",E496=""),"",IF(COUNTIFS($B$5:B496,B496,$C$5:C496,C496,$E$5:E496,E496)=1,1,0))</f>
        <v/>
      </c>
      <c r="U496" s="28" t="str">
        <f aca="false">IF(COUNTA(B496:C496,E496:F496,H496:P496)=0,"",IF(OR(B496="",C496="",E496=""),"Check: date, player, and context required",IF(AND(ISNUMBER(J496),ISNUMBER(I496),J496&gt;I496),"Check: solid contacts &gt; swings",IF(AND(ISNUMBER(L496),ISNUMBER(K496),L496&gt;K496),"Check: correct &gt; assessed decisions",IF(AND(ISNUMBER(N496),ISNUMBER(M496),N496&gt;M496),"Check: intended &gt; assessed landings",IF(AND(ISNUMBER(J496),I496=""),"Check: solid contacts without swings","OK"))))))</f>
        <v/>
      </c>
    </row>
    <row r="497" customFormat="false" ht="15" hidden="false" customHeight="false" outlineLevel="0" collapsed="false">
      <c r="B497" s="26"/>
      <c r="C497" s="27"/>
      <c r="D497" s="28" t="str">
        <f aca="false">IF(C497="","",IFERROR(INDEX(Players!$C$5:$C$104,MATCH(C497,Players!$B$5:$B$104,0)),"ID not found"))</f>
        <v/>
      </c>
      <c r="E497" s="27"/>
      <c r="F497" s="27"/>
      <c r="G497" s="28" t="str">
        <f aca="false">IF(F497="","",IFERROR(INDEX('Hitting Drills'!$D$6:$D$45,MATCH(F497,'Hitting Drills'!$B$6:$B$45,0)),"Not a hitting drill ID"))</f>
        <v/>
      </c>
      <c r="H497" s="27"/>
      <c r="I497" s="27"/>
      <c r="J497" s="27"/>
      <c r="K497" s="27"/>
      <c r="L497" s="27"/>
      <c r="M497" s="27"/>
      <c r="N497" s="27"/>
      <c r="O497" s="27"/>
      <c r="P497" s="27"/>
      <c r="Q497" s="27"/>
      <c r="R497" s="27"/>
      <c r="S497" s="29" t="str">
        <f aca="false">IF(OR(B497="",C497=""),"",IF(COUNTIFS($B$5:B497,B497,$C$5:C497,C497)=1,1,0))</f>
        <v/>
      </c>
      <c r="T497" s="29" t="str">
        <f aca="false">IF(OR(B497="",C497="",E497=""),"",IF(COUNTIFS($B$5:B497,B497,$C$5:C497,C497,$E$5:E497,E497)=1,1,0))</f>
        <v/>
      </c>
      <c r="U497" s="28" t="str">
        <f aca="false">IF(COUNTA(B497:C497,E497:F497,H497:P497)=0,"",IF(OR(B497="",C497="",E497=""),"Check: date, player, and context required",IF(AND(ISNUMBER(J497),ISNUMBER(I497),J497&gt;I497),"Check: solid contacts &gt; swings",IF(AND(ISNUMBER(L497),ISNUMBER(K497),L497&gt;K497),"Check: correct &gt; assessed decisions",IF(AND(ISNUMBER(N497),ISNUMBER(M497),N497&gt;M497),"Check: intended &gt; assessed landings",IF(AND(ISNUMBER(J497),I497=""),"Check: solid contacts without swings","OK"))))))</f>
        <v/>
      </c>
    </row>
    <row r="498" customFormat="false" ht="15" hidden="false" customHeight="false" outlineLevel="0" collapsed="false">
      <c r="B498" s="26"/>
      <c r="C498" s="27"/>
      <c r="D498" s="28" t="str">
        <f aca="false">IF(C498="","",IFERROR(INDEX(Players!$C$5:$C$104,MATCH(C498,Players!$B$5:$B$104,0)),"ID not found"))</f>
        <v/>
      </c>
      <c r="E498" s="27"/>
      <c r="F498" s="27"/>
      <c r="G498" s="28" t="str">
        <f aca="false">IF(F498="","",IFERROR(INDEX('Hitting Drills'!$D$6:$D$45,MATCH(F498,'Hitting Drills'!$B$6:$B$45,0)),"Not a hitting drill ID"))</f>
        <v/>
      </c>
      <c r="H498" s="27"/>
      <c r="I498" s="27"/>
      <c r="J498" s="27"/>
      <c r="K498" s="27"/>
      <c r="L498" s="27"/>
      <c r="M498" s="27"/>
      <c r="N498" s="27"/>
      <c r="O498" s="27"/>
      <c r="P498" s="27"/>
      <c r="Q498" s="27"/>
      <c r="R498" s="27"/>
      <c r="S498" s="29" t="str">
        <f aca="false">IF(OR(B498="",C498=""),"",IF(COUNTIFS($B$5:B498,B498,$C$5:C498,C498)=1,1,0))</f>
        <v/>
      </c>
      <c r="T498" s="29" t="str">
        <f aca="false">IF(OR(B498="",C498="",E498=""),"",IF(COUNTIFS($B$5:B498,B498,$C$5:C498,C498,$E$5:E498,E498)=1,1,0))</f>
        <v/>
      </c>
      <c r="U498" s="28" t="str">
        <f aca="false">IF(COUNTA(B498:C498,E498:F498,H498:P498)=0,"",IF(OR(B498="",C498="",E498=""),"Check: date, player, and context required",IF(AND(ISNUMBER(J498),ISNUMBER(I498),J498&gt;I498),"Check: solid contacts &gt; swings",IF(AND(ISNUMBER(L498),ISNUMBER(K498),L498&gt;K498),"Check: correct &gt; assessed decisions",IF(AND(ISNUMBER(N498),ISNUMBER(M498),N498&gt;M498),"Check: intended &gt; assessed landings",IF(AND(ISNUMBER(J498),I498=""),"Check: solid contacts without swings","OK"))))))</f>
        <v/>
      </c>
    </row>
    <row r="499" customFormat="false" ht="15" hidden="false" customHeight="false" outlineLevel="0" collapsed="false">
      <c r="B499" s="26"/>
      <c r="C499" s="27"/>
      <c r="D499" s="28" t="str">
        <f aca="false">IF(C499="","",IFERROR(INDEX(Players!$C$5:$C$104,MATCH(C499,Players!$B$5:$B$104,0)),"ID not found"))</f>
        <v/>
      </c>
      <c r="E499" s="27"/>
      <c r="F499" s="27"/>
      <c r="G499" s="28" t="str">
        <f aca="false">IF(F499="","",IFERROR(INDEX('Hitting Drills'!$D$6:$D$45,MATCH(F499,'Hitting Drills'!$B$6:$B$45,0)),"Not a hitting drill ID"))</f>
        <v/>
      </c>
      <c r="H499" s="27"/>
      <c r="I499" s="27"/>
      <c r="J499" s="27"/>
      <c r="K499" s="27"/>
      <c r="L499" s="27"/>
      <c r="M499" s="27"/>
      <c r="N499" s="27"/>
      <c r="O499" s="27"/>
      <c r="P499" s="27"/>
      <c r="Q499" s="27"/>
      <c r="R499" s="27"/>
      <c r="S499" s="29" t="str">
        <f aca="false">IF(OR(B499="",C499=""),"",IF(COUNTIFS($B$5:B499,B499,$C$5:C499,C499)=1,1,0))</f>
        <v/>
      </c>
      <c r="T499" s="29" t="str">
        <f aca="false">IF(OR(B499="",C499="",E499=""),"",IF(COUNTIFS($B$5:B499,B499,$C$5:C499,C499,$E$5:E499,E499)=1,1,0))</f>
        <v/>
      </c>
      <c r="U499" s="28" t="str">
        <f aca="false">IF(COUNTA(B499:C499,E499:F499,H499:P499)=0,"",IF(OR(B499="",C499="",E499=""),"Check: date, player, and context required",IF(AND(ISNUMBER(J499),ISNUMBER(I499),J499&gt;I499),"Check: solid contacts &gt; swings",IF(AND(ISNUMBER(L499),ISNUMBER(K499),L499&gt;K499),"Check: correct &gt; assessed decisions",IF(AND(ISNUMBER(N499),ISNUMBER(M499),N499&gt;M499),"Check: intended &gt; assessed landings",IF(AND(ISNUMBER(J499),I499=""),"Check: solid contacts without swings","OK"))))))</f>
        <v/>
      </c>
    </row>
    <row r="500" customFormat="false" ht="15" hidden="false" customHeight="false" outlineLevel="0" collapsed="false">
      <c r="B500" s="26"/>
      <c r="C500" s="27"/>
      <c r="D500" s="28" t="str">
        <f aca="false">IF(C500="","",IFERROR(INDEX(Players!$C$5:$C$104,MATCH(C500,Players!$B$5:$B$104,0)),"ID not found"))</f>
        <v/>
      </c>
      <c r="E500" s="27"/>
      <c r="F500" s="27"/>
      <c r="G500" s="28" t="str">
        <f aca="false">IF(F500="","",IFERROR(INDEX('Hitting Drills'!$D$6:$D$45,MATCH(F500,'Hitting Drills'!$B$6:$B$45,0)),"Not a hitting drill ID"))</f>
        <v/>
      </c>
      <c r="H500" s="27"/>
      <c r="I500" s="27"/>
      <c r="J500" s="27"/>
      <c r="K500" s="27"/>
      <c r="L500" s="27"/>
      <c r="M500" s="27"/>
      <c r="N500" s="27"/>
      <c r="O500" s="27"/>
      <c r="P500" s="27"/>
      <c r="Q500" s="27"/>
      <c r="R500" s="27"/>
      <c r="S500" s="29" t="str">
        <f aca="false">IF(OR(B500="",C500=""),"",IF(COUNTIFS($B$5:B500,B500,$C$5:C500,C500)=1,1,0))</f>
        <v/>
      </c>
      <c r="T500" s="29" t="str">
        <f aca="false">IF(OR(B500="",C500="",E500=""),"",IF(COUNTIFS($B$5:B500,B500,$C$5:C500,C500,$E$5:E500,E500)=1,1,0))</f>
        <v/>
      </c>
      <c r="U500" s="28" t="str">
        <f aca="false">IF(COUNTA(B500:C500,E500:F500,H500:P500)=0,"",IF(OR(B500="",C500="",E500=""),"Check: date, player, and context required",IF(AND(ISNUMBER(J500),ISNUMBER(I500),J500&gt;I500),"Check: solid contacts &gt; swings",IF(AND(ISNUMBER(L500),ISNUMBER(K500),L500&gt;K500),"Check: correct &gt; assessed decisions",IF(AND(ISNUMBER(N500),ISNUMBER(M500),N500&gt;M500),"Check: intended &gt; assessed landings",IF(AND(ISNUMBER(J500),I500=""),"Check: solid contacts without swings","OK"))))))</f>
        <v/>
      </c>
    </row>
    <row r="501" customFormat="false" ht="15" hidden="false" customHeight="false" outlineLevel="0" collapsed="false">
      <c r="B501" s="26"/>
      <c r="C501" s="27"/>
      <c r="D501" s="28" t="str">
        <f aca="false">IF(C501="","",IFERROR(INDEX(Players!$C$5:$C$104,MATCH(C501,Players!$B$5:$B$104,0)),"ID not found"))</f>
        <v/>
      </c>
      <c r="E501" s="27"/>
      <c r="F501" s="27"/>
      <c r="G501" s="28" t="str">
        <f aca="false">IF(F501="","",IFERROR(INDEX('Hitting Drills'!$D$6:$D$45,MATCH(F501,'Hitting Drills'!$B$6:$B$45,0)),"Not a hitting drill ID"))</f>
        <v/>
      </c>
      <c r="H501" s="27"/>
      <c r="I501" s="27"/>
      <c r="J501" s="27"/>
      <c r="K501" s="27"/>
      <c r="L501" s="27"/>
      <c r="M501" s="27"/>
      <c r="N501" s="27"/>
      <c r="O501" s="27"/>
      <c r="P501" s="27"/>
      <c r="Q501" s="27"/>
      <c r="R501" s="27"/>
      <c r="S501" s="29" t="str">
        <f aca="false">IF(OR(B501="",C501=""),"",IF(COUNTIFS($B$5:B501,B501,$C$5:C501,C501)=1,1,0))</f>
        <v/>
      </c>
      <c r="T501" s="29" t="str">
        <f aca="false">IF(OR(B501="",C501="",E501=""),"",IF(COUNTIFS($B$5:B501,B501,$C$5:C501,C501,$E$5:E501,E501)=1,1,0))</f>
        <v/>
      </c>
      <c r="U501" s="28" t="str">
        <f aca="false">IF(COUNTA(B501:C501,E501:F501,H501:P501)=0,"",IF(OR(B501="",C501="",E501=""),"Check: date, player, and context required",IF(AND(ISNUMBER(J501),ISNUMBER(I501),J501&gt;I501),"Check: solid contacts &gt; swings",IF(AND(ISNUMBER(L501),ISNUMBER(K501),L501&gt;K501),"Check: correct &gt; assessed decisions",IF(AND(ISNUMBER(N501),ISNUMBER(M501),N501&gt;M501),"Check: intended &gt; assessed landings",IF(AND(ISNUMBER(J501),I501=""),"Check: solid contacts without swings","OK"))))))</f>
        <v/>
      </c>
    </row>
    <row r="502" customFormat="false" ht="15" hidden="false" customHeight="false" outlineLevel="0" collapsed="false">
      <c r="B502" s="26"/>
      <c r="C502" s="27"/>
      <c r="D502" s="28" t="str">
        <f aca="false">IF(C502="","",IFERROR(INDEX(Players!$C$5:$C$104,MATCH(C502,Players!$B$5:$B$104,0)),"ID not found"))</f>
        <v/>
      </c>
      <c r="E502" s="27"/>
      <c r="F502" s="27"/>
      <c r="G502" s="28" t="str">
        <f aca="false">IF(F502="","",IFERROR(INDEX('Hitting Drills'!$D$6:$D$45,MATCH(F502,'Hitting Drills'!$B$6:$B$45,0)),"Not a hitting drill ID"))</f>
        <v/>
      </c>
      <c r="H502" s="27"/>
      <c r="I502" s="27"/>
      <c r="J502" s="27"/>
      <c r="K502" s="27"/>
      <c r="L502" s="27"/>
      <c r="M502" s="27"/>
      <c r="N502" s="27"/>
      <c r="O502" s="27"/>
      <c r="P502" s="27"/>
      <c r="Q502" s="27"/>
      <c r="R502" s="27"/>
      <c r="S502" s="29" t="str">
        <f aca="false">IF(OR(B502="",C502=""),"",IF(COUNTIFS($B$5:B502,B502,$C$5:C502,C502)=1,1,0))</f>
        <v/>
      </c>
      <c r="T502" s="29" t="str">
        <f aca="false">IF(OR(B502="",C502="",E502=""),"",IF(COUNTIFS($B$5:B502,B502,$C$5:C502,C502,$E$5:E502,E502)=1,1,0))</f>
        <v/>
      </c>
      <c r="U502" s="28" t="str">
        <f aca="false">IF(COUNTA(B502:C502,E502:F502,H502:P502)=0,"",IF(OR(B502="",C502="",E502=""),"Check: date, player, and context required",IF(AND(ISNUMBER(J502),ISNUMBER(I502),J502&gt;I502),"Check: solid contacts &gt; swings",IF(AND(ISNUMBER(L502),ISNUMBER(K502),L502&gt;K502),"Check: correct &gt; assessed decisions",IF(AND(ISNUMBER(N502),ISNUMBER(M502),N502&gt;M502),"Check: intended &gt; assessed landings",IF(AND(ISNUMBER(J502),I502=""),"Check: solid contacts without swings","OK"))))))</f>
        <v/>
      </c>
    </row>
    <row r="503" customFormat="false" ht="15" hidden="false" customHeight="false" outlineLevel="0" collapsed="false">
      <c r="B503" s="26"/>
      <c r="C503" s="27"/>
      <c r="D503" s="28" t="str">
        <f aca="false">IF(C503="","",IFERROR(INDEX(Players!$C$5:$C$104,MATCH(C503,Players!$B$5:$B$104,0)),"ID not found"))</f>
        <v/>
      </c>
      <c r="E503" s="27"/>
      <c r="F503" s="27"/>
      <c r="G503" s="28" t="str">
        <f aca="false">IF(F503="","",IFERROR(INDEX('Hitting Drills'!$D$6:$D$45,MATCH(F503,'Hitting Drills'!$B$6:$B$45,0)),"Not a hitting drill ID"))</f>
        <v/>
      </c>
      <c r="H503" s="27"/>
      <c r="I503" s="27"/>
      <c r="J503" s="27"/>
      <c r="K503" s="27"/>
      <c r="L503" s="27"/>
      <c r="M503" s="27"/>
      <c r="N503" s="27"/>
      <c r="O503" s="27"/>
      <c r="P503" s="27"/>
      <c r="Q503" s="27"/>
      <c r="R503" s="27"/>
      <c r="S503" s="29" t="str">
        <f aca="false">IF(OR(B503="",C503=""),"",IF(COUNTIFS($B$5:B503,B503,$C$5:C503,C503)=1,1,0))</f>
        <v/>
      </c>
      <c r="T503" s="29" t="str">
        <f aca="false">IF(OR(B503="",C503="",E503=""),"",IF(COUNTIFS($B$5:B503,B503,$C$5:C503,C503,$E$5:E503,E503)=1,1,0))</f>
        <v/>
      </c>
      <c r="U503" s="28" t="str">
        <f aca="false">IF(COUNTA(B503:C503,E503:F503,H503:P503)=0,"",IF(OR(B503="",C503="",E503=""),"Check: date, player, and context required",IF(AND(ISNUMBER(J503),ISNUMBER(I503),J503&gt;I503),"Check: solid contacts &gt; swings",IF(AND(ISNUMBER(L503),ISNUMBER(K503),L503&gt;K503),"Check: correct &gt; assessed decisions",IF(AND(ISNUMBER(N503),ISNUMBER(M503),N503&gt;M503),"Check: intended &gt; assessed landings",IF(AND(ISNUMBER(J503),I503=""),"Check: solid contacts without swings","OK"))))))</f>
        <v/>
      </c>
    </row>
    <row r="504" customFormat="false" ht="15" hidden="false" customHeight="false" outlineLevel="0" collapsed="false">
      <c r="B504" s="26"/>
      <c r="C504" s="27"/>
      <c r="D504" s="28" t="str">
        <f aca="false">IF(C504="","",IFERROR(INDEX(Players!$C$5:$C$104,MATCH(C504,Players!$B$5:$B$104,0)),"ID not found"))</f>
        <v/>
      </c>
      <c r="E504" s="27"/>
      <c r="F504" s="27"/>
      <c r="G504" s="28" t="str">
        <f aca="false">IF(F504="","",IFERROR(INDEX('Hitting Drills'!$D$6:$D$45,MATCH(F504,'Hitting Drills'!$B$6:$B$45,0)),"Not a hitting drill ID"))</f>
        <v/>
      </c>
      <c r="H504" s="27"/>
      <c r="I504" s="27"/>
      <c r="J504" s="27"/>
      <c r="K504" s="27"/>
      <c r="L504" s="27"/>
      <c r="M504" s="27"/>
      <c r="N504" s="27"/>
      <c r="O504" s="27"/>
      <c r="P504" s="27"/>
      <c r="Q504" s="27"/>
      <c r="R504" s="27"/>
      <c r="S504" s="29" t="str">
        <f aca="false">IF(OR(B504="",C504=""),"",IF(COUNTIFS($B$5:B504,B504,$C$5:C504,C504)=1,1,0))</f>
        <v/>
      </c>
      <c r="T504" s="29" t="str">
        <f aca="false">IF(OR(B504="",C504="",E504=""),"",IF(COUNTIFS($B$5:B504,B504,$C$5:C504,C504,$E$5:E504,E504)=1,1,0))</f>
        <v/>
      </c>
      <c r="U504" s="28" t="str">
        <f aca="false">IF(COUNTA(B504:C504,E504:F504,H504:P504)=0,"",IF(OR(B504="",C504="",E504=""),"Check: date, player, and context required",IF(AND(ISNUMBER(J504),ISNUMBER(I504),J504&gt;I504),"Check: solid contacts &gt; swings",IF(AND(ISNUMBER(L504),ISNUMBER(K504),L504&gt;K504),"Check: correct &gt; assessed decisions",IF(AND(ISNUMBER(N504),ISNUMBER(M504),N504&gt;M504),"Check: intended &gt; assessed landings",IF(AND(ISNUMBER(J504),I504=""),"Check: solid contacts without swings","OK"))))))</f>
        <v/>
      </c>
    </row>
    <row r="505" customFormat="false" ht="15" hidden="false" customHeight="false" outlineLevel="0" collapsed="false">
      <c r="B505" s="26"/>
      <c r="C505" s="27"/>
      <c r="D505" s="28" t="str">
        <f aca="false">IF(C505="","",IFERROR(INDEX(Players!$C$5:$C$104,MATCH(C505,Players!$B$5:$B$104,0)),"ID not found"))</f>
        <v/>
      </c>
      <c r="E505" s="27"/>
      <c r="F505" s="27"/>
      <c r="G505" s="28" t="str">
        <f aca="false">IF(F505="","",IFERROR(INDEX('Hitting Drills'!$D$6:$D$45,MATCH(F505,'Hitting Drills'!$B$6:$B$45,0)),"Not a hitting drill ID"))</f>
        <v/>
      </c>
      <c r="H505" s="27"/>
      <c r="I505" s="27"/>
      <c r="J505" s="27"/>
      <c r="K505" s="27"/>
      <c r="L505" s="27"/>
      <c r="M505" s="27"/>
      <c r="N505" s="27"/>
      <c r="O505" s="27"/>
      <c r="P505" s="27"/>
      <c r="Q505" s="27"/>
      <c r="R505" s="27"/>
      <c r="S505" s="29" t="str">
        <f aca="false">IF(OR(B505="",C505=""),"",IF(COUNTIFS($B$5:B505,B505,$C$5:C505,C505)=1,1,0))</f>
        <v/>
      </c>
      <c r="T505" s="29" t="str">
        <f aca="false">IF(OR(B505="",C505="",E505=""),"",IF(COUNTIFS($B$5:B505,B505,$C$5:C505,C505,$E$5:E505,E505)=1,1,0))</f>
        <v/>
      </c>
      <c r="U505" s="28" t="str">
        <f aca="false">IF(COUNTA(B505:C505,E505:F505,H505:P505)=0,"",IF(OR(B505="",C505="",E505=""),"Check: date, player, and context required",IF(AND(ISNUMBER(J505),ISNUMBER(I505),J505&gt;I505),"Check: solid contacts &gt; swings",IF(AND(ISNUMBER(L505),ISNUMBER(K505),L505&gt;K505),"Check: correct &gt; assessed decisions",IF(AND(ISNUMBER(N505),ISNUMBER(M505),N505&gt;M505),"Check: intended &gt; assessed landings",IF(AND(ISNUMBER(J505),I505=""),"Check: solid contacts without swings","OK"))))))</f>
        <v/>
      </c>
    </row>
    <row r="506" customFormat="false" ht="15" hidden="false" customHeight="false" outlineLevel="0" collapsed="false">
      <c r="B506" s="26"/>
      <c r="C506" s="27"/>
      <c r="D506" s="28" t="str">
        <f aca="false">IF(C506="","",IFERROR(INDEX(Players!$C$5:$C$104,MATCH(C506,Players!$B$5:$B$104,0)),"ID not found"))</f>
        <v/>
      </c>
      <c r="E506" s="27"/>
      <c r="F506" s="27"/>
      <c r="G506" s="28" t="str">
        <f aca="false">IF(F506="","",IFERROR(INDEX('Hitting Drills'!$D$6:$D$45,MATCH(F506,'Hitting Drills'!$B$6:$B$45,0)),"Not a hitting drill ID"))</f>
        <v/>
      </c>
      <c r="H506" s="27"/>
      <c r="I506" s="27"/>
      <c r="J506" s="27"/>
      <c r="K506" s="27"/>
      <c r="L506" s="27"/>
      <c r="M506" s="27"/>
      <c r="N506" s="27"/>
      <c r="O506" s="27"/>
      <c r="P506" s="27"/>
      <c r="Q506" s="27"/>
      <c r="R506" s="27"/>
      <c r="S506" s="29" t="str">
        <f aca="false">IF(OR(B506="",C506=""),"",IF(COUNTIFS($B$5:B506,B506,$C$5:C506,C506)=1,1,0))</f>
        <v/>
      </c>
      <c r="T506" s="29" t="str">
        <f aca="false">IF(OR(B506="",C506="",E506=""),"",IF(COUNTIFS($B$5:B506,B506,$C$5:C506,C506,$E$5:E506,E506)=1,1,0))</f>
        <v/>
      </c>
      <c r="U506" s="28" t="str">
        <f aca="false">IF(COUNTA(B506:C506,E506:F506,H506:P506)=0,"",IF(OR(B506="",C506="",E506=""),"Check: date, player, and context required",IF(AND(ISNUMBER(J506),ISNUMBER(I506),J506&gt;I506),"Check: solid contacts &gt; swings",IF(AND(ISNUMBER(L506),ISNUMBER(K506),L506&gt;K506),"Check: correct &gt; assessed decisions",IF(AND(ISNUMBER(N506),ISNUMBER(M506),N506&gt;M506),"Check: intended &gt; assessed landings",IF(AND(ISNUMBER(J506),I506=""),"Check: solid contacts without swings","OK"))))))</f>
        <v/>
      </c>
    </row>
    <row r="507" customFormat="false" ht="15" hidden="false" customHeight="false" outlineLevel="0" collapsed="false">
      <c r="B507" s="26"/>
      <c r="C507" s="27"/>
      <c r="D507" s="28" t="str">
        <f aca="false">IF(C507="","",IFERROR(INDEX(Players!$C$5:$C$104,MATCH(C507,Players!$B$5:$B$104,0)),"ID not found"))</f>
        <v/>
      </c>
      <c r="E507" s="27"/>
      <c r="F507" s="27"/>
      <c r="G507" s="28" t="str">
        <f aca="false">IF(F507="","",IFERROR(INDEX('Hitting Drills'!$D$6:$D$45,MATCH(F507,'Hitting Drills'!$B$6:$B$45,0)),"Not a hitting drill ID"))</f>
        <v/>
      </c>
      <c r="H507" s="27"/>
      <c r="I507" s="27"/>
      <c r="J507" s="27"/>
      <c r="K507" s="27"/>
      <c r="L507" s="27"/>
      <c r="M507" s="27"/>
      <c r="N507" s="27"/>
      <c r="O507" s="27"/>
      <c r="P507" s="27"/>
      <c r="Q507" s="27"/>
      <c r="R507" s="27"/>
      <c r="S507" s="29" t="str">
        <f aca="false">IF(OR(B507="",C507=""),"",IF(COUNTIFS($B$5:B507,B507,$C$5:C507,C507)=1,1,0))</f>
        <v/>
      </c>
      <c r="T507" s="29" t="str">
        <f aca="false">IF(OR(B507="",C507="",E507=""),"",IF(COUNTIFS($B$5:B507,B507,$C$5:C507,C507,$E$5:E507,E507)=1,1,0))</f>
        <v/>
      </c>
      <c r="U507" s="28" t="str">
        <f aca="false">IF(COUNTA(B507:C507,E507:F507,H507:P507)=0,"",IF(OR(B507="",C507="",E507=""),"Check: date, player, and context required",IF(AND(ISNUMBER(J507),ISNUMBER(I507),J507&gt;I507),"Check: solid contacts &gt; swings",IF(AND(ISNUMBER(L507),ISNUMBER(K507),L507&gt;K507),"Check: correct &gt; assessed decisions",IF(AND(ISNUMBER(N507),ISNUMBER(M507),N507&gt;M507),"Check: intended &gt; assessed landings",IF(AND(ISNUMBER(J507),I507=""),"Check: solid contacts without swings","OK"))))))</f>
        <v/>
      </c>
    </row>
    <row r="508" customFormat="false" ht="15" hidden="false" customHeight="false" outlineLevel="0" collapsed="false">
      <c r="B508" s="26"/>
      <c r="C508" s="27"/>
      <c r="D508" s="28" t="str">
        <f aca="false">IF(C508="","",IFERROR(INDEX(Players!$C$5:$C$104,MATCH(C508,Players!$B$5:$B$104,0)),"ID not found"))</f>
        <v/>
      </c>
      <c r="E508" s="27"/>
      <c r="F508" s="27"/>
      <c r="G508" s="28" t="str">
        <f aca="false">IF(F508="","",IFERROR(INDEX('Hitting Drills'!$D$6:$D$45,MATCH(F508,'Hitting Drills'!$B$6:$B$45,0)),"Not a hitting drill ID"))</f>
        <v/>
      </c>
      <c r="H508" s="27"/>
      <c r="I508" s="27"/>
      <c r="J508" s="27"/>
      <c r="K508" s="27"/>
      <c r="L508" s="27"/>
      <c r="M508" s="27"/>
      <c r="N508" s="27"/>
      <c r="O508" s="27"/>
      <c r="P508" s="27"/>
      <c r="Q508" s="27"/>
      <c r="R508" s="27"/>
      <c r="S508" s="29" t="str">
        <f aca="false">IF(OR(B508="",C508=""),"",IF(COUNTIFS($B$5:B508,B508,$C$5:C508,C508)=1,1,0))</f>
        <v/>
      </c>
      <c r="T508" s="29" t="str">
        <f aca="false">IF(OR(B508="",C508="",E508=""),"",IF(COUNTIFS($B$5:B508,B508,$C$5:C508,C508,$E$5:E508,E508)=1,1,0))</f>
        <v/>
      </c>
      <c r="U508" s="28" t="str">
        <f aca="false">IF(COUNTA(B508:C508,E508:F508,H508:P508)=0,"",IF(OR(B508="",C508="",E508=""),"Check: date, player, and context required",IF(AND(ISNUMBER(J508),ISNUMBER(I508),J508&gt;I508),"Check: solid contacts &gt; swings",IF(AND(ISNUMBER(L508),ISNUMBER(K508),L508&gt;K508),"Check: correct &gt; assessed decisions",IF(AND(ISNUMBER(N508),ISNUMBER(M508),N508&gt;M508),"Check: intended &gt; assessed landings",IF(AND(ISNUMBER(J508),I508=""),"Check: solid contacts without swings","OK"))))))</f>
        <v/>
      </c>
    </row>
    <row r="509" customFormat="false" ht="15" hidden="false" customHeight="false" outlineLevel="0" collapsed="false">
      <c r="B509" s="26"/>
      <c r="C509" s="27"/>
      <c r="D509" s="28" t="str">
        <f aca="false">IF(C509="","",IFERROR(INDEX(Players!$C$5:$C$104,MATCH(C509,Players!$B$5:$B$104,0)),"ID not found"))</f>
        <v/>
      </c>
      <c r="E509" s="27"/>
      <c r="F509" s="27"/>
      <c r="G509" s="28" t="str">
        <f aca="false">IF(F509="","",IFERROR(INDEX('Hitting Drills'!$D$6:$D$45,MATCH(F509,'Hitting Drills'!$B$6:$B$45,0)),"Not a hitting drill ID"))</f>
        <v/>
      </c>
      <c r="H509" s="27"/>
      <c r="I509" s="27"/>
      <c r="J509" s="27"/>
      <c r="K509" s="27"/>
      <c r="L509" s="27"/>
      <c r="M509" s="27"/>
      <c r="N509" s="27"/>
      <c r="O509" s="27"/>
      <c r="P509" s="27"/>
      <c r="Q509" s="27"/>
      <c r="R509" s="27"/>
      <c r="S509" s="29" t="str">
        <f aca="false">IF(OR(B509="",C509=""),"",IF(COUNTIFS($B$5:B509,B509,$C$5:C509,C509)=1,1,0))</f>
        <v/>
      </c>
      <c r="T509" s="29" t="str">
        <f aca="false">IF(OR(B509="",C509="",E509=""),"",IF(COUNTIFS($B$5:B509,B509,$C$5:C509,C509,$E$5:E509,E509)=1,1,0))</f>
        <v/>
      </c>
      <c r="U509" s="28" t="str">
        <f aca="false">IF(COUNTA(B509:C509,E509:F509,H509:P509)=0,"",IF(OR(B509="",C509="",E509=""),"Check: date, player, and context required",IF(AND(ISNUMBER(J509),ISNUMBER(I509),J509&gt;I509),"Check: solid contacts &gt; swings",IF(AND(ISNUMBER(L509),ISNUMBER(K509),L509&gt;K509),"Check: correct &gt; assessed decisions",IF(AND(ISNUMBER(N509),ISNUMBER(M509),N509&gt;M509),"Check: intended &gt; assessed landings",IF(AND(ISNUMBER(J509),I509=""),"Check: solid contacts without swings","OK"))))))</f>
        <v/>
      </c>
    </row>
    <row r="510" customFormat="false" ht="15" hidden="false" customHeight="false" outlineLevel="0" collapsed="false">
      <c r="B510" s="26"/>
      <c r="C510" s="27"/>
      <c r="D510" s="28" t="str">
        <f aca="false">IF(C510="","",IFERROR(INDEX(Players!$C$5:$C$104,MATCH(C510,Players!$B$5:$B$104,0)),"ID not found"))</f>
        <v/>
      </c>
      <c r="E510" s="27"/>
      <c r="F510" s="27"/>
      <c r="G510" s="28" t="str">
        <f aca="false">IF(F510="","",IFERROR(INDEX('Hitting Drills'!$D$6:$D$45,MATCH(F510,'Hitting Drills'!$B$6:$B$45,0)),"Not a hitting drill ID"))</f>
        <v/>
      </c>
      <c r="H510" s="27"/>
      <c r="I510" s="27"/>
      <c r="J510" s="27"/>
      <c r="K510" s="27"/>
      <c r="L510" s="27"/>
      <c r="M510" s="27"/>
      <c r="N510" s="27"/>
      <c r="O510" s="27"/>
      <c r="P510" s="27"/>
      <c r="Q510" s="27"/>
      <c r="R510" s="27"/>
      <c r="S510" s="29" t="str">
        <f aca="false">IF(OR(B510="",C510=""),"",IF(COUNTIFS($B$5:B510,B510,$C$5:C510,C510)=1,1,0))</f>
        <v/>
      </c>
      <c r="T510" s="29" t="str">
        <f aca="false">IF(OR(B510="",C510="",E510=""),"",IF(COUNTIFS($B$5:B510,B510,$C$5:C510,C510,$E$5:E510,E510)=1,1,0))</f>
        <v/>
      </c>
      <c r="U510" s="28" t="str">
        <f aca="false">IF(COUNTA(B510:C510,E510:F510,H510:P510)=0,"",IF(OR(B510="",C510="",E510=""),"Check: date, player, and context required",IF(AND(ISNUMBER(J510),ISNUMBER(I510),J510&gt;I510),"Check: solid contacts &gt; swings",IF(AND(ISNUMBER(L510),ISNUMBER(K510),L510&gt;K510),"Check: correct &gt; assessed decisions",IF(AND(ISNUMBER(N510),ISNUMBER(M510),N510&gt;M510),"Check: intended &gt; assessed landings",IF(AND(ISNUMBER(J510),I510=""),"Check: solid contacts without swings","OK"))))))</f>
        <v/>
      </c>
    </row>
    <row r="511" customFormat="false" ht="15" hidden="false" customHeight="false" outlineLevel="0" collapsed="false">
      <c r="B511" s="26"/>
      <c r="C511" s="27"/>
      <c r="D511" s="28" t="str">
        <f aca="false">IF(C511="","",IFERROR(INDEX(Players!$C$5:$C$104,MATCH(C511,Players!$B$5:$B$104,0)),"ID not found"))</f>
        <v/>
      </c>
      <c r="E511" s="27"/>
      <c r="F511" s="27"/>
      <c r="G511" s="28" t="str">
        <f aca="false">IF(F511="","",IFERROR(INDEX('Hitting Drills'!$D$6:$D$45,MATCH(F511,'Hitting Drills'!$B$6:$B$45,0)),"Not a hitting drill ID"))</f>
        <v/>
      </c>
      <c r="H511" s="27"/>
      <c r="I511" s="27"/>
      <c r="J511" s="27"/>
      <c r="K511" s="27"/>
      <c r="L511" s="27"/>
      <c r="M511" s="27"/>
      <c r="N511" s="27"/>
      <c r="O511" s="27"/>
      <c r="P511" s="27"/>
      <c r="Q511" s="27"/>
      <c r="R511" s="27"/>
      <c r="S511" s="29" t="str">
        <f aca="false">IF(OR(B511="",C511=""),"",IF(COUNTIFS($B$5:B511,B511,$C$5:C511,C511)=1,1,0))</f>
        <v/>
      </c>
      <c r="T511" s="29" t="str">
        <f aca="false">IF(OR(B511="",C511="",E511=""),"",IF(COUNTIFS($B$5:B511,B511,$C$5:C511,C511,$E$5:E511,E511)=1,1,0))</f>
        <v/>
      </c>
      <c r="U511" s="28" t="str">
        <f aca="false">IF(COUNTA(B511:C511,E511:F511,H511:P511)=0,"",IF(OR(B511="",C511="",E511=""),"Check: date, player, and context required",IF(AND(ISNUMBER(J511),ISNUMBER(I511),J511&gt;I511),"Check: solid contacts &gt; swings",IF(AND(ISNUMBER(L511),ISNUMBER(K511),L511&gt;K511),"Check: correct &gt; assessed decisions",IF(AND(ISNUMBER(N511),ISNUMBER(M511),N511&gt;M511),"Check: intended &gt; assessed landings",IF(AND(ISNUMBER(J511),I511=""),"Check: solid contacts without swings","OK"))))))</f>
        <v/>
      </c>
    </row>
    <row r="512" customFormat="false" ht="15" hidden="false" customHeight="false" outlineLevel="0" collapsed="false">
      <c r="B512" s="26"/>
      <c r="C512" s="27"/>
      <c r="D512" s="28" t="str">
        <f aca="false">IF(C512="","",IFERROR(INDEX(Players!$C$5:$C$104,MATCH(C512,Players!$B$5:$B$104,0)),"ID not found"))</f>
        <v/>
      </c>
      <c r="E512" s="27"/>
      <c r="F512" s="27"/>
      <c r="G512" s="28" t="str">
        <f aca="false">IF(F512="","",IFERROR(INDEX('Hitting Drills'!$D$6:$D$45,MATCH(F512,'Hitting Drills'!$B$6:$B$45,0)),"Not a hitting drill ID"))</f>
        <v/>
      </c>
      <c r="H512" s="27"/>
      <c r="I512" s="27"/>
      <c r="J512" s="27"/>
      <c r="K512" s="27"/>
      <c r="L512" s="27"/>
      <c r="M512" s="27"/>
      <c r="N512" s="27"/>
      <c r="O512" s="27"/>
      <c r="P512" s="27"/>
      <c r="Q512" s="27"/>
      <c r="R512" s="27"/>
      <c r="S512" s="29" t="str">
        <f aca="false">IF(OR(B512="",C512=""),"",IF(COUNTIFS($B$5:B512,B512,$C$5:C512,C512)=1,1,0))</f>
        <v/>
      </c>
      <c r="T512" s="29" t="str">
        <f aca="false">IF(OR(B512="",C512="",E512=""),"",IF(COUNTIFS($B$5:B512,B512,$C$5:C512,C512,$E$5:E512,E512)=1,1,0))</f>
        <v/>
      </c>
      <c r="U512" s="28" t="str">
        <f aca="false">IF(COUNTA(B512:C512,E512:F512,H512:P512)=0,"",IF(OR(B512="",C512="",E512=""),"Check: date, player, and context required",IF(AND(ISNUMBER(J512),ISNUMBER(I512),J512&gt;I512),"Check: solid contacts &gt; swings",IF(AND(ISNUMBER(L512),ISNUMBER(K512),L512&gt;K512),"Check: correct &gt; assessed decisions",IF(AND(ISNUMBER(N512),ISNUMBER(M512),N512&gt;M512),"Check: intended &gt; assessed landings",IF(AND(ISNUMBER(J512),I512=""),"Check: solid contacts without swings","OK"))))))</f>
        <v/>
      </c>
    </row>
    <row r="513" customFormat="false" ht="15" hidden="false" customHeight="false" outlineLevel="0" collapsed="false">
      <c r="B513" s="26"/>
      <c r="C513" s="27"/>
      <c r="D513" s="28" t="str">
        <f aca="false">IF(C513="","",IFERROR(INDEX(Players!$C$5:$C$104,MATCH(C513,Players!$B$5:$B$104,0)),"ID not found"))</f>
        <v/>
      </c>
      <c r="E513" s="27"/>
      <c r="F513" s="27"/>
      <c r="G513" s="28" t="str">
        <f aca="false">IF(F513="","",IFERROR(INDEX('Hitting Drills'!$D$6:$D$45,MATCH(F513,'Hitting Drills'!$B$6:$B$45,0)),"Not a hitting drill ID"))</f>
        <v/>
      </c>
      <c r="H513" s="27"/>
      <c r="I513" s="27"/>
      <c r="J513" s="27"/>
      <c r="K513" s="27"/>
      <c r="L513" s="27"/>
      <c r="M513" s="27"/>
      <c r="N513" s="27"/>
      <c r="O513" s="27"/>
      <c r="P513" s="27"/>
      <c r="Q513" s="27"/>
      <c r="R513" s="27"/>
      <c r="S513" s="29" t="str">
        <f aca="false">IF(OR(B513="",C513=""),"",IF(COUNTIFS($B$5:B513,B513,$C$5:C513,C513)=1,1,0))</f>
        <v/>
      </c>
      <c r="T513" s="29" t="str">
        <f aca="false">IF(OR(B513="",C513="",E513=""),"",IF(COUNTIFS($B$5:B513,B513,$C$5:C513,C513,$E$5:E513,E513)=1,1,0))</f>
        <v/>
      </c>
      <c r="U513" s="28" t="str">
        <f aca="false">IF(COUNTA(B513:C513,E513:F513,H513:P513)=0,"",IF(OR(B513="",C513="",E513=""),"Check: date, player, and context required",IF(AND(ISNUMBER(J513),ISNUMBER(I513),J513&gt;I513),"Check: solid contacts &gt; swings",IF(AND(ISNUMBER(L513),ISNUMBER(K513),L513&gt;K513),"Check: correct &gt; assessed decisions",IF(AND(ISNUMBER(N513),ISNUMBER(M513),N513&gt;M513),"Check: intended &gt; assessed landings",IF(AND(ISNUMBER(J513),I513=""),"Check: solid contacts without swings","OK"))))))</f>
        <v/>
      </c>
    </row>
    <row r="514" customFormat="false" ht="15" hidden="false" customHeight="false" outlineLevel="0" collapsed="false">
      <c r="B514" s="26"/>
      <c r="C514" s="27"/>
      <c r="D514" s="28" t="str">
        <f aca="false">IF(C514="","",IFERROR(INDEX(Players!$C$5:$C$104,MATCH(C514,Players!$B$5:$B$104,0)),"ID not found"))</f>
        <v/>
      </c>
      <c r="E514" s="27"/>
      <c r="F514" s="27"/>
      <c r="G514" s="28" t="str">
        <f aca="false">IF(F514="","",IFERROR(INDEX('Hitting Drills'!$D$6:$D$45,MATCH(F514,'Hitting Drills'!$B$6:$B$45,0)),"Not a hitting drill ID"))</f>
        <v/>
      </c>
      <c r="H514" s="27"/>
      <c r="I514" s="27"/>
      <c r="J514" s="27"/>
      <c r="K514" s="27"/>
      <c r="L514" s="27"/>
      <c r="M514" s="27"/>
      <c r="N514" s="27"/>
      <c r="O514" s="27"/>
      <c r="P514" s="27"/>
      <c r="Q514" s="27"/>
      <c r="R514" s="27"/>
      <c r="S514" s="29" t="str">
        <f aca="false">IF(OR(B514="",C514=""),"",IF(COUNTIFS($B$5:B514,B514,$C$5:C514,C514)=1,1,0))</f>
        <v/>
      </c>
      <c r="T514" s="29" t="str">
        <f aca="false">IF(OR(B514="",C514="",E514=""),"",IF(COUNTIFS($B$5:B514,B514,$C$5:C514,C514,$E$5:E514,E514)=1,1,0))</f>
        <v/>
      </c>
      <c r="U514" s="28" t="str">
        <f aca="false">IF(COUNTA(B514:C514,E514:F514,H514:P514)=0,"",IF(OR(B514="",C514="",E514=""),"Check: date, player, and context required",IF(AND(ISNUMBER(J514),ISNUMBER(I514),J514&gt;I514),"Check: solid contacts &gt; swings",IF(AND(ISNUMBER(L514),ISNUMBER(K514),L514&gt;K514),"Check: correct &gt; assessed decisions",IF(AND(ISNUMBER(N514),ISNUMBER(M514),N514&gt;M514),"Check: intended &gt; assessed landings",IF(AND(ISNUMBER(J514),I514=""),"Check: solid contacts without swings","OK"))))))</f>
        <v/>
      </c>
    </row>
    <row r="515" customFormat="false" ht="15" hidden="false" customHeight="false" outlineLevel="0" collapsed="false">
      <c r="B515" s="26"/>
      <c r="C515" s="27"/>
      <c r="D515" s="28" t="str">
        <f aca="false">IF(C515="","",IFERROR(INDEX(Players!$C$5:$C$104,MATCH(C515,Players!$B$5:$B$104,0)),"ID not found"))</f>
        <v/>
      </c>
      <c r="E515" s="27"/>
      <c r="F515" s="27"/>
      <c r="G515" s="28" t="str">
        <f aca="false">IF(F515="","",IFERROR(INDEX('Hitting Drills'!$D$6:$D$45,MATCH(F515,'Hitting Drills'!$B$6:$B$45,0)),"Not a hitting drill ID"))</f>
        <v/>
      </c>
      <c r="H515" s="27"/>
      <c r="I515" s="27"/>
      <c r="J515" s="27"/>
      <c r="K515" s="27"/>
      <c r="L515" s="27"/>
      <c r="M515" s="27"/>
      <c r="N515" s="27"/>
      <c r="O515" s="27"/>
      <c r="P515" s="27"/>
      <c r="Q515" s="27"/>
      <c r="R515" s="27"/>
      <c r="S515" s="29" t="str">
        <f aca="false">IF(OR(B515="",C515=""),"",IF(COUNTIFS($B$5:B515,B515,$C$5:C515,C515)=1,1,0))</f>
        <v/>
      </c>
      <c r="T515" s="29" t="str">
        <f aca="false">IF(OR(B515="",C515="",E515=""),"",IF(COUNTIFS($B$5:B515,B515,$C$5:C515,C515,$E$5:E515,E515)=1,1,0))</f>
        <v/>
      </c>
      <c r="U515" s="28" t="str">
        <f aca="false">IF(COUNTA(B515:C515,E515:F515,H515:P515)=0,"",IF(OR(B515="",C515="",E515=""),"Check: date, player, and context required",IF(AND(ISNUMBER(J515),ISNUMBER(I515),J515&gt;I515),"Check: solid contacts &gt; swings",IF(AND(ISNUMBER(L515),ISNUMBER(K515),L515&gt;K515),"Check: correct &gt; assessed decisions",IF(AND(ISNUMBER(N515),ISNUMBER(M515),N515&gt;M515),"Check: intended &gt; assessed landings",IF(AND(ISNUMBER(J515),I515=""),"Check: solid contacts without swings","OK"))))))</f>
        <v/>
      </c>
    </row>
    <row r="516" customFormat="false" ht="15" hidden="false" customHeight="false" outlineLevel="0" collapsed="false">
      <c r="B516" s="26"/>
      <c r="C516" s="27"/>
      <c r="D516" s="28" t="str">
        <f aca="false">IF(C516="","",IFERROR(INDEX(Players!$C$5:$C$104,MATCH(C516,Players!$B$5:$B$104,0)),"ID not found"))</f>
        <v/>
      </c>
      <c r="E516" s="27"/>
      <c r="F516" s="27"/>
      <c r="G516" s="28" t="str">
        <f aca="false">IF(F516="","",IFERROR(INDEX('Hitting Drills'!$D$6:$D$45,MATCH(F516,'Hitting Drills'!$B$6:$B$45,0)),"Not a hitting drill ID"))</f>
        <v/>
      </c>
      <c r="H516" s="27"/>
      <c r="I516" s="27"/>
      <c r="J516" s="27"/>
      <c r="K516" s="27"/>
      <c r="L516" s="27"/>
      <c r="M516" s="27"/>
      <c r="N516" s="27"/>
      <c r="O516" s="27"/>
      <c r="P516" s="27"/>
      <c r="Q516" s="27"/>
      <c r="R516" s="27"/>
      <c r="S516" s="29" t="str">
        <f aca="false">IF(OR(B516="",C516=""),"",IF(COUNTIFS($B$5:B516,B516,$C$5:C516,C516)=1,1,0))</f>
        <v/>
      </c>
      <c r="T516" s="29" t="str">
        <f aca="false">IF(OR(B516="",C516="",E516=""),"",IF(COUNTIFS($B$5:B516,B516,$C$5:C516,C516,$E$5:E516,E516)=1,1,0))</f>
        <v/>
      </c>
      <c r="U516" s="28" t="str">
        <f aca="false">IF(COUNTA(B516:C516,E516:F516,H516:P516)=0,"",IF(OR(B516="",C516="",E516=""),"Check: date, player, and context required",IF(AND(ISNUMBER(J516),ISNUMBER(I516),J516&gt;I516),"Check: solid contacts &gt; swings",IF(AND(ISNUMBER(L516),ISNUMBER(K516),L516&gt;K516),"Check: correct &gt; assessed decisions",IF(AND(ISNUMBER(N516),ISNUMBER(M516),N516&gt;M516),"Check: intended &gt; assessed landings",IF(AND(ISNUMBER(J516),I516=""),"Check: solid contacts without swings","OK"))))))</f>
        <v/>
      </c>
    </row>
    <row r="517" customFormat="false" ht="15" hidden="false" customHeight="false" outlineLevel="0" collapsed="false">
      <c r="B517" s="26"/>
      <c r="C517" s="27"/>
      <c r="D517" s="28" t="str">
        <f aca="false">IF(C517="","",IFERROR(INDEX(Players!$C$5:$C$104,MATCH(C517,Players!$B$5:$B$104,0)),"ID not found"))</f>
        <v/>
      </c>
      <c r="E517" s="27"/>
      <c r="F517" s="27"/>
      <c r="G517" s="28" t="str">
        <f aca="false">IF(F517="","",IFERROR(INDEX('Hitting Drills'!$D$6:$D$45,MATCH(F517,'Hitting Drills'!$B$6:$B$45,0)),"Not a hitting drill ID"))</f>
        <v/>
      </c>
      <c r="H517" s="27"/>
      <c r="I517" s="27"/>
      <c r="J517" s="27"/>
      <c r="K517" s="27"/>
      <c r="L517" s="27"/>
      <c r="M517" s="27"/>
      <c r="N517" s="27"/>
      <c r="O517" s="27"/>
      <c r="P517" s="27"/>
      <c r="Q517" s="27"/>
      <c r="R517" s="27"/>
      <c r="S517" s="29" t="str">
        <f aca="false">IF(OR(B517="",C517=""),"",IF(COUNTIFS($B$5:B517,B517,$C$5:C517,C517)=1,1,0))</f>
        <v/>
      </c>
      <c r="T517" s="29" t="str">
        <f aca="false">IF(OR(B517="",C517="",E517=""),"",IF(COUNTIFS($B$5:B517,B517,$C$5:C517,C517,$E$5:E517,E517)=1,1,0))</f>
        <v/>
      </c>
      <c r="U517" s="28" t="str">
        <f aca="false">IF(COUNTA(B517:C517,E517:F517,H517:P517)=0,"",IF(OR(B517="",C517="",E517=""),"Check: date, player, and context required",IF(AND(ISNUMBER(J517),ISNUMBER(I517),J517&gt;I517),"Check: solid contacts &gt; swings",IF(AND(ISNUMBER(L517),ISNUMBER(K517),L517&gt;K517),"Check: correct &gt; assessed decisions",IF(AND(ISNUMBER(N517),ISNUMBER(M517),N517&gt;M517),"Check: intended &gt; assessed landings",IF(AND(ISNUMBER(J517),I517=""),"Check: solid contacts without swings","OK"))))))</f>
        <v/>
      </c>
    </row>
    <row r="518" customFormat="false" ht="15" hidden="false" customHeight="false" outlineLevel="0" collapsed="false">
      <c r="B518" s="26"/>
      <c r="C518" s="27"/>
      <c r="D518" s="28" t="str">
        <f aca="false">IF(C518="","",IFERROR(INDEX(Players!$C$5:$C$104,MATCH(C518,Players!$B$5:$B$104,0)),"ID not found"))</f>
        <v/>
      </c>
      <c r="E518" s="27"/>
      <c r="F518" s="27"/>
      <c r="G518" s="28" t="str">
        <f aca="false">IF(F518="","",IFERROR(INDEX('Hitting Drills'!$D$6:$D$45,MATCH(F518,'Hitting Drills'!$B$6:$B$45,0)),"Not a hitting drill ID"))</f>
        <v/>
      </c>
      <c r="H518" s="27"/>
      <c r="I518" s="27"/>
      <c r="J518" s="27"/>
      <c r="K518" s="27"/>
      <c r="L518" s="27"/>
      <c r="M518" s="27"/>
      <c r="N518" s="27"/>
      <c r="O518" s="27"/>
      <c r="P518" s="27"/>
      <c r="Q518" s="27"/>
      <c r="R518" s="27"/>
      <c r="S518" s="29" t="str">
        <f aca="false">IF(OR(B518="",C518=""),"",IF(COUNTIFS($B$5:B518,B518,$C$5:C518,C518)=1,1,0))</f>
        <v/>
      </c>
      <c r="T518" s="29" t="str">
        <f aca="false">IF(OR(B518="",C518="",E518=""),"",IF(COUNTIFS($B$5:B518,B518,$C$5:C518,C518,$E$5:E518,E518)=1,1,0))</f>
        <v/>
      </c>
      <c r="U518" s="28" t="str">
        <f aca="false">IF(COUNTA(B518:C518,E518:F518,H518:P518)=0,"",IF(OR(B518="",C518="",E518=""),"Check: date, player, and context required",IF(AND(ISNUMBER(J518),ISNUMBER(I518),J518&gt;I518),"Check: solid contacts &gt; swings",IF(AND(ISNUMBER(L518),ISNUMBER(K518),L518&gt;K518),"Check: correct &gt; assessed decisions",IF(AND(ISNUMBER(N518),ISNUMBER(M518),N518&gt;M518),"Check: intended &gt; assessed landings",IF(AND(ISNUMBER(J518),I518=""),"Check: solid contacts without swings","OK"))))))</f>
        <v/>
      </c>
    </row>
    <row r="519" customFormat="false" ht="15" hidden="false" customHeight="false" outlineLevel="0" collapsed="false">
      <c r="B519" s="26"/>
      <c r="C519" s="27"/>
      <c r="D519" s="28" t="str">
        <f aca="false">IF(C519="","",IFERROR(INDEX(Players!$C$5:$C$104,MATCH(C519,Players!$B$5:$B$104,0)),"ID not found"))</f>
        <v/>
      </c>
      <c r="E519" s="27"/>
      <c r="F519" s="27"/>
      <c r="G519" s="28" t="str">
        <f aca="false">IF(F519="","",IFERROR(INDEX('Hitting Drills'!$D$6:$D$45,MATCH(F519,'Hitting Drills'!$B$6:$B$45,0)),"Not a hitting drill ID"))</f>
        <v/>
      </c>
      <c r="H519" s="27"/>
      <c r="I519" s="27"/>
      <c r="J519" s="27"/>
      <c r="K519" s="27"/>
      <c r="L519" s="27"/>
      <c r="M519" s="27"/>
      <c r="N519" s="27"/>
      <c r="O519" s="27"/>
      <c r="P519" s="27"/>
      <c r="Q519" s="27"/>
      <c r="R519" s="27"/>
      <c r="S519" s="29" t="str">
        <f aca="false">IF(OR(B519="",C519=""),"",IF(COUNTIFS($B$5:B519,B519,$C$5:C519,C519)=1,1,0))</f>
        <v/>
      </c>
      <c r="T519" s="29" t="str">
        <f aca="false">IF(OR(B519="",C519="",E519=""),"",IF(COUNTIFS($B$5:B519,B519,$C$5:C519,C519,$E$5:E519,E519)=1,1,0))</f>
        <v/>
      </c>
      <c r="U519" s="28" t="str">
        <f aca="false">IF(COUNTA(B519:C519,E519:F519,H519:P519)=0,"",IF(OR(B519="",C519="",E519=""),"Check: date, player, and context required",IF(AND(ISNUMBER(J519),ISNUMBER(I519),J519&gt;I519),"Check: solid contacts &gt; swings",IF(AND(ISNUMBER(L519),ISNUMBER(K519),L519&gt;K519),"Check: correct &gt; assessed decisions",IF(AND(ISNUMBER(N519),ISNUMBER(M519),N519&gt;M519),"Check: intended &gt; assessed landings",IF(AND(ISNUMBER(J519),I519=""),"Check: solid contacts without swings","OK"))))))</f>
        <v/>
      </c>
    </row>
    <row r="520" customFormat="false" ht="15" hidden="false" customHeight="false" outlineLevel="0" collapsed="false">
      <c r="B520" s="26"/>
      <c r="C520" s="27"/>
      <c r="D520" s="28" t="str">
        <f aca="false">IF(C520="","",IFERROR(INDEX(Players!$C$5:$C$104,MATCH(C520,Players!$B$5:$B$104,0)),"ID not found"))</f>
        <v/>
      </c>
      <c r="E520" s="27"/>
      <c r="F520" s="27"/>
      <c r="G520" s="28" t="str">
        <f aca="false">IF(F520="","",IFERROR(INDEX('Hitting Drills'!$D$6:$D$45,MATCH(F520,'Hitting Drills'!$B$6:$B$45,0)),"Not a hitting drill ID"))</f>
        <v/>
      </c>
      <c r="H520" s="27"/>
      <c r="I520" s="27"/>
      <c r="J520" s="27"/>
      <c r="K520" s="27"/>
      <c r="L520" s="27"/>
      <c r="M520" s="27"/>
      <c r="N520" s="27"/>
      <c r="O520" s="27"/>
      <c r="P520" s="27"/>
      <c r="Q520" s="27"/>
      <c r="R520" s="27"/>
      <c r="S520" s="29" t="str">
        <f aca="false">IF(OR(B520="",C520=""),"",IF(COUNTIFS($B$5:B520,B520,$C$5:C520,C520)=1,1,0))</f>
        <v/>
      </c>
      <c r="T520" s="29" t="str">
        <f aca="false">IF(OR(B520="",C520="",E520=""),"",IF(COUNTIFS($B$5:B520,B520,$C$5:C520,C520,$E$5:E520,E520)=1,1,0))</f>
        <v/>
      </c>
      <c r="U520" s="28" t="str">
        <f aca="false">IF(COUNTA(B520:C520,E520:F520,H520:P520)=0,"",IF(OR(B520="",C520="",E520=""),"Check: date, player, and context required",IF(AND(ISNUMBER(J520),ISNUMBER(I520),J520&gt;I520),"Check: solid contacts &gt; swings",IF(AND(ISNUMBER(L520),ISNUMBER(K520),L520&gt;K520),"Check: correct &gt; assessed decisions",IF(AND(ISNUMBER(N520),ISNUMBER(M520),N520&gt;M520),"Check: intended &gt; assessed landings",IF(AND(ISNUMBER(J520),I520=""),"Check: solid contacts without swings","OK"))))))</f>
        <v/>
      </c>
    </row>
    <row r="521" customFormat="false" ht="15" hidden="false" customHeight="false" outlineLevel="0" collapsed="false">
      <c r="B521" s="26"/>
      <c r="C521" s="27"/>
      <c r="D521" s="28" t="str">
        <f aca="false">IF(C521="","",IFERROR(INDEX(Players!$C$5:$C$104,MATCH(C521,Players!$B$5:$B$104,0)),"ID not found"))</f>
        <v/>
      </c>
      <c r="E521" s="27"/>
      <c r="F521" s="27"/>
      <c r="G521" s="28" t="str">
        <f aca="false">IF(F521="","",IFERROR(INDEX('Hitting Drills'!$D$6:$D$45,MATCH(F521,'Hitting Drills'!$B$6:$B$45,0)),"Not a hitting drill ID"))</f>
        <v/>
      </c>
      <c r="H521" s="27"/>
      <c r="I521" s="27"/>
      <c r="J521" s="27"/>
      <c r="K521" s="27"/>
      <c r="L521" s="27"/>
      <c r="M521" s="27"/>
      <c r="N521" s="27"/>
      <c r="O521" s="27"/>
      <c r="P521" s="27"/>
      <c r="Q521" s="27"/>
      <c r="R521" s="27"/>
      <c r="S521" s="29" t="str">
        <f aca="false">IF(OR(B521="",C521=""),"",IF(COUNTIFS($B$5:B521,B521,$C$5:C521,C521)=1,1,0))</f>
        <v/>
      </c>
      <c r="T521" s="29" t="str">
        <f aca="false">IF(OR(B521="",C521="",E521=""),"",IF(COUNTIFS($B$5:B521,B521,$C$5:C521,C521,$E$5:E521,E521)=1,1,0))</f>
        <v/>
      </c>
      <c r="U521" s="28" t="str">
        <f aca="false">IF(COUNTA(B521:C521,E521:F521,H521:P521)=0,"",IF(OR(B521="",C521="",E521=""),"Check: date, player, and context required",IF(AND(ISNUMBER(J521),ISNUMBER(I521),J521&gt;I521),"Check: solid contacts &gt; swings",IF(AND(ISNUMBER(L521),ISNUMBER(K521),L521&gt;K521),"Check: correct &gt; assessed decisions",IF(AND(ISNUMBER(N521),ISNUMBER(M521),N521&gt;M521),"Check: intended &gt; assessed landings",IF(AND(ISNUMBER(J521),I521=""),"Check: solid contacts without swings","OK"))))))</f>
        <v/>
      </c>
    </row>
    <row r="522" customFormat="false" ht="15" hidden="false" customHeight="false" outlineLevel="0" collapsed="false">
      <c r="B522" s="26"/>
      <c r="C522" s="27"/>
      <c r="D522" s="28" t="str">
        <f aca="false">IF(C522="","",IFERROR(INDEX(Players!$C$5:$C$104,MATCH(C522,Players!$B$5:$B$104,0)),"ID not found"))</f>
        <v/>
      </c>
      <c r="E522" s="27"/>
      <c r="F522" s="27"/>
      <c r="G522" s="28" t="str">
        <f aca="false">IF(F522="","",IFERROR(INDEX('Hitting Drills'!$D$6:$D$45,MATCH(F522,'Hitting Drills'!$B$6:$B$45,0)),"Not a hitting drill ID"))</f>
        <v/>
      </c>
      <c r="H522" s="27"/>
      <c r="I522" s="27"/>
      <c r="J522" s="27"/>
      <c r="K522" s="27"/>
      <c r="L522" s="27"/>
      <c r="M522" s="27"/>
      <c r="N522" s="27"/>
      <c r="O522" s="27"/>
      <c r="P522" s="27"/>
      <c r="Q522" s="27"/>
      <c r="R522" s="27"/>
      <c r="S522" s="29" t="str">
        <f aca="false">IF(OR(B522="",C522=""),"",IF(COUNTIFS($B$5:B522,B522,$C$5:C522,C522)=1,1,0))</f>
        <v/>
      </c>
      <c r="T522" s="29" t="str">
        <f aca="false">IF(OR(B522="",C522="",E522=""),"",IF(COUNTIFS($B$5:B522,B522,$C$5:C522,C522,$E$5:E522,E522)=1,1,0))</f>
        <v/>
      </c>
      <c r="U522" s="28" t="str">
        <f aca="false">IF(COUNTA(B522:C522,E522:F522,H522:P522)=0,"",IF(OR(B522="",C522="",E522=""),"Check: date, player, and context required",IF(AND(ISNUMBER(J522),ISNUMBER(I522),J522&gt;I522),"Check: solid contacts &gt; swings",IF(AND(ISNUMBER(L522),ISNUMBER(K522),L522&gt;K522),"Check: correct &gt; assessed decisions",IF(AND(ISNUMBER(N522),ISNUMBER(M522),N522&gt;M522),"Check: intended &gt; assessed landings",IF(AND(ISNUMBER(J522),I522=""),"Check: solid contacts without swings","OK"))))))</f>
        <v/>
      </c>
    </row>
    <row r="523" customFormat="false" ht="15" hidden="false" customHeight="false" outlineLevel="0" collapsed="false">
      <c r="B523" s="26"/>
      <c r="C523" s="27"/>
      <c r="D523" s="28" t="str">
        <f aca="false">IF(C523="","",IFERROR(INDEX(Players!$C$5:$C$104,MATCH(C523,Players!$B$5:$B$104,0)),"ID not found"))</f>
        <v/>
      </c>
      <c r="E523" s="27"/>
      <c r="F523" s="27"/>
      <c r="G523" s="28" t="str">
        <f aca="false">IF(F523="","",IFERROR(INDEX('Hitting Drills'!$D$6:$D$45,MATCH(F523,'Hitting Drills'!$B$6:$B$45,0)),"Not a hitting drill ID"))</f>
        <v/>
      </c>
      <c r="H523" s="27"/>
      <c r="I523" s="27"/>
      <c r="J523" s="27"/>
      <c r="K523" s="27"/>
      <c r="L523" s="27"/>
      <c r="M523" s="27"/>
      <c r="N523" s="27"/>
      <c r="O523" s="27"/>
      <c r="P523" s="27"/>
      <c r="Q523" s="27"/>
      <c r="R523" s="27"/>
      <c r="S523" s="29" t="str">
        <f aca="false">IF(OR(B523="",C523=""),"",IF(COUNTIFS($B$5:B523,B523,$C$5:C523,C523)=1,1,0))</f>
        <v/>
      </c>
      <c r="T523" s="29" t="str">
        <f aca="false">IF(OR(B523="",C523="",E523=""),"",IF(COUNTIFS($B$5:B523,B523,$C$5:C523,C523,$E$5:E523,E523)=1,1,0))</f>
        <v/>
      </c>
      <c r="U523" s="28" t="str">
        <f aca="false">IF(COUNTA(B523:C523,E523:F523,H523:P523)=0,"",IF(OR(B523="",C523="",E523=""),"Check: date, player, and context required",IF(AND(ISNUMBER(J523),ISNUMBER(I523),J523&gt;I523),"Check: solid contacts &gt; swings",IF(AND(ISNUMBER(L523),ISNUMBER(K523),L523&gt;K523),"Check: correct &gt; assessed decisions",IF(AND(ISNUMBER(N523),ISNUMBER(M523),N523&gt;M523),"Check: intended &gt; assessed landings",IF(AND(ISNUMBER(J523),I523=""),"Check: solid contacts without swings","OK"))))))</f>
        <v/>
      </c>
    </row>
    <row r="524" customFormat="false" ht="15" hidden="false" customHeight="false" outlineLevel="0" collapsed="false">
      <c r="B524" s="26"/>
      <c r="C524" s="27"/>
      <c r="D524" s="28" t="str">
        <f aca="false">IF(C524="","",IFERROR(INDEX(Players!$C$5:$C$104,MATCH(C524,Players!$B$5:$B$104,0)),"ID not found"))</f>
        <v/>
      </c>
      <c r="E524" s="27"/>
      <c r="F524" s="27"/>
      <c r="G524" s="28" t="str">
        <f aca="false">IF(F524="","",IFERROR(INDEX('Hitting Drills'!$D$6:$D$45,MATCH(F524,'Hitting Drills'!$B$6:$B$45,0)),"Not a hitting drill ID"))</f>
        <v/>
      </c>
      <c r="H524" s="27"/>
      <c r="I524" s="27"/>
      <c r="J524" s="27"/>
      <c r="K524" s="27"/>
      <c r="L524" s="27"/>
      <c r="M524" s="27"/>
      <c r="N524" s="27"/>
      <c r="O524" s="27"/>
      <c r="P524" s="27"/>
      <c r="Q524" s="27"/>
      <c r="R524" s="27"/>
      <c r="S524" s="29" t="str">
        <f aca="false">IF(OR(B524="",C524=""),"",IF(COUNTIFS($B$5:B524,B524,$C$5:C524,C524)=1,1,0))</f>
        <v/>
      </c>
      <c r="T524" s="29" t="str">
        <f aca="false">IF(OR(B524="",C524="",E524=""),"",IF(COUNTIFS($B$5:B524,B524,$C$5:C524,C524,$E$5:E524,E524)=1,1,0))</f>
        <v/>
      </c>
      <c r="U524" s="28" t="str">
        <f aca="false">IF(COUNTA(B524:C524,E524:F524,H524:P524)=0,"",IF(OR(B524="",C524="",E524=""),"Check: date, player, and context required",IF(AND(ISNUMBER(J524),ISNUMBER(I524),J524&gt;I524),"Check: solid contacts &gt; swings",IF(AND(ISNUMBER(L524),ISNUMBER(K524),L524&gt;K524),"Check: correct &gt; assessed decisions",IF(AND(ISNUMBER(N524),ISNUMBER(M524),N524&gt;M524),"Check: intended &gt; assessed landings",IF(AND(ISNUMBER(J524),I524=""),"Check: solid contacts without swings","OK"))))))</f>
        <v/>
      </c>
    </row>
    <row r="525" customFormat="false" ht="15" hidden="false" customHeight="false" outlineLevel="0" collapsed="false">
      <c r="B525" s="26"/>
      <c r="C525" s="27"/>
      <c r="D525" s="28" t="str">
        <f aca="false">IF(C525="","",IFERROR(INDEX(Players!$C$5:$C$104,MATCH(C525,Players!$B$5:$B$104,0)),"ID not found"))</f>
        <v/>
      </c>
      <c r="E525" s="27"/>
      <c r="F525" s="27"/>
      <c r="G525" s="28" t="str">
        <f aca="false">IF(F525="","",IFERROR(INDEX('Hitting Drills'!$D$6:$D$45,MATCH(F525,'Hitting Drills'!$B$6:$B$45,0)),"Not a hitting drill ID"))</f>
        <v/>
      </c>
      <c r="H525" s="27"/>
      <c r="I525" s="27"/>
      <c r="J525" s="27"/>
      <c r="K525" s="27"/>
      <c r="L525" s="27"/>
      <c r="M525" s="27"/>
      <c r="N525" s="27"/>
      <c r="O525" s="27"/>
      <c r="P525" s="27"/>
      <c r="Q525" s="27"/>
      <c r="R525" s="27"/>
      <c r="S525" s="29" t="str">
        <f aca="false">IF(OR(B525="",C525=""),"",IF(COUNTIFS($B$5:B525,B525,$C$5:C525,C525)=1,1,0))</f>
        <v/>
      </c>
      <c r="T525" s="29" t="str">
        <f aca="false">IF(OR(B525="",C525="",E525=""),"",IF(COUNTIFS($B$5:B525,B525,$C$5:C525,C525,$E$5:E525,E525)=1,1,0))</f>
        <v/>
      </c>
      <c r="U525" s="28" t="str">
        <f aca="false">IF(COUNTA(B525:C525,E525:F525,H525:P525)=0,"",IF(OR(B525="",C525="",E525=""),"Check: date, player, and context required",IF(AND(ISNUMBER(J525),ISNUMBER(I525),J525&gt;I525),"Check: solid contacts &gt; swings",IF(AND(ISNUMBER(L525),ISNUMBER(K525),L525&gt;K525),"Check: correct &gt; assessed decisions",IF(AND(ISNUMBER(N525),ISNUMBER(M525),N525&gt;M525),"Check: intended &gt; assessed landings",IF(AND(ISNUMBER(J525),I525=""),"Check: solid contacts without swings","OK"))))))</f>
        <v/>
      </c>
    </row>
    <row r="526" customFormat="false" ht="15" hidden="false" customHeight="false" outlineLevel="0" collapsed="false">
      <c r="B526" s="26"/>
      <c r="C526" s="27"/>
      <c r="D526" s="28" t="str">
        <f aca="false">IF(C526="","",IFERROR(INDEX(Players!$C$5:$C$104,MATCH(C526,Players!$B$5:$B$104,0)),"ID not found"))</f>
        <v/>
      </c>
      <c r="E526" s="27"/>
      <c r="F526" s="27"/>
      <c r="G526" s="28" t="str">
        <f aca="false">IF(F526="","",IFERROR(INDEX('Hitting Drills'!$D$6:$D$45,MATCH(F526,'Hitting Drills'!$B$6:$B$45,0)),"Not a hitting drill ID"))</f>
        <v/>
      </c>
      <c r="H526" s="27"/>
      <c r="I526" s="27"/>
      <c r="J526" s="27"/>
      <c r="K526" s="27"/>
      <c r="L526" s="27"/>
      <c r="M526" s="27"/>
      <c r="N526" s="27"/>
      <c r="O526" s="27"/>
      <c r="P526" s="27"/>
      <c r="Q526" s="27"/>
      <c r="R526" s="27"/>
      <c r="S526" s="29" t="str">
        <f aca="false">IF(OR(B526="",C526=""),"",IF(COUNTIFS($B$5:B526,B526,$C$5:C526,C526)=1,1,0))</f>
        <v/>
      </c>
      <c r="T526" s="29" t="str">
        <f aca="false">IF(OR(B526="",C526="",E526=""),"",IF(COUNTIFS($B$5:B526,B526,$C$5:C526,C526,$E$5:E526,E526)=1,1,0))</f>
        <v/>
      </c>
      <c r="U526" s="28" t="str">
        <f aca="false">IF(COUNTA(B526:C526,E526:F526,H526:P526)=0,"",IF(OR(B526="",C526="",E526=""),"Check: date, player, and context required",IF(AND(ISNUMBER(J526),ISNUMBER(I526),J526&gt;I526),"Check: solid contacts &gt; swings",IF(AND(ISNUMBER(L526),ISNUMBER(K526),L526&gt;K526),"Check: correct &gt; assessed decisions",IF(AND(ISNUMBER(N526),ISNUMBER(M526),N526&gt;M526),"Check: intended &gt; assessed landings",IF(AND(ISNUMBER(J526),I526=""),"Check: solid contacts without swings","OK"))))))</f>
        <v/>
      </c>
    </row>
    <row r="527" customFormat="false" ht="15" hidden="false" customHeight="false" outlineLevel="0" collapsed="false">
      <c r="B527" s="26"/>
      <c r="C527" s="27"/>
      <c r="D527" s="28" t="str">
        <f aca="false">IF(C527="","",IFERROR(INDEX(Players!$C$5:$C$104,MATCH(C527,Players!$B$5:$B$104,0)),"ID not found"))</f>
        <v/>
      </c>
      <c r="E527" s="27"/>
      <c r="F527" s="27"/>
      <c r="G527" s="28" t="str">
        <f aca="false">IF(F527="","",IFERROR(INDEX('Hitting Drills'!$D$6:$D$45,MATCH(F527,'Hitting Drills'!$B$6:$B$45,0)),"Not a hitting drill ID"))</f>
        <v/>
      </c>
      <c r="H527" s="27"/>
      <c r="I527" s="27"/>
      <c r="J527" s="27"/>
      <c r="K527" s="27"/>
      <c r="L527" s="27"/>
      <c r="M527" s="27"/>
      <c r="N527" s="27"/>
      <c r="O527" s="27"/>
      <c r="P527" s="27"/>
      <c r="Q527" s="27"/>
      <c r="R527" s="27"/>
      <c r="S527" s="29" t="str">
        <f aca="false">IF(OR(B527="",C527=""),"",IF(COUNTIFS($B$5:B527,B527,$C$5:C527,C527)=1,1,0))</f>
        <v/>
      </c>
      <c r="T527" s="29" t="str">
        <f aca="false">IF(OR(B527="",C527="",E527=""),"",IF(COUNTIFS($B$5:B527,B527,$C$5:C527,C527,$E$5:E527,E527)=1,1,0))</f>
        <v/>
      </c>
      <c r="U527" s="28" t="str">
        <f aca="false">IF(COUNTA(B527:C527,E527:F527,H527:P527)=0,"",IF(OR(B527="",C527="",E527=""),"Check: date, player, and context required",IF(AND(ISNUMBER(J527),ISNUMBER(I527),J527&gt;I527),"Check: solid contacts &gt; swings",IF(AND(ISNUMBER(L527),ISNUMBER(K527),L527&gt;K527),"Check: correct &gt; assessed decisions",IF(AND(ISNUMBER(N527),ISNUMBER(M527),N527&gt;M527),"Check: intended &gt; assessed landings",IF(AND(ISNUMBER(J527),I527=""),"Check: solid contacts without swings","OK"))))))</f>
        <v/>
      </c>
    </row>
    <row r="528" customFormat="false" ht="15" hidden="false" customHeight="false" outlineLevel="0" collapsed="false">
      <c r="B528" s="26"/>
      <c r="C528" s="27"/>
      <c r="D528" s="28" t="str">
        <f aca="false">IF(C528="","",IFERROR(INDEX(Players!$C$5:$C$104,MATCH(C528,Players!$B$5:$B$104,0)),"ID not found"))</f>
        <v/>
      </c>
      <c r="E528" s="27"/>
      <c r="F528" s="27"/>
      <c r="G528" s="28" t="str">
        <f aca="false">IF(F528="","",IFERROR(INDEX('Hitting Drills'!$D$6:$D$45,MATCH(F528,'Hitting Drills'!$B$6:$B$45,0)),"Not a hitting drill ID"))</f>
        <v/>
      </c>
      <c r="H528" s="27"/>
      <c r="I528" s="27"/>
      <c r="J528" s="27"/>
      <c r="K528" s="27"/>
      <c r="L528" s="27"/>
      <c r="M528" s="27"/>
      <c r="N528" s="27"/>
      <c r="O528" s="27"/>
      <c r="P528" s="27"/>
      <c r="Q528" s="27"/>
      <c r="R528" s="27"/>
      <c r="S528" s="29" t="str">
        <f aca="false">IF(OR(B528="",C528=""),"",IF(COUNTIFS($B$5:B528,B528,$C$5:C528,C528)=1,1,0))</f>
        <v/>
      </c>
      <c r="T528" s="29" t="str">
        <f aca="false">IF(OR(B528="",C528="",E528=""),"",IF(COUNTIFS($B$5:B528,B528,$C$5:C528,C528,$E$5:E528,E528)=1,1,0))</f>
        <v/>
      </c>
      <c r="U528" s="28" t="str">
        <f aca="false">IF(COUNTA(B528:C528,E528:F528,H528:P528)=0,"",IF(OR(B528="",C528="",E528=""),"Check: date, player, and context required",IF(AND(ISNUMBER(J528),ISNUMBER(I528),J528&gt;I528),"Check: solid contacts &gt; swings",IF(AND(ISNUMBER(L528),ISNUMBER(K528),L528&gt;K528),"Check: correct &gt; assessed decisions",IF(AND(ISNUMBER(N528),ISNUMBER(M528),N528&gt;M528),"Check: intended &gt; assessed landings",IF(AND(ISNUMBER(J528),I528=""),"Check: solid contacts without swings","OK"))))))</f>
        <v/>
      </c>
    </row>
    <row r="529" customFormat="false" ht="15" hidden="false" customHeight="false" outlineLevel="0" collapsed="false">
      <c r="B529" s="26"/>
      <c r="C529" s="27"/>
      <c r="D529" s="28" t="str">
        <f aca="false">IF(C529="","",IFERROR(INDEX(Players!$C$5:$C$104,MATCH(C529,Players!$B$5:$B$104,0)),"ID not found"))</f>
        <v/>
      </c>
      <c r="E529" s="27"/>
      <c r="F529" s="27"/>
      <c r="G529" s="28" t="str">
        <f aca="false">IF(F529="","",IFERROR(INDEX('Hitting Drills'!$D$6:$D$45,MATCH(F529,'Hitting Drills'!$B$6:$B$45,0)),"Not a hitting drill ID"))</f>
        <v/>
      </c>
      <c r="H529" s="27"/>
      <c r="I529" s="27"/>
      <c r="J529" s="27"/>
      <c r="K529" s="27"/>
      <c r="L529" s="27"/>
      <c r="M529" s="27"/>
      <c r="N529" s="27"/>
      <c r="O529" s="27"/>
      <c r="P529" s="27"/>
      <c r="Q529" s="27"/>
      <c r="R529" s="27"/>
      <c r="S529" s="29" t="str">
        <f aca="false">IF(OR(B529="",C529=""),"",IF(COUNTIFS($B$5:B529,B529,$C$5:C529,C529)=1,1,0))</f>
        <v/>
      </c>
      <c r="T529" s="29" t="str">
        <f aca="false">IF(OR(B529="",C529="",E529=""),"",IF(COUNTIFS($B$5:B529,B529,$C$5:C529,C529,$E$5:E529,E529)=1,1,0))</f>
        <v/>
      </c>
      <c r="U529" s="28" t="str">
        <f aca="false">IF(COUNTA(B529:C529,E529:F529,H529:P529)=0,"",IF(OR(B529="",C529="",E529=""),"Check: date, player, and context required",IF(AND(ISNUMBER(J529),ISNUMBER(I529),J529&gt;I529),"Check: solid contacts &gt; swings",IF(AND(ISNUMBER(L529),ISNUMBER(K529),L529&gt;K529),"Check: correct &gt; assessed decisions",IF(AND(ISNUMBER(N529),ISNUMBER(M529),N529&gt;M529),"Check: intended &gt; assessed landings",IF(AND(ISNUMBER(J529),I529=""),"Check: solid contacts without swings","OK"))))))</f>
        <v/>
      </c>
    </row>
    <row r="530" customFormat="false" ht="15" hidden="false" customHeight="false" outlineLevel="0" collapsed="false">
      <c r="B530" s="26"/>
      <c r="C530" s="27"/>
      <c r="D530" s="28" t="str">
        <f aca="false">IF(C530="","",IFERROR(INDEX(Players!$C$5:$C$104,MATCH(C530,Players!$B$5:$B$104,0)),"ID not found"))</f>
        <v/>
      </c>
      <c r="E530" s="27"/>
      <c r="F530" s="27"/>
      <c r="G530" s="28" t="str">
        <f aca="false">IF(F530="","",IFERROR(INDEX('Hitting Drills'!$D$6:$D$45,MATCH(F530,'Hitting Drills'!$B$6:$B$45,0)),"Not a hitting drill ID"))</f>
        <v/>
      </c>
      <c r="H530" s="27"/>
      <c r="I530" s="27"/>
      <c r="J530" s="27"/>
      <c r="K530" s="27"/>
      <c r="L530" s="27"/>
      <c r="M530" s="27"/>
      <c r="N530" s="27"/>
      <c r="O530" s="27"/>
      <c r="P530" s="27"/>
      <c r="Q530" s="27"/>
      <c r="R530" s="27"/>
      <c r="S530" s="29" t="str">
        <f aca="false">IF(OR(B530="",C530=""),"",IF(COUNTIFS($B$5:B530,B530,$C$5:C530,C530)=1,1,0))</f>
        <v/>
      </c>
      <c r="T530" s="29" t="str">
        <f aca="false">IF(OR(B530="",C530="",E530=""),"",IF(COUNTIFS($B$5:B530,B530,$C$5:C530,C530,$E$5:E530,E530)=1,1,0))</f>
        <v/>
      </c>
      <c r="U530" s="28" t="str">
        <f aca="false">IF(COUNTA(B530:C530,E530:F530,H530:P530)=0,"",IF(OR(B530="",C530="",E530=""),"Check: date, player, and context required",IF(AND(ISNUMBER(J530),ISNUMBER(I530),J530&gt;I530),"Check: solid contacts &gt; swings",IF(AND(ISNUMBER(L530),ISNUMBER(K530),L530&gt;K530),"Check: correct &gt; assessed decisions",IF(AND(ISNUMBER(N530),ISNUMBER(M530),N530&gt;M530),"Check: intended &gt; assessed landings",IF(AND(ISNUMBER(J530),I530=""),"Check: solid contacts without swings","OK"))))))</f>
        <v/>
      </c>
    </row>
    <row r="531" customFormat="false" ht="15" hidden="false" customHeight="false" outlineLevel="0" collapsed="false">
      <c r="B531" s="26"/>
      <c r="C531" s="27"/>
      <c r="D531" s="28" t="str">
        <f aca="false">IF(C531="","",IFERROR(INDEX(Players!$C$5:$C$104,MATCH(C531,Players!$B$5:$B$104,0)),"ID not found"))</f>
        <v/>
      </c>
      <c r="E531" s="27"/>
      <c r="F531" s="27"/>
      <c r="G531" s="28" t="str">
        <f aca="false">IF(F531="","",IFERROR(INDEX('Hitting Drills'!$D$6:$D$45,MATCH(F531,'Hitting Drills'!$B$6:$B$45,0)),"Not a hitting drill ID"))</f>
        <v/>
      </c>
      <c r="H531" s="27"/>
      <c r="I531" s="27"/>
      <c r="J531" s="27"/>
      <c r="K531" s="27"/>
      <c r="L531" s="27"/>
      <c r="M531" s="27"/>
      <c r="N531" s="27"/>
      <c r="O531" s="27"/>
      <c r="P531" s="27"/>
      <c r="Q531" s="27"/>
      <c r="R531" s="27"/>
      <c r="S531" s="29" t="str">
        <f aca="false">IF(OR(B531="",C531=""),"",IF(COUNTIFS($B$5:B531,B531,$C$5:C531,C531)=1,1,0))</f>
        <v/>
      </c>
      <c r="T531" s="29" t="str">
        <f aca="false">IF(OR(B531="",C531="",E531=""),"",IF(COUNTIFS($B$5:B531,B531,$C$5:C531,C531,$E$5:E531,E531)=1,1,0))</f>
        <v/>
      </c>
      <c r="U531" s="28" t="str">
        <f aca="false">IF(COUNTA(B531:C531,E531:F531,H531:P531)=0,"",IF(OR(B531="",C531="",E531=""),"Check: date, player, and context required",IF(AND(ISNUMBER(J531),ISNUMBER(I531),J531&gt;I531),"Check: solid contacts &gt; swings",IF(AND(ISNUMBER(L531),ISNUMBER(K531),L531&gt;K531),"Check: correct &gt; assessed decisions",IF(AND(ISNUMBER(N531),ISNUMBER(M531),N531&gt;M531),"Check: intended &gt; assessed landings",IF(AND(ISNUMBER(J531),I531=""),"Check: solid contacts without swings","OK"))))))</f>
        <v/>
      </c>
    </row>
    <row r="532" customFormat="false" ht="15" hidden="false" customHeight="false" outlineLevel="0" collapsed="false">
      <c r="B532" s="26"/>
      <c r="C532" s="27"/>
      <c r="D532" s="28" t="str">
        <f aca="false">IF(C532="","",IFERROR(INDEX(Players!$C$5:$C$104,MATCH(C532,Players!$B$5:$B$104,0)),"ID not found"))</f>
        <v/>
      </c>
      <c r="E532" s="27"/>
      <c r="F532" s="27"/>
      <c r="G532" s="28" t="str">
        <f aca="false">IF(F532="","",IFERROR(INDEX('Hitting Drills'!$D$6:$D$45,MATCH(F532,'Hitting Drills'!$B$6:$B$45,0)),"Not a hitting drill ID"))</f>
        <v/>
      </c>
      <c r="H532" s="27"/>
      <c r="I532" s="27"/>
      <c r="J532" s="27"/>
      <c r="K532" s="27"/>
      <c r="L532" s="27"/>
      <c r="M532" s="27"/>
      <c r="N532" s="27"/>
      <c r="O532" s="27"/>
      <c r="P532" s="27"/>
      <c r="Q532" s="27"/>
      <c r="R532" s="27"/>
      <c r="S532" s="29" t="str">
        <f aca="false">IF(OR(B532="",C532=""),"",IF(COUNTIFS($B$5:B532,B532,$C$5:C532,C532)=1,1,0))</f>
        <v/>
      </c>
      <c r="T532" s="29" t="str">
        <f aca="false">IF(OR(B532="",C532="",E532=""),"",IF(COUNTIFS($B$5:B532,B532,$C$5:C532,C532,$E$5:E532,E532)=1,1,0))</f>
        <v/>
      </c>
      <c r="U532" s="28" t="str">
        <f aca="false">IF(COUNTA(B532:C532,E532:F532,H532:P532)=0,"",IF(OR(B532="",C532="",E532=""),"Check: date, player, and context required",IF(AND(ISNUMBER(J532),ISNUMBER(I532),J532&gt;I532),"Check: solid contacts &gt; swings",IF(AND(ISNUMBER(L532),ISNUMBER(K532),L532&gt;K532),"Check: correct &gt; assessed decisions",IF(AND(ISNUMBER(N532),ISNUMBER(M532),N532&gt;M532),"Check: intended &gt; assessed landings",IF(AND(ISNUMBER(J532),I532=""),"Check: solid contacts without swings","OK"))))))</f>
        <v/>
      </c>
    </row>
    <row r="533" customFormat="false" ht="15" hidden="false" customHeight="false" outlineLevel="0" collapsed="false">
      <c r="B533" s="26"/>
      <c r="C533" s="27"/>
      <c r="D533" s="28" t="str">
        <f aca="false">IF(C533="","",IFERROR(INDEX(Players!$C$5:$C$104,MATCH(C533,Players!$B$5:$B$104,0)),"ID not found"))</f>
        <v/>
      </c>
      <c r="E533" s="27"/>
      <c r="F533" s="27"/>
      <c r="G533" s="28" t="str">
        <f aca="false">IF(F533="","",IFERROR(INDEX('Hitting Drills'!$D$6:$D$45,MATCH(F533,'Hitting Drills'!$B$6:$B$45,0)),"Not a hitting drill ID"))</f>
        <v/>
      </c>
      <c r="H533" s="27"/>
      <c r="I533" s="27"/>
      <c r="J533" s="27"/>
      <c r="K533" s="27"/>
      <c r="L533" s="27"/>
      <c r="M533" s="27"/>
      <c r="N533" s="27"/>
      <c r="O533" s="27"/>
      <c r="P533" s="27"/>
      <c r="Q533" s="27"/>
      <c r="R533" s="27"/>
      <c r="S533" s="29" t="str">
        <f aca="false">IF(OR(B533="",C533=""),"",IF(COUNTIFS($B$5:B533,B533,$C$5:C533,C533)=1,1,0))</f>
        <v/>
      </c>
      <c r="T533" s="29" t="str">
        <f aca="false">IF(OR(B533="",C533="",E533=""),"",IF(COUNTIFS($B$5:B533,B533,$C$5:C533,C533,$E$5:E533,E533)=1,1,0))</f>
        <v/>
      </c>
      <c r="U533" s="28" t="str">
        <f aca="false">IF(COUNTA(B533:C533,E533:F533,H533:P533)=0,"",IF(OR(B533="",C533="",E533=""),"Check: date, player, and context required",IF(AND(ISNUMBER(J533),ISNUMBER(I533),J533&gt;I533),"Check: solid contacts &gt; swings",IF(AND(ISNUMBER(L533),ISNUMBER(K533),L533&gt;K533),"Check: correct &gt; assessed decisions",IF(AND(ISNUMBER(N533),ISNUMBER(M533),N533&gt;M533),"Check: intended &gt; assessed landings",IF(AND(ISNUMBER(J533),I533=""),"Check: solid contacts without swings","OK"))))))</f>
        <v/>
      </c>
    </row>
    <row r="534" customFormat="false" ht="15" hidden="false" customHeight="false" outlineLevel="0" collapsed="false">
      <c r="B534" s="26"/>
      <c r="C534" s="27"/>
      <c r="D534" s="28" t="str">
        <f aca="false">IF(C534="","",IFERROR(INDEX(Players!$C$5:$C$104,MATCH(C534,Players!$B$5:$B$104,0)),"ID not found"))</f>
        <v/>
      </c>
      <c r="E534" s="27"/>
      <c r="F534" s="27"/>
      <c r="G534" s="28" t="str">
        <f aca="false">IF(F534="","",IFERROR(INDEX('Hitting Drills'!$D$6:$D$45,MATCH(F534,'Hitting Drills'!$B$6:$B$45,0)),"Not a hitting drill ID"))</f>
        <v/>
      </c>
      <c r="H534" s="27"/>
      <c r="I534" s="27"/>
      <c r="J534" s="27"/>
      <c r="K534" s="27"/>
      <c r="L534" s="27"/>
      <c r="M534" s="27"/>
      <c r="N534" s="27"/>
      <c r="O534" s="27"/>
      <c r="P534" s="27"/>
      <c r="Q534" s="27"/>
      <c r="R534" s="27"/>
      <c r="S534" s="29" t="str">
        <f aca="false">IF(OR(B534="",C534=""),"",IF(COUNTIFS($B$5:B534,B534,$C$5:C534,C534)=1,1,0))</f>
        <v/>
      </c>
      <c r="T534" s="29" t="str">
        <f aca="false">IF(OR(B534="",C534="",E534=""),"",IF(COUNTIFS($B$5:B534,B534,$C$5:C534,C534,$E$5:E534,E534)=1,1,0))</f>
        <v/>
      </c>
      <c r="U534" s="28" t="str">
        <f aca="false">IF(COUNTA(B534:C534,E534:F534,H534:P534)=0,"",IF(OR(B534="",C534="",E534=""),"Check: date, player, and context required",IF(AND(ISNUMBER(J534),ISNUMBER(I534),J534&gt;I534),"Check: solid contacts &gt; swings",IF(AND(ISNUMBER(L534),ISNUMBER(K534),L534&gt;K534),"Check: correct &gt; assessed decisions",IF(AND(ISNUMBER(N534),ISNUMBER(M534),N534&gt;M534),"Check: intended &gt; assessed landings",IF(AND(ISNUMBER(J534),I534=""),"Check: solid contacts without swings","OK"))))))</f>
        <v/>
      </c>
    </row>
    <row r="535" customFormat="false" ht="15" hidden="false" customHeight="false" outlineLevel="0" collapsed="false">
      <c r="B535" s="26"/>
      <c r="C535" s="27"/>
      <c r="D535" s="28" t="str">
        <f aca="false">IF(C535="","",IFERROR(INDEX(Players!$C$5:$C$104,MATCH(C535,Players!$B$5:$B$104,0)),"ID not found"))</f>
        <v/>
      </c>
      <c r="E535" s="27"/>
      <c r="F535" s="27"/>
      <c r="G535" s="28" t="str">
        <f aca="false">IF(F535="","",IFERROR(INDEX('Hitting Drills'!$D$6:$D$45,MATCH(F535,'Hitting Drills'!$B$6:$B$45,0)),"Not a hitting drill ID"))</f>
        <v/>
      </c>
      <c r="H535" s="27"/>
      <c r="I535" s="27"/>
      <c r="J535" s="27"/>
      <c r="K535" s="27"/>
      <c r="L535" s="27"/>
      <c r="M535" s="27"/>
      <c r="N535" s="27"/>
      <c r="O535" s="27"/>
      <c r="P535" s="27"/>
      <c r="Q535" s="27"/>
      <c r="R535" s="27"/>
      <c r="S535" s="29" t="str">
        <f aca="false">IF(OR(B535="",C535=""),"",IF(COUNTIFS($B$5:B535,B535,$C$5:C535,C535)=1,1,0))</f>
        <v/>
      </c>
      <c r="T535" s="29" t="str">
        <f aca="false">IF(OR(B535="",C535="",E535=""),"",IF(COUNTIFS($B$5:B535,B535,$C$5:C535,C535,$E$5:E535,E535)=1,1,0))</f>
        <v/>
      </c>
      <c r="U535" s="28" t="str">
        <f aca="false">IF(COUNTA(B535:C535,E535:F535,H535:P535)=0,"",IF(OR(B535="",C535="",E535=""),"Check: date, player, and context required",IF(AND(ISNUMBER(J535),ISNUMBER(I535),J535&gt;I535),"Check: solid contacts &gt; swings",IF(AND(ISNUMBER(L535),ISNUMBER(K535),L535&gt;K535),"Check: correct &gt; assessed decisions",IF(AND(ISNUMBER(N535),ISNUMBER(M535),N535&gt;M535),"Check: intended &gt; assessed landings",IF(AND(ISNUMBER(J535),I535=""),"Check: solid contacts without swings","OK"))))))</f>
        <v/>
      </c>
    </row>
    <row r="536" customFormat="false" ht="15" hidden="false" customHeight="false" outlineLevel="0" collapsed="false">
      <c r="B536" s="26"/>
      <c r="C536" s="27"/>
      <c r="D536" s="28" t="str">
        <f aca="false">IF(C536="","",IFERROR(INDEX(Players!$C$5:$C$104,MATCH(C536,Players!$B$5:$B$104,0)),"ID not found"))</f>
        <v/>
      </c>
      <c r="E536" s="27"/>
      <c r="F536" s="27"/>
      <c r="G536" s="28" t="str">
        <f aca="false">IF(F536="","",IFERROR(INDEX('Hitting Drills'!$D$6:$D$45,MATCH(F536,'Hitting Drills'!$B$6:$B$45,0)),"Not a hitting drill ID"))</f>
        <v/>
      </c>
      <c r="H536" s="27"/>
      <c r="I536" s="27"/>
      <c r="J536" s="27"/>
      <c r="K536" s="27"/>
      <c r="L536" s="27"/>
      <c r="M536" s="27"/>
      <c r="N536" s="27"/>
      <c r="O536" s="27"/>
      <c r="P536" s="27"/>
      <c r="Q536" s="27"/>
      <c r="R536" s="27"/>
      <c r="S536" s="29" t="str">
        <f aca="false">IF(OR(B536="",C536=""),"",IF(COUNTIFS($B$5:B536,B536,$C$5:C536,C536)=1,1,0))</f>
        <v/>
      </c>
      <c r="T536" s="29" t="str">
        <f aca="false">IF(OR(B536="",C536="",E536=""),"",IF(COUNTIFS($B$5:B536,B536,$C$5:C536,C536,$E$5:E536,E536)=1,1,0))</f>
        <v/>
      </c>
      <c r="U536" s="28" t="str">
        <f aca="false">IF(COUNTA(B536:C536,E536:F536,H536:P536)=0,"",IF(OR(B536="",C536="",E536=""),"Check: date, player, and context required",IF(AND(ISNUMBER(J536),ISNUMBER(I536),J536&gt;I536),"Check: solid contacts &gt; swings",IF(AND(ISNUMBER(L536),ISNUMBER(K536),L536&gt;K536),"Check: correct &gt; assessed decisions",IF(AND(ISNUMBER(N536),ISNUMBER(M536),N536&gt;M536),"Check: intended &gt; assessed landings",IF(AND(ISNUMBER(J536),I536=""),"Check: solid contacts without swings","OK"))))))</f>
        <v/>
      </c>
    </row>
    <row r="537" customFormat="false" ht="15" hidden="false" customHeight="false" outlineLevel="0" collapsed="false">
      <c r="B537" s="26"/>
      <c r="C537" s="27"/>
      <c r="D537" s="28" t="str">
        <f aca="false">IF(C537="","",IFERROR(INDEX(Players!$C$5:$C$104,MATCH(C537,Players!$B$5:$B$104,0)),"ID not found"))</f>
        <v/>
      </c>
      <c r="E537" s="27"/>
      <c r="F537" s="27"/>
      <c r="G537" s="28" t="str">
        <f aca="false">IF(F537="","",IFERROR(INDEX('Hitting Drills'!$D$6:$D$45,MATCH(F537,'Hitting Drills'!$B$6:$B$45,0)),"Not a hitting drill ID"))</f>
        <v/>
      </c>
      <c r="H537" s="27"/>
      <c r="I537" s="27"/>
      <c r="J537" s="27"/>
      <c r="K537" s="27"/>
      <c r="L537" s="27"/>
      <c r="M537" s="27"/>
      <c r="N537" s="27"/>
      <c r="O537" s="27"/>
      <c r="P537" s="27"/>
      <c r="Q537" s="27"/>
      <c r="R537" s="27"/>
      <c r="S537" s="29" t="str">
        <f aca="false">IF(OR(B537="",C537=""),"",IF(COUNTIFS($B$5:B537,B537,$C$5:C537,C537)=1,1,0))</f>
        <v/>
      </c>
      <c r="T537" s="29" t="str">
        <f aca="false">IF(OR(B537="",C537="",E537=""),"",IF(COUNTIFS($B$5:B537,B537,$C$5:C537,C537,$E$5:E537,E537)=1,1,0))</f>
        <v/>
      </c>
      <c r="U537" s="28" t="str">
        <f aca="false">IF(COUNTA(B537:C537,E537:F537,H537:P537)=0,"",IF(OR(B537="",C537="",E537=""),"Check: date, player, and context required",IF(AND(ISNUMBER(J537),ISNUMBER(I537),J537&gt;I537),"Check: solid contacts &gt; swings",IF(AND(ISNUMBER(L537),ISNUMBER(K537),L537&gt;K537),"Check: correct &gt; assessed decisions",IF(AND(ISNUMBER(N537),ISNUMBER(M537),N537&gt;M537),"Check: intended &gt; assessed landings",IF(AND(ISNUMBER(J537),I537=""),"Check: solid contacts without swings","OK"))))))</f>
        <v/>
      </c>
    </row>
    <row r="538" customFormat="false" ht="15" hidden="false" customHeight="false" outlineLevel="0" collapsed="false">
      <c r="B538" s="26"/>
      <c r="C538" s="27"/>
      <c r="D538" s="28" t="str">
        <f aca="false">IF(C538="","",IFERROR(INDEX(Players!$C$5:$C$104,MATCH(C538,Players!$B$5:$B$104,0)),"ID not found"))</f>
        <v/>
      </c>
      <c r="E538" s="27"/>
      <c r="F538" s="27"/>
      <c r="G538" s="28" t="str">
        <f aca="false">IF(F538="","",IFERROR(INDEX('Hitting Drills'!$D$6:$D$45,MATCH(F538,'Hitting Drills'!$B$6:$B$45,0)),"Not a hitting drill ID"))</f>
        <v/>
      </c>
      <c r="H538" s="27"/>
      <c r="I538" s="27"/>
      <c r="J538" s="27"/>
      <c r="K538" s="27"/>
      <c r="L538" s="27"/>
      <c r="M538" s="27"/>
      <c r="N538" s="27"/>
      <c r="O538" s="27"/>
      <c r="P538" s="27"/>
      <c r="Q538" s="27"/>
      <c r="R538" s="27"/>
      <c r="S538" s="29" t="str">
        <f aca="false">IF(OR(B538="",C538=""),"",IF(COUNTIFS($B$5:B538,B538,$C$5:C538,C538)=1,1,0))</f>
        <v/>
      </c>
      <c r="T538" s="29" t="str">
        <f aca="false">IF(OR(B538="",C538="",E538=""),"",IF(COUNTIFS($B$5:B538,B538,$C$5:C538,C538,$E$5:E538,E538)=1,1,0))</f>
        <v/>
      </c>
      <c r="U538" s="28" t="str">
        <f aca="false">IF(COUNTA(B538:C538,E538:F538,H538:P538)=0,"",IF(OR(B538="",C538="",E538=""),"Check: date, player, and context required",IF(AND(ISNUMBER(J538),ISNUMBER(I538),J538&gt;I538),"Check: solid contacts &gt; swings",IF(AND(ISNUMBER(L538),ISNUMBER(K538),L538&gt;K538),"Check: correct &gt; assessed decisions",IF(AND(ISNUMBER(N538),ISNUMBER(M538),N538&gt;M538),"Check: intended &gt; assessed landings",IF(AND(ISNUMBER(J538),I538=""),"Check: solid contacts without swings","OK"))))))</f>
        <v/>
      </c>
    </row>
    <row r="539" customFormat="false" ht="15" hidden="false" customHeight="false" outlineLevel="0" collapsed="false">
      <c r="B539" s="26"/>
      <c r="C539" s="27"/>
      <c r="D539" s="28" t="str">
        <f aca="false">IF(C539="","",IFERROR(INDEX(Players!$C$5:$C$104,MATCH(C539,Players!$B$5:$B$104,0)),"ID not found"))</f>
        <v/>
      </c>
      <c r="E539" s="27"/>
      <c r="F539" s="27"/>
      <c r="G539" s="28" t="str">
        <f aca="false">IF(F539="","",IFERROR(INDEX('Hitting Drills'!$D$6:$D$45,MATCH(F539,'Hitting Drills'!$B$6:$B$45,0)),"Not a hitting drill ID"))</f>
        <v/>
      </c>
      <c r="H539" s="27"/>
      <c r="I539" s="27"/>
      <c r="J539" s="27"/>
      <c r="K539" s="27"/>
      <c r="L539" s="27"/>
      <c r="M539" s="27"/>
      <c r="N539" s="27"/>
      <c r="O539" s="27"/>
      <c r="P539" s="27"/>
      <c r="Q539" s="27"/>
      <c r="R539" s="27"/>
      <c r="S539" s="29" t="str">
        <f aca="false">IF(OR(B539="",C539=""),"",IF(COUNTIFS($B$5:B539,B539,$C$5:C539,C539)=1,1,0))</f>
        <v/>
      </c>
      <c r="T539" s="29" t="str">
        <f aca="false">IF(OR(B539="",C539="",E539=""),"",IF(COUNTIFS($B$5:B539,B539,$C$5:C539,C539,$E$5:E539,E539)=1,1,0))</f>
        <v/>
      </c>
      <c r="U539" s="28" t="str">
        <f aca="false">IF(COUNTA(B539:C539,E539:F539,H539:P539)=0,"",IF(OR(B539="",C539="",E539=""),"Check: date, player, and context required",IF(AND(ISNUMBER(J539),ISNUMBER(I539),J539&gt;I539),"Check: solid contacts &gt; swings",IF(AND(ISNUMBER(L539),ISNUMBER(K539),L539&gt;K539),"Check: correct &gt; assessed decisions",IF(AND(ISNUMBER(N539),ISNUMBER(M539),N539&gt;M539),"Check: intended &gt; assessed landings",IF(AND(ISNUMBER(J539),I539=""),"Check: solid contacts without swings","OK"))))))</f>
        <v/>
      </c>
    </row>
    <row r="540" customFormat="false" ht="15" hidden="false" customHeight="false" outlineLevel="0" collapsed="false">
      <c r="B540" s="26"/>
      <c r="C540" s="27"/>
      <c r="D540" s="28" t="str">
        <f aca="false">IF(C540="","",IFERROR(INDEX(Players!$C$5:$C$104,MATCH(C540,Players!$B$5:$B$104,0)),"ID not found"))</f>
        <v/>
      </c>
      <c r="E540" s="27"/>
      <c r="F540" s="27"/>
      <c r="G540" s="28" t="str">
        <f aca="false">IF(F540="","",IFERROR(INDEX('Hitting Drills'!$D$6:$D$45,MATCH(F540,'Hitting Drills'!$B$6:$B$45,0)),"Not a hitting drill ID"))</f>
        <v/>
      </c>
      <c r="H540" s="27"/>
      <c r="I540" s="27"/>
      <c r="J540" s="27"/>
      <c r="K540" s="27"/>
      <c r="L540" s="27"/>
      <c r="M540" s="27"/>
      <c r="N540" s="27"/>
      <c r="O540" s="27"/>
      <c r="P540" s="27"/>
      <c r="Q540" s="27"/>
      <c r="R540" s="27"/>
      <c r="S540" s="29" t="str">
        <f aca="false">IF(OR(B540="",C540=""),"",IF(COUNTIFS($B$5:B540,B540,$C$5:C540,C540)=1,1,0))</f>
        <v/>
      </c>
      <c r="T540" s="29" t="str">
        <f aca="false">IF(OR(B540="",C540="",E540=""),"",IF(COUNTIFS($B$5:B540,B540,$C$5:C540,C540,$E$5:E540,E540)=1,1,0))</f>
        <v/>
      </c>
      <c r="U540" s="28" t="str">
        <f aca="false">IF(COUNTA(B540:C540,E540:F540,H540:P540)=0,"",IF(OR(B540="",C540="",E540=""),"Check: date, player, and context required",IF(AND(ISNUMBER(J540),ISNUMBER(I540),J540&gt;I540),"Check: solid contacts &gt; swings",IF(AND(ISNUMBER(L540),ISNUMBER(K540),L540&gt;K540),"Check: correct &gt; assessed decisions",IF(AND(ISNUMBER(N540),ISNUMBER(M540),N540&gt;M540),"Check: intended &gt; assessed landings",IF(AND(ISNUMBER(J540),I540=""),"Check: solid contacts without swings","OK"))))))</f>
        <v/>
      </c>
    </row>
    <row r="541" customFormat="false" ht="15" hidden="false" customHeight="false" outlineLevel="0" collapsed="false">
      <c r="B541" s="26"/>
      <c r="C541" s="27"/>
      <c r="D541" s="28" t="str">
        <f aca="false">IF(C541="","",IFERROR(INDEX(Players!$C$5:$C$104,MATCH(C541,Players!$B$5:$B$104,0)),"ID not found"))</f>
        <v/>
      </c>
      <c r="E541" s="27"/>
      <c r="F541" s="27"/>
      <c r="G541" s="28" t="str">
        <f aca="false">IF(F541="","",IFERROR(INDEX('Hitting Drills'!$D$6:$D$45,MATCH(F541,'Hitting Drills'!$B$6:$B$45,0)),"Not a hitting drill ID"))</f>
        <v/>
      </c>
      <c r="H541" s="27"/>
      <c r="I541" s="27"/>
      <c r="J541" s="27"/>
      <c r="K541" s="27"/>
      <c r="L541" s="27"/>
      <c r="M541" s="27"/>
      <c r="N541" s="27"/>
      <c r="O541" s="27"/>
      <c r="P541" s="27"/>
      <c r="Q541" s="27"/>
      <c r="R541" s="27"/>
      <c r="S541" s="29" t="str">
        <f aca="false">IF(OR(B541="",C541=""),"",IF(COUNTIFS($B$5:B541,B541,$C$5:C541,C541)=1,1,0))</f>
        <v/>
      </c>
      <c r="T541" s="29" t="str">
        <f aca="false">IF(OR(B541="",C541="",E541=""),"",IF(COUNTIFS($B$5:B541,B541,$C$5:C541,C541,$E$5:E541,E541)=1,1,0))</f>
        <v/>
      </c>
      <c r="U541" s="28" t="str">
        <f aca="false">IF(COUNTA(B541:C541,E541:F541,H541:P541)=0,"",IF(OR(B541="",C541="",E541=""),"Check: date, player, and context required",IF(AND(ISNUMBER(J541),ISNUMBER(I541),J541&gt;I541),"Check: solid contacts &gt; swings",IF(AND(ISNUMBER(L541),ISNUMBER(K541),L541&gt;K541),"Check: correct &gt; assessed decisions",IF(AND(ISNUMBER(N541),ISNUMBER(M541),N541&gt;M541),"Check: intended &gt; assessed landings",IF(AND(ISNUMBER(J541),I541=""),"Check: solid contacts without swings","OK"))))))</f>
        <v/>
      </c>
    </row>
    <row r="542" customFormat="false" ht="15" hidden="false" customHeight="false" outlineLevel="0" collapsed="false">
      <c r="B542" s="26"/>
      <c r="C542" s="27"/>
      <c r="D542" s="28" t="str">
        <f aca="false">IF(C542="","",IFERROR(INDEX(Players!$C$5:$C$104,MATCH(C542,Players!$B$5:$B$104,0)),"ID not found"))</f>
        <v/>
      </c>
      <c r="E542" s="27"/>
      <c r="F542" s="27"/>
      <c r="G542" s="28" t="str">
        <f aca="false">IF(F542="","",IFERROR(INDEX('Hitting Drills'!$D$6:$D$45,MATCH(F542,'Hitting Drills'!$B$6:$B$45,0)),"Not a hitting drill ID"))</f>
        <v/>
      </c>
      <c r="H542" s="27"/>
      <c r="I542" s="27"/>
      <c r="J542" s="27"/>
      <c r="K542" s="27"/>
      <c r="L542" s="27"/>
      <c r="M542" s="27"/>
      <c r="N542" s="27"/>
      <c r="O542" s="27"/>
      <c r="P542" s="27"/>
      <c r="Q542" s="27"/>
      <c r="R542" s="27"/>
      <c r="S542" s="29" t="str">
        <f aca="false">IF(OR(B542="",C542=""),"",IF(COUNTIFS($B$5:B542,B542,$C$5:C542,C542)=1,1,0))</f>
        <v/>
      </c>
      <c r="T542" s="29" t="str">
        <f aca="false">IF(OR(B542="",C542="",E542=""),"",IF(COUNTIFS($B$5:B542,B542,$C$5:C542,C542,$E$5:E542,E542)=1,1,0))</f>
        <v/>
      </c>
      <c r="U542" s="28" t="str">
        <f aca="false">IF(COUNTA(B542:C542,E542:F542,H542:P542)=0,"",IF(OR(B542="",C542="",E542=""),"Check: date, player, and context required",IF(AND(ISNUMBER(J542),ISNUMBER(I542),J542&gt;I542),"Check: solid contacts &gt; swings",IF(AND(ISNUMBER(L542),ISNUMBER(K542),L542&gt;K542),"Check: correct &gt; assessed decisions",IF(AND(ISNUMBER(N542),ISNUMBER(M542),N542&gt;M542),"Check: intended &gt; assessed landings",IF(AND(ISNUMBER(J542),I542=""),"Check: solid contacts without swings","OK"))))))</f>
        <v/>
      </c>
    </row>
    <row r="543" customFormat="false" ht="15" hidden="false" customHeight="false" outlineLevel="0" collapsed="false">
      <c r="B543" s="26"/>
      <c r="C543" s="27"/>
      <c r="D543" s="28" t="str">
        <f aca="false">IF(C543="","",IFERROR(INDEX(Players!$C$5:$C$104,MATCH(C543,Players!$B$5:$B$104,0)),"ID not found"))</f>
        <v/>
      </c>
      <c r="E543" s="27"/>
      <c r="F543" s="27"/>
      <c r="G543" s="28" t="str">
        <f aca="false">IF(F543="","",IFERROR(INDEX('Hitting Drills'!$D$6:$D$45,MATCH(F543,'Hitting Drills'!$B$6:$B$45,0)),"Not a hitting drill ID"))</f>
        <v/>
      </c>
      <c r="H543" s="27"/>
      <c r="I543" s="27"/>
      <c r="J543" s="27"/>
      <c r="K543" s="27"/>
      <c r="L543" s="27"/>
      <c r="M543" s="27"/>
      <c r="N543" s="27"/>
      <c r="O543" s="27"/>
      <c r="P543" s="27"/>
      <c r="Q543" s="27"/>
      <c r="R543" s="27"/>
      <c r="S543" s="29" t="str">
        <f aca="false">IF(OR(B543="",C543=""),"",IF(COUNTIFS($B$5:B543,B543,$C$5:C543,C543)=1,1,0))</f>
        <v/>
      </c>
      <c r="T543" s="29" t="str">
        <f aca="false">IF(OR(B543="",C543="",E543=""),"",IF(COUNTIFS($B$5:B543,B543,$C$5:C543,C543,$E$5:E543,E543)=1,1,0))</f>
        <v/>
      </c>
      <c r="U543" s="28" t="str">
        <f aca="false">IF(COUNTA(B543:C543,E543:F543,H543:P543)=0,"",IF(OR(B543="",C543="",E543=""),"Check: date, player, and context required",IF(AND(ISNUMBER(J543),ISNUMBER(I543),J543&gt;I543),"Check: solid contacts &gt; swings",IF(AND(ISNUMBER(L543),ISNUMBER(K543),L543&gt;K543),"Check: correct &gt; assessed decisions",IF(AND(ISNUMBER(N543),ISNUMBER(M543),N543&gt;M543),"Check: intended &gt; assessed landings",IF(AND(ISNUMBER(J543),I543=""),"Check: solid contacts without swings","OK"))))))</f>
        <v/>
      </c>
    </row>
    <row r="544" customFormat="false" ht="15" hidden="false" customHeight="false" outlineLevel="0" collapsed="false">
      <c r="B544" s="26"/>
      <c r="C544" s="27"/>
      <c r="D544" s="28" t="str">
        <f aca="false">IF(C544="","",IFERROR(INDEX(Players!$C$5:$C$104,MATCH(C544,Players!$B$5:$B$104,0)),"ID not found"))</f>
        <v/>
      </c>
      <c r="E544" s="27"/>
      <c r="F544" s="27"/>
      <c r="G544" s="28" t="str">
        <f aca="false">IF(F544="","",IFERROR(INDEX('Hitting Drills'!$D$6:$D$45,MATCH(F544,'Hitting Drills'!$B$6:$B$45,0)),"Not a hitting drill ID"))</f>
        <v/>
      </c>
      <c r="H544" s="27"/>
      <c r="I544" s="27"/>
      <c r="J544" s="27"/>
      <c r="K544" s="27"/>
      <c r="L544" s="27"/>
      <c r="M544" s="27"/>
      <c r="N544" s="27"/>
      <c r="O544" s="27"/>
      <c r="P544" s="27"/>
      <c r="Q544" s="27"/>
      <c r="R544" s="27"/>
      <c r="S544" s="29" t="str">
        <f aca="false">IF(OR(B544="",C544=""),"",IF(COUNTIFS($B$5:B544,B544,$C$5:C544,C544)=1,1,0))</f>
        <v/>
      </c>
      <c r="T544" s="29" t="str">
        <f aca="false">IF(OR(B544="",C544="",E544=""),"",IF(COUNTIFS($B$5:B544,B544,$C$5:C544,C544,$E$5:E544,E544)=1,1,0))</f>
        <v/>
      </c>
      <c r="U544" s="28" t="str">
        <f aca="false">IF(COUNTA(B544:C544,E544:F544,H544:P544)=0,"",IF(OR(B544="",C544="",E544=""),"Check: date, player, and context required",IF(AND(ISNUMBER(J544),ISNUMBER(I544),J544&gt;I544),"Check: solid contacts &gt; swings",IF(AND(ISNUMBER(L544),ISNUMBER(K544),L544&gt;K544),"Check: correct &gt; assessed decisions",IF(AND(ISNUMBER(N544),ISNUMBER(M544),N544&gt;M544),"Check: intended &gt; assessed landings",IF(AND(ISNUMBER(J544),I544=""),"Check: solid contacts without swings","OK"))))))</f>
        <v/>
      </c>
    </row>
    <row r="545" customFormat="false" ht="15" hidden="false" customHeight="false" outlineLevel="0" collapsed="false">
      <c r="B545" s="26"/>
      <c r="C545" s="27"/>
      <c r="D545" s="28" t="str">
        <f aca="false">IF(C545="","",IFERROR(INDEX(Players!$C$5:$C$104,MATCH(C545,Players!$B$5:$B$104,0)),"ID not found"))</f>
        <v/>
      </c>
      <c r="E545" s="27"/>
      <c r="F545" s="27"/>
      <c r="G545" s="28" t="str">
        <f aca="false">IF(F545="","",IFERROR(INDEX('Hitting Drills'!$D$6:$D$45,MATCH(F545,'Hitting Drills'!$B$6:$B$45,0)),"Not a hitting drill ID"))</f>
        <v/>
      </c>
      <c r="H545" s="27"/>
      <c r="I545" s="27"/>
      <c r="J545" s="27"/>
      <c r="K545" s="27"/>
      <c r="L545" s="27"/>
      <c r="M545" s="27"/>
      <c r="N545" s="27"/>
      <c r="O545" s="27"/>
      <c r="P545" s="27"/>
      <c r="Q545" s="27"/>
      <c r="R545" s="27"/>
      <c r="S545" s="29" t="str">
        <f aca="false">IF(OR(B545="",C545=""),"",IF(COUNTIFS($B$5:B545,B545,$C$5:C545,C545)=1,1,0))</f>
        <v/>
      </c>
      <c r="T545" s="29" t="str">
        <f aca="false">IF(OR(B545="",C545="",E545=""),"",IF(COUNTIFS($B$5:B545,B545,$C$5:C545,C545,$E$5:E545,E545)=1,1,0))</f>
        <v/>
      </c>
      <c r="U545" s="28" t="str">
        <f aca="false">IF(COUNTA(B545:C545,E545:F545,H545:P545)=0,"",IF(OR(B545="",C545="",E545=""),"Check: date, player, and context required",IF(AND(ISNUMBER(J545),ISNUMBER(I545),J545&gt;I545),"Check: solid contacts &gt; swings",IF(AND(ISNUMBER(L545),ISNUMBER(K545),L545&gt;K545),"Check: correct &gt; assessed decisions",IF(AND(ISNUMBER(N545),ISNUMBER(M545),N545&gt;M545),"Check: intended &gt; assessed landings",IF(AND(ISNUMBER(J545),I545=""),"Check: solid contacts without swings","OK"))))))</f>
        <v/>
      </c>
    </row>
    <row r="546" customFormat="false" ht="15" hidden="false" customHeight="false" outlineLevel="0" collapsed="false">
      <c r="B546" s="26"/>
      <c r="C546" s="27"/>
      <c r="D546" s="28" t="str">
        <f aca="false">IF(C546="","",IFERROR(INDEX(Players!$C$5:$C$104,MATCH(C546,Players!$B$5:$B$104,0)),"ID not found"))</f>
        <v/>
      </c>
      <c r="E546" s="27"/>
      <c r="F546" s="27"/>
      <c r="G546" s="28" t="str">
        <f aca="false">IF(F546="","",IFERROR(INDEX('Hitting Drills'!$D$6:$D$45,MATCH(F546,'Hitting Drills'!$B$6:$B$45,0)),"Not a hitting drill ID"))</f>
        <v/>
      </c>
      <c r="H546" s="27"/>
      <c r="I546" s="27"/>
      <c r="J546" s="27"/>
      <c r="K546" s="27"/>
      <c r="L546" s="27"/>
      <c r="M546" s="27"/>
      <c r="N546" s="27"/>
      <c r="O546" s="27"/>
      <c r="P546" s="27"/>
      <c r="Q546" s="27"/>
      <c r="R546" s="27"/>
      <c r="S546" s="29" t="str">
        <f aca="false">IF(OR(B546="",C546=""),"",IF(COUNTIFS($B$5:B546,B546,$C$5:C546,C546)=1,1,0))</f>
        <v/>
      </c>
      <c r="T546" s="29" t="str">
        <f aca="false">IF(OR(B546="",C546="",E546=""),"",IF(COUNTIFS($B$5:B546,B546,$C$5:C546,C546,$E$5:E546,E546)=1,1,0))</f>
        <v/>
      </c>
      <c r="U546" s="28" t="str">
        <f aca="false">IF(COUNTA(B546:C546,E546:F546,H546:P546)=0,"",IF(OR(B546="",C546="",E546=""),"Check: date, player, and context required",IF(AND(ISNUMBER(J546),ISNUMBER(I546),J546&gt;I546),"Check: solid contacts &gt; swings",IF(AND(ISNUMBER(L546),ISNUMBER(K546),L546&gt;K546),"Check: correct &gt; assessed decisions",IF(AND(ISNUMBER(N546),ISNUMBER(M546),N546&gt;M546),"Check: intended &gt; assessed landings",IF(AND(ISNUMBER(J546),I546=""),"Check: solid contacts without swings","OK"))))))</f>
        <v/>
      </c>
    </row>
    <row r="547" customFormat="false" ht="15" hidden="false" customHeight="false" outlineLevel="0" collapsed="false">
      <c r="B547" s="26"/>
      <c r="C547" s="27"/>
      <c r="D547" s="28" t="str">
        <f aca="false">IF(C547="","",IFERROR(INDEX(Players!$C$5:$C$104,MATCH(C547,Players!$B$5:$B$104,0)),"ID not found"))</f>
        <v/>
      </c>
      <c r="E547" s="27"/>
      <c r="F547" s="27"/>
      <c r="G547" s="28" t="str">
        <f aca="false">IF(F547="","",IFERROR(INDEX('Hitting Drills'!$D$6:$D$45,MATCH(F547,'Hitting Drills'!$B$6:$B$45,0)),"Not a hitting drill ID"))</f>
        <v/>
      </c>
      <c r="H547" s="27"/>
      <c r="I547" s="27"/>
      <c r="J547" s="27"/>
      <c r="K547" s="27"/>
      <c r="L547" s="27"/>
      <c r="M547" s="27"/>
      <c r="N547" s="27"/>
      <c r="O547" s="27"/>
      <c r="P547" s="27"/>
      <c r="Q547" s="27"/>
      <c r="R547" s="27"/>
      <c r="S547" s="29" t="str">
        <f aca="false">IF(OR(B547="",C547=""),"",IF(COUNTIFS($B$5:B547,B547,$C$5:C547,C547)=1,1,0))</f>
        <v/>
      </c>
      <c r="T547" s="29" t="str">
        <f aca="false">IF(OR(B547="",C547="",E547=""),"",IF(COUNTIFS($B$5:B547,B547,$C$5:C547,C547,$E$5:E547,E547)=1,1,0))</f>
        <v/>
      </c>
      <c r="U547" s="28" t="str">
        <f aca="false">IF(COUNTA(B547:C547,E547:F547,H547:P547)=0,"",IF(OR(B547="",C547="",E547=""),"Check: date, player, and context required",IF(AND(ISNUMBER(J547),ISNUMBER(I547),J547&gt;I547),"Check: solid contacts &gt; swings",IF(AND(ISNUMBER(L547),ISNUMBER(K547),L547&gt;K547),"Check: correct &gt; assessed decisions",IF(AND(ISNUMBER(N547),ISNUMBER(M547),N547&gt;M547),"Check: intended &gt; assessed landings",IF(AND(ISNUMBER(J547),I547=""),"Check: solid contacts without swings","OK"))))))</f>
        <v/>
      </c>
    </row>
    <row r="548" customFormat="false" ht="15" hidden="false" customHeight="false" outlineLevel="0" collapsed="false">
      <c r="B548" s="26"/>
      <c r="C548" s="27"/>
      <c r="D548" s="28" t="str">
        <f aca="false">IF(C548="","",IFERROR(INDEX(Players!$C$5:$C$104,MATCH(C548,Players!$B$5:$B$104,0)),"ID not found"))</f>
        <v/>
      </c>
      <c r="E548" s="27"/>
      <c r="F548" s="27"/>
      <c r="G548" s="28" t="str">
        <f aca="false">IF(F548="","",IFERROR(INDEX('Hitting Drills'!$D$6:$D$45,MATCH(F548,'Hitting Drills'!$B$6:$B$45,0)),"Not a hitting drill ID"))</f>
        <v/>
      </c>
      <c r="H548" s="27"/>
      <c r="I548" s="27"/>
      <c r="J548" s="27"/>
      <c r="K548" s="27"/>
      <c r="L548" s="27"/>
      <c r="M548" s="27"/>
      <c r="N548" s="27"/>
      <c r="O548" s="27"/>
      <c r="P548" s="27"/>
      <c r="Q548" s="27"/>
      <c r="R548" s="27"/>
      <c r="S548" s="29" t="str">
        <f aca="false">IF(OR(B548="",C548=""),"",IF(COUNTIFS($B$5:B548,B548,$C$5:C548,C548)=1,1,0))</f>
        <v/>
      </c>
      <c r="T548" s="29" t="str">
        <f aca="false">IF(OR(B548="",C548="",E548=""),"",IF(COUNTIFS($B$5:B548,B548,$C$5:C548,C548,$E$5:E548,E548)=1,1,0))</f>
        <v/>
      </c>
      <c r="U548" s="28" t="str">
        <f aca="false">IF(COUNTA(B548:C548,E548:F548,H548:P548)=0,"",IF(OR(B548="",C548="",E548=""),"Check: date, player, and context required",IF(AND(ISNUMBER(J548),ISNUMBER(I548),J548&gt;I548),"Check: solid contacts &gt; swings",IF(AND(ISNUMBER(L548),ISNUMBER(K548),L548&gt;K548),"Check: correct &gt; assessed decisions",IF(AND(ISNUMBER(N548),ISNUMBER(M548),N548&gt;M548),"Check: intended &gt; assessed landings",IF(AND(ISNUMBER(J548),I548=""),"Check: solid contacts without swings","OK"))))))</f>
        <v/>
      </c>
    </row>
    <row r="549" customFormat="false" ht="15" hidden="false" customHeight="false" outlineLevel="0" collapsed="false">
      <c r="B549" s="26"/>
      <c r="C549" s="27"/>
      <c r="D549" s="28" t="str">
        <f aca="false">IF(C549="","",IFERROR(INDEX(Players!$C$5:$C$104,MATCH(C549,Players!$B$5:$B$104,0)),"ID not found"))</f>
        <v/>
      </c>
      <c r="E549" s="27"/>
      <c r="F549" s="27"/>
      <c r="G549" s="28" t="str">
        <f aca="false">IF(F549="","",IFERROR(INDEX('Hitting Drills'!$D$6:$D$45,MATCH(F549,'Hitting Drills'!$B$6:$B$45,0)),"Not a hitting drill ID"))</f>
        <v/>
      </c>
      <c r="H549" s="27"/>
      <c r="I549" s="27"/>
      <c r="J549" s="27"/>
      <c r="K549" s="27"/>
      <c r="L549" s="27"/>
      <c r="M549" s="27"/>
      <c r="N549" s="27"/>
      <c r="O549" s="27"/>
      <c r="P549" s="27"/>
      <c r="Q549" s="27"/>
      <c r="R549" s="27"/>
      <c r="S549" s="29" t="str">
        <f aca="false">IF(OR(B549="",C549=""),"",IF(COUNTIFS($B$5:B549,B549,$C$5:C549,C549)=1,1,0))</f>
        <v/>
      </c>
      <c r="T549" s="29" t="str">
        <f aca="false">IF(OR(B549="",C549="",E549=""),"",IF(COUNTIFS($B$5:B549,B549,$C$5:C549,C549,$E$5:E549,E549)=1,1,0))</f>
        <v/>
      </c>
      <c r="U549" s="28" t="str">
        <f aca="false">IF(COUNTA(B549:C549,E549:F549,H549:P549)=0,"",IF(OR(B549="",C549="",E549=""),"Check: date, player, and context required",IF(AND(ISNUMBER(J549),ISNUMBER(I549),J549&gt;I549),"Check: solid contacts &gt; swings",IF(AND(ISNUMBER(L549),ISNUMBER(K549),L549&gt;K549),"Check: correct &gt; assessed decisions",IF(AND(ISNUMBER(N549),ISNUMBER(M549),N549&gt;M549),"Check: intended &gt; assessed landings",IF(AND(ISNUMBER(J549),I549=""),"Check: solid contacts without swings","OK"))))))</f>
        <v/>
      </c>
    </row>
    <row r="550" customFormat="false" ht="15" hidden="false" customHeight="false" outlineLevel="0" collapsed="false">
      <c r="B550" s="26"/>
      <c r="C550" s="27"/>
      <c r="D550" s="28" t="str">
        <f aca="false">IF(C550="","",IFERROR(INDEX(Players!$C$5:$C$104,MATCH(C550,Players!$B$5:$B$104,0)),"ID not found"))</f>
        <v/>
      </c>
      <c r="E550" s="27"/>
      <c r="F550" s="27"/>
      <c r="G550" s="28" t="str">
        <f aca="false">IF(F550="","",IFERROR(INDEX('Hitting Drills'!$D$6:$D$45,MATCH(F550,'Hitting Drills'!$B$6:$B$45,0)),"Not a hitting drill ID"))</f>
        <v/>
      </c>
      <c r="H550" s="27"/>
      <c r="I550" s="27"/>
      <c r="J550" s="27"/>
      <c r="K550" s="27"/>
      <c r="L550" s="27"/>
      <c r="M550" s="27"/>
      <c r="N550" s="27"/>
      <c r="O550" s="27"/>
      <c r="P550" s="27"/>
      <c r="Q550" s="27"/>
      <c r="R550" s="27"/>
      <c r="S550" s="29" t="str">
        <f aca="false">IF(OR(B550="",C550=""),"",IF(COUNTIFS($B$5:B550,B550,$C$5:C550,C550)=1,1,0))</f>
        <v/>
      </c>
      <c r="T550" s="29" t="str">
        <f aca="false">IF(OR(B550="",C550="",E550=""),"",IF(COUNTIFS($B$5:B550,B550,$C$5:C550,C550,$E$5:E550,E550)=1,1,0))</f>
        <v/>
      </c>
      <c r="U550" s="28" t="str">
        <f aca="false">IF(COUNTA(B550:C550,E550:F550,H550:P550)=0,"",IF(OR(B550="",C550="",E550=""),"Check: date, player, and context required",IF(AND(ISNUMBER(J550),ISNUMBER(I550),J550&gt;I550),"Check: solid contacts &gt; swings",IF(AND(ISNUMBER(L550),ISNUMBER(K550),L550&gt;K550),"Check: correct &gt; assessed decisions",IF(AND(ISNUMBER(N550),ISNUMBER(M550),N550&gt;M550),"Check: intended &gt; assessed landings",IF(AND(ISNUMBER(J550),I550=""),"Check: solid contacts without swings","OK"))))))</f>
        <v/>
      </c>
    </row>
    <row r="551" customFormat="false" ht="15" hidden="false" customHeight="false" outlineLevel="0" collapsed="false">
      <c r="B551" s="26"/>
      <c r="C551" s="27"/>
      <c r="D551" s="28" t="str">
        <f aca="false">IF(C551="","",IFERROR(INDEX(Players!$C$5:$C$104,MATCH(C551,Players!$B$5:$B$104,0)),"ID not found"))</f>
        <v/>
      </c>
      <c r="E551" s="27"/>
      <c r="F551" s="27"/>
      <c r="G551" s="28" t="str">
        <f aca="false">IF(F551="","",IFERROR(INDEX('Hitting Drills'!$D$6:$D$45,MATCH(F551,'Hitting Drills'!$B$6:$B$45,0)),"Not a hitting drill ID"))</f>
        <v/>
      </c>
      <c r="H551" s="27"/>
      <c r="I551" s="27"/>
      <c r="J551" s="27"/>
      <c r="K551" s="27"/>
      <c r="L551" s="27"/>
      <c r="M551" s="27"/>
      <c r="N551" s="27"/>
      <c r="O551" s="27"/>
      <c r="P551" s="27"/>
      <c r="Q551" s="27"/>
      <c r="R551" s="27"/>
      <c r="S551" s="29" t="str">
        <f aca="false">IF(OR(B551="",C551=""),"",IF(COUNTIFS($B$5:B551,B551,$C$5:C551,C551)=1,1,0))</f>
        <v/>
      </c>
      <c r="T551" s="29" t="str">
        <f aca="false">IF(OR(B551="",C551="",E551=""),"",IF(COUNTIFS($B$5:B551,B551,$C$5:C551,C551,$E$5:E551,E551)=1,1,0))</f>
        <v/>
      </c>
      <c r="U551" s="28" t="str">
        <f aca="false">IF(COUNTA(B551:C551,E551:F551,H551:P551)=0,"",IF(OR(B551="",C551="",E551=""),"Check: date, player, and context required",IF(AND(ISNUMBER(J551),ISNUMBER(I551),J551&gt;I551),"Check: solid contacts &gt; swings",IF(AND(ISNUMBER(L551),ISNUMBER(K551),L551&gt;K551),"Check: correct &gt; assessed decisions",IF(AND(ISNUMBER(N551),ISNUMBER(M551),N551&gt;M551),"Check: intended &gt; assessed landings",IF(AND(ISNUMBER(J551),I551=""),"Check: solid contacts without swings","OK"))))))</f>
        <v/>
      </c>
    </row>
    <row r="552" customFormat="false" ht="15" hidden="false" customHeight="false" outlineLevel="0" collapsed="false">
      <c r="B552" s="26"/>
      <c r="C552" s="27"/>
      <c r="D552" s="28" t="str">
        <f aca="false">IF(C552="","",IFERROR(INDEX(Players!$C$5:$C$104,MATCH(C552,Players!$B$5:$B$104,0)),"ID not found"))</f>
        <v/>
      </c>
      <c r="E552" s="27"/>
      <c r="F552" s="27"/>
      <c r="G552" s="28" t="str">
        <f aca="false">IF(F552="","",IFERROR(INDEX('Hitting Drills'!$D$6:$D$45,MATCH(F552,'Hitting Drills'!$B$6:$B$45,0)),"Not a hitting drill ID"))</f>
        <v/>
      </c>
      <c r="H552" s="27"/>
      <c r="I552" s="27"/>
      <c r="J552" s="27"/>
      <c r="K552" s="27"/>
      <c r="L552" s="27"/>
      <c r="M552" s="27"/>
      <c r="N552" s="27"/>
      <c r="O552" s="27"/>
      <c r="P552" s="27"/>
      <c r="Q552" s="27"/>
      <c r="R552" s="27"/>
      <c r="S552" s="29" t="str">
        <f aca="false">IF(OR(B552="",C552=""),"",IF(COUNTIFS($B$5:B552,B552,$C$5:C552,C552)=1,1,0))</f>
        <v/>
      </c>
      <c r="T552" s="29" t="str">
        <f aca="false">IF(OR(B552="",C552="",E552=""),"",IF(COUNTIFS($B$5:B552,B552,$C$5:C552,C552,$E$5:E552,E552)=1,1,0))</f>
        <v/>
      </c>
      <c r="U552" s="28" t="str">
        <f aca="false">IF(COUNTA(B552:C552,E552:F552,H552:P552)=0,"",IF(OR(B552="",C552="",E552=""),"Check: date, player, and context required",IF(AND(ISNUMBER(J552),ISNUMBER(I552),J552&gt;I552),"Check: solid contacts &gt; swings",IF(AND(ISNUMBER(L552),ISNUMBER(K552),L552&gt;K552),"Check: correct &gt; assessed decisions",IF(AND(ISNUMBER(N552),ISNUMBER(M552),N552&gt;M552),"Check: intended &gt; assessed landings",IF(AND(ISNUMBER(J552),I552=""),"Check: solid contacts without swings","OK"))))))</f>
        <v/>
      </c>
    </row>
    <row r="553" customFormat="false" ht="15" hidden="false" customHeight="false" outlineLevel="0" collapsed="false">
      <c r="B553" s="26"/>
      <c r="C553" s="27"/>
      <c r="D553" s="28" t="str">
        <f aca="false">IF(C553="","",IFERROR(INDEX(Players!$C$5:$C$104,MATCH(C553,Players!$B$5:$B$104,0)),"ID not found"))</f>
        <v/>
      </c>
      <c r="E553" s="27"/>
      <c r="F553" s="27"/>
      <c r="G553" s="28" t="str">
        <f aca="false">IF(F553="","",IFERROR(INDEX('Hitting Drills'!$D$6:$D$45,MATCH(F553,'Hitting Drills'!$B$6:$B$45,0)),"Not a hitting drill ID"))</f>
        <v/>
      </c>
      <c r="H553" s="27"/>
      <c r="I553" s="27"/>
      <c r="J553" s="27"/>
      <c r="K553" s="27"/>
      <c r="L553" s="27"/>
      <c r="M553" s="27"/>
      <c r="N553" s="27"/>
      <c r="O553" s="27"/>
      <c r="P553" s="27"/>
      <c r="Q553" s="27"/>
      <c r="R553" s="27"/>
      <c r="S553" s="29" t="str">
        <f aca="false">IF(OR(B553="",C553=""),"",IF(COUNTIFS($B$5:B553,B553,$C$5:C553,C553)=1,1,0))</f>
        <v/>
      </c>
      <c r="T553" s="29" t="str">
        <f aca="false">IF(OR(B553="",C553="",E553=""),"",IF(COUNTIFS($B$5:B553,B553,$C$5:C553,C553,$E$5:E553,E553)=1,1,0))</f>
        <v/>
      </c>
      <c r="U553" s="28" t="str">
        <f aca="false">IF(COUNTA(B553:C553,E553:F553,H553:P553)=0,"",IF(OR(B553="",C553="",E553=""),"Check: date, player, and context required",IF(AND(ISNUMBER(J553),ISNUMBER(I553),J553&gt;I553),"Check: solid contacts &gt; swings",IF(AND(ISNUMBER(L553),ISNUMBER(K553),L553&gt;K553),"Check: correct &gt; assessed decisions",IF(AND(ISNUMBER(N553),ISNUMBER(M553),N553&gt;M553),"Check: intended &gt; assessed landings",IF(AND(ISNUMBER(J553),I553=""),"Check: solid contacts without swings","OK"))))))</f>
        <v/>
      </c>
    </row>
    <row r="554" customFormat="false" ht="15" hidden="false" customHeight="false" outlineLevel="0" collapsed="false">
      <c r="B554" s="26"/>
      <c r="C554" s="27"/>
      <c r="D554" s="28" t="str">
        <f aca="false">IF(C554="","",IFERROR(INDEX(Players!$C$5:$C$104,MATCH(C554,Players!$B$5:$B$104,0)),"ID not found"))</f>
        <v/>
      </c>
      <c r="E554" s="27"/>
      <c r="F554" s="27"/>
      <c r="G554" s="28" t="str">
        <f aca="false">IF(F554="","",IFERROR(INDEX('Hitting Drills'!$D$6:$D$45,MATCH(F554,'Hitting Drills'!$B$6:$B$45,0)),"Not a hitting drill ID"))</f>
        <v/>
      </c>
      <c r="H554" s="27"/>
      <c r="I554" s="27"/>
      <c r="J554" s="27"/>
      <c r="K554" s="27"/>
      <c r="L554" s="27"/>
      <c r="M554" s="27"/>
      <c r="N554" s="27"/>
      <c r="O554" s="27"/>
      <c r="P554" s="27"/>
      <c r="Q554" s="27"/>
      <c r="R554" s="27"/>
      <c r="S554" s="29" t="str">
        <f aca="false">IF(OR(B554="",C554=""),"",IF(COUNTIFS($B$5:B554,B554,$C$5:C554,C554)=1,1,0))</f>
        <v/>
      </c>
      <c r="T554" s="29" t="str">
        <f aca="false">IF(OR(B554="",C554="",E554=""),"",IF(COUNTIFS($B$5:B554,B554,$C$5:C554,C554,$E$5:E554,E554)=1,1,0))</f>
        <v/>
      </c>
      <c r="U554" s="28" t="str">
        <f aca="false">IF(COUNTA(B554:C554,E554:F554,H554:P554)=0,"",IF(OR(B554="",C554="",E554=""),"Check: date, player, and context required",IF(AND(ISNUMBER(J554),ISNUMBER(I554),J554&gt;I554),"Check: solid contacts &gt; swings",IF(AND(ISNUMBER(L554),ISNUMBER(K554),L554&gt;K554),"Check: correct &gt; assessed decisions",IF(AND(ISNUMBER(N554),ISNUMBER(M554),N554&gt;M554),"Check: intended &gt; assessed landings",IF(AND(ISNUMBER(J554),I554=""),"Check: solid contacts without swings","OK"))))))</f>
        <v/>
      </c>
    </row>
    <row r="555" customFormat="false" ht="15" hidden="false" customHeight="false" outlineLevel="0" collapsed="false">
      <c r="B555" s="26"/>
      <c r="C555" s="27"/>
      <c r="D555" s="28" t="str">
        <f aca="false">IF(C555="","",IFERROR(INDEX(Players!$C$5:$C$104,MATCH(C555,Players!$B$5:$B$104,0)),"ID not found"))</f>
        <v/>
      </c>
      <c r="E555" s="27"/>
      <c r="F555" s="27"/>
      <c r="G555" s="28" t="str">
        <f aca="false">IF(F555="","",IFERROR(INDEX('Hitting Drills'!$D$6:$D$45,MATCH(F555,'Hitting Drills'!$B$6:$B$45,0)),"Not a hitting drill ID"))</f>
        <v/>
      </c>
      <c r="H555" s="27"/>
      <c r="I555" s="27"/>
      <c r="J555" s="27"/>
      <c r="K555" s="27"/>
      <c r="L555" s="27"/>
      <c r="M555" s="27"/>
      <c r="N555" s="27"/>
      <c r="O555" s="27"/>
      <c r="P555" s="27"/>
      <c r="Q555" s="27"/>
      <c r="R555" s="27"/>
      <c r="S555" s="29" t="str">
        <f aca="false">IF(OR(B555="",C555=""),"",IF(COUNTIFS($B$5:B555,B555,$C$5:C555,C555)=1,1,0))</f>
        <v/>
      </c>
      <c r="T555" s="29" t="str">
        <f aca="false">IF(OR(B555="",C555="",E555=""),"",IF(COUNTIFS($B$5:B555,B555,$C$5:C555,C555,$E$5:E555,E555)=1,1,0))</f>
        <v/>
      </c>
      <c r="U555" s="28" t="str">
        <f aca="false">IF(COUNTA(B555:C555,E555:F555,H555:P555)=0,"",IF(OR(B555="",C555="",E555=""),"Check: date, player, and context required",IF(AND(ISNUMBER(J555),ISNUMBER(I555),J555&gt;I555),"Check: solid contacts &gt; swings",IF(AND(ISNUMBER(L555),ISNUMBER(K555),L555&gt;K555),"Check: correct &gt; assessed decisions",IF(AND(ISNUMBER(N555),ISNUMBER(M555),N555&gt;M555),"Check: intended &gt; assessed landings",IF(AND(ISNUMBER(J555),I555=""),"Check: solid contacts without swings","OK"))))))</f>
        <v/>
      </c>
    </row>
    <row r="556" customFormat="false" ht="15" hidden="false" customHeight="false" outlineLevel="0" collapsed="false">
      <c r="B556" s="26"/>
      <c r="C556" s="27"/>
      <c r="D556" s="28" t="str">
        <f aca="false">IF(C556="","",IFERROR(INDEX(Players!$C$5:$C$104,MATCH(C556,Players!$B$5:$B$104,0)),"ID not found"))</f>
        <v/>
      </c>
      <c r="E556" s="27"/>
      <c r="F556" s="27"/>
      <c r="G556" s="28" t="str">
        <f aca="false">IF(F556="","",IFERROR(INDEX('Hitting Drills'!$D$6:$D$45,MATCH(F556,'Hitting Drills'!$B$6:$B$45,0)),"Not a hitting drill ID"))</f>
        <v/>
      </c>
      <c r="H556" s="27"/>
      <c r="I556" s="27"/>
      <c r="J556" s="27"/>
      <c r="K556" s="27"/>
      <c r="L556" s="27"/>
      <c r="M556" s="27"/>
      <c r="N556" s="27"/>
      <c r="O556" s="27"/>
      <c r="P556" s="27"/>
      <c r="Q556" s="27"/>
      <c r="R556" s="27"/>
      <c r="S556" s="29" t="str">
        <f aca="false">IF(OR(B556="",C556=""),"",IF(COUNTIFS($B$5:B556,B556,$C$5:C556,C556)=1,1,0))</f>
        <v/>
      </c>
      <c r="T556" s="29" t="str">
        <f aca="false">IF(OR(B556="",C556="",E556=""),"",IF(COUNTIFS($B$5:B556,B556,$C$5:C556,C556,$E$5:E556,E556)=1,1,0))</f>
        <v/>
      </c>
      <c r="U556" s="28" t="str">
        <f aca="false">IF(COUNTA(B556:C556,E556:F556,H556:P556)=0,"",IF(OR(B556="",C556="",E556=""),"Check: date, player, and context required",IF(AND(ISNUMBER(J556),ISNUMBER(I556),J556&gt;I556),"Check: solid contacts &gt; swings",IF(AND(ISNUMBER(L556),ISNUMBER(K556),L556&gt;K556),"Check: correct &gt; assessed decisions",IF(AND(ISNUMBER(N556),ISNUMBER(M556),N556&gt;M556),"Check: intended &gt; assessed landings",IF(AND(ISNUMBER(J556),I556=""),"Check: solid contacts without swings","OK"))))))</f>
        <v/>
      </c>
    </row>
    <row r="557" customFormat="false" ht="15" hidden="false" customHeight="false" outlineLevel="0" collapsed="false">
      <c r="B557" s="26"/>
      <c r="C557" s="27"/>
      <c r="D557" s="28" t="str">
        <f aca="false">IF(C557="","",IFERROR(INDEX(Players!$C$5:$C$104,MATCH(C557,Players!$B$5:$B$104,0)),"ID not found"))</f>
        <v/>
      </c>
      <c r="E557" s="27"/>
      <c r="F557" s="27"/>
      <c r="G557" s="28" t="str">
        <f aca="false">IF(F557="","",IFERROR(INDEX('Hitting Drills'!$D$6:$D$45,MATCH(F557,'Hitting Drills'!$B$6:$B$45,0)),"Not a hitting drill ID"))</f>
        <v/>
      </c>
      <c r="H557" s="27"/>
      <c r="I557" s="27"/>
      <c r="J557" s="27"/>
      <c r="K557" s="27"/>
      <c r="L557" s="27"/>
      <c r="M557" s="27"/>
      <c r="N557" s="27"/>
      <c r="O557" s="27"/>
      <c r="P557" s="27"/>
      <c r="Q557" s="27"/>
      <c r="R557" s="27"/>
      <c r="S557" s="29" t="str">
        <f aca="false">IF(OR(B557="",C557=""),"",IF(COUNTIFS($B$5:B557,B557,$C$5:C557,C557)=1,1,0))</f>
        <v/>
      </c>
      <c r="T557" s="29" t="str">
        <f aca="false">IF(OR(B557="",C557="",E557=""),"",IF(COUNTIFS($B$5:B557,B557,$C$5:C557,C557,$E$5:E557,E557)=1,1,0))</f>
        <v/>
      </c>
      <c r="U557" s="28" t="str">
        <f aca="false">IF(COUNTA(B557:C557,E557:F557,H557:P557)=0,"",IF(OR(B557="",C557="",E557=""),"Check: date, player, and context required",IF(AND(ISNUMBER(J557),ISNUMBER(I557),J557&gt;I557),"Check: solid contacts &gt; swings",IF(AND(ISNUMBER(L557),ISNUMBER(K557),L557&gt;K557),"Check: correct &gt; assessed decisions",IF(AND(ISNUMBER(N557),ISNUMBER(M557),N557&gt;M557),"Check: intended &gt; assessed landings",IF(AND(ISNUMBER(J557),I557=""),"Check: solid contacts without swings","OK"))))))</f>
        <v/>
      </c>
    </row>
    <row r="558" customFormat="false" ht="15" hidden="false" customHeight="false" outlineLevel="0" collapsed="false">
      <c r="B558" s="26"/>
      <c r="C558" s="27"/>
      <c r="D558" s="28" t="str">
        <f aca="false">IF(C558="","",IFERROR(INDEX(Players!$C$5:$C$104,MATCH(C558,Players!$B$5:$B$104,0)),"ID not found"))</f>
        <v/>
      </c>
      <c r="E558" s="27"/>
      <c r="F558" s="27"/>
      <c r="G558" s="28" t="str">
        <f aca="false">IF(F558="","",IFERROR(INDEX('Hitting Drills'!$D$6:$D$45,MATCH(F558,'Hitting Drills'!$B$6:$B$45,0)),"Not a hitting drill ID"))</f>
        <v/>
      </c>
      <c r="H558" s="27"/>
      <c r="I558" s="27"/>
      <c r="J558" s="27"/>
      <c r="K558" s="27"/>
      <c r="L558" s="27"/>
      <c r="M558" s="27"/>
      <c r="N558" s="27"/>
      <c r="O558" s="27"/>
      <c r="P558" s="27"/>
      <c r="Q558" s="27"/>
      <c r="R558" s="27"/>
      <c r="S558" s="29" t="str">
        <f aca="false">IF(OR(B558="",C558=""),"",IF(COUNTIFS($B$5:B558,B558,$C$5:C558,C558)=1,1,0))</f>
        <v/>
      </c>
      <c r="T558" s="29" t="str">
        <f aca="false">IF(OR(B558="",C558="",E558=""),"",IF(COUNTIFS($B$5:B558,B558,$C$5:C558,C558,$E$5:E558,E558)=1,1,0))</f>
        <v/>
      </c>
      <c r="U558" s="28" t="str">
        <f aca="false">IF(COUNTA(B558:C558,E558:F558,H558:P558)=0,"",IF(OR(B558="",C558="",E558=""),"Check: date, player, and context required",IF(AND(ISNUMBER(J558),ISNUMBER(I558),J558&gt;I558),"Check: solid contacts &gt; swings",IF(AND(ISNUMBER(L558),ISNUMBER(K558),L558&gt;K558),"Check: correct &gt; assessed decisions",IF(AND(ISNUMBER(N558),ISNUMBER(M558),N558&gt;M558),"Check: intended &gt; assessed landings",IF(AND(ISNUMBER(J558),I558=""),"Check: solid contacts without swings","OK"))))))</f>
        <v/>
      </c>
    </row>
    <row r="559" customFormat="false" ht="15" hidden="false" customHeight="false" outlineLevel="0" collapsed="false">
      <c r="B559" s="26"/>
      <c r="C559" s="27"/>
      <c r="D559" s="28" t="str">
        <f aca="false">IF(C559="","",IFERROR(INDEX(Players!$C$5:$C$104,MATCH(C559,Players!$B$5:$B$104,0)),"ID not found"))</f>
        <v/>
      </c>
      <c r="E559" s="27"/>
      <c r="F559" s="27"/>
      <c r="G559" s="28" t="str">
        <f aca="false">IF(F559="","",IFERROR(INDEX('Hitting Drills'!$D$6:$D$45,MATCH(F559,'Hitting Drills'!$B$6:$B$45,0)),"Not a hitting drill ID"))</f>
        <v/>
      </c>
      <c r="H559" s="27"/>
      <c r="I559" s="27"/>
      <c r="J559" s="27"/>
      <c r="K559" s="27"/>
      <c r="L559" s="27"/>
      <c r="M559" s="27"/>
      <c r="N559" s="27"/>
      <c r="O559" s="27"/>
      <c r="P559" s="27"/>
      <c r="Q559" s="27"/>
      <c r="R559" s="27"/>
      <c r="S559" s="29" t="str">
        <f aca="false">IF(OR(B559="",C559=""),"",IF(COUNTIFS($B$5:B559,B559,$C$5:C559,C559)=1,1,0))</f>
        <v/>
      </c>
      <c r="T559" s="29" t="str">
        <f aca="false">IF(OR(B559="",C559="",E559=""),"",IF(COUNTIFS($B$5:B559,B559,$C$5:C559,C559,$E$5:E559,E559)=1,1,0))</f>
        <v/>
      </c>
      <c r="U559" s="28" t="str">
        <f aca="false">IF(COUNTA(B559:C559,E559:F559,H559:P559)=0,"",IF(OR(B559="",C559="",E559=""),"Check: date, player, and context required",IF(AND(ISNUMBER(J559),ISNUMBER(I559),J559&gt;I559),"Check: solid contacts &gt; swings",IF(AND(ISNUMBER(L559),ISNUMBER(K559),L559&gt;K559),"Check: correct &gt; assessed decisions",IF(AND(ISNUMBER(N559),ISNUMBER(M559),N559&gt;M559),"Check: intended &gt; assessed landings",IF(AND(ISNUMBER(J559),I559=""),"Check: solid contacts without swings","OK"))))))</f>
        <v/>
      </c>
    </row>
    <row r="560" customFormat="false" ht="15" hidden="false" customHeight="false" outlineLevel="0" collapsed="false">
      <c r="B560" s="26"/>
      <c r="C560" s="27"/>
      <c r="D560" s="28" t="str">
        <f aca="false">IF(C560="","",IFERROR(INDEX(Players!$C$5:$C$104,MATCH(C560,Players!$B$5:$B$104,0)),"ID not found"))</f>
        <v/>
      </c>
      <c r="E560" s="27"/>
      <c r="F560" s="27"/>
      <c r="G560" s="28" t="str">
        <f aca="false">IF(F560="","",IFERROR(INDEX('Hitting Drills'!$D$6:$D$45,MATCH(F560,'Hitting Drills'!$B$6:$B$45,0)),"Not a hitting drill ID"))</f>
        <v/>
      </c>
      <c r="H560" s="27"/>
      <c r="I560" s="27"/>
      <c r="J560" s="27"/>
      <c r="K560" s="27"/>
      <c r="L560" s="27"/>
      <c r="M560" s="27"/>
      <c r="N560" s="27"/>
      <c r="O560" s="27"/>
      <c r="P560" s="27"/>
      <c r="Q560" s="27"/>
      <c r="R560" s="27"/>
      <c r="S560" s="29" t="str">
        <f aca="false">IF(OR(B560="",C560=""),"",IF(COUNTIFS($B$5:B560,B560,$C$5:C560,C560)=1,1,0))</f>
        <v/>
      </c>
      <c r="T560" s="29" t="str">
        <f aca="false">IF(OR(B560="",C560="",E560=""),"",IF(COUNTIFS($B$5:B560,B560,$C$5:C560,C560,$E$5:E560,E560)=1,1,0))</f>
        <v/>
      </c>
      <c r="U560" s="28" t="str">
        <f aca="false">IF(COUNTA(B560:C560,E560:F560,H560:P560)=0,"",IF(OR(B560="",C560="",E560=""),"Check: date, player, and context required",IF(AND(ISNUMBER(J560),ISNUMBER(I560),J560&gt;I560),"Check: solid contacts &gt; swings",IF(AND(ISNUMBER(L560),ISNUMBER(K560),L560&gt;K560),"Check: correct &gt; assessed decisions",IF(AND(ISNUMBER(N560),ISNUMBER(M560),N560&gt;M560),"Check: intended &gt; assessed landings",IF(AND(ISNUMBER(J560),I560=""),"Check: solid contacts without swings","OK"))))))</f>
        <v/>
      </c>
    </row>
    <row r="561" customFormat="false" ht="15" hidden="false" customHeight="false" outlineLevel="0" collapsed="false">
      <c r="B561" s="26"/>
      <c r="C561" s="27"/>
      <c r="D561" s="28" t="str">
        <f aca="false">IF(C561="","",IFERROR(INDEX(Players!$C$5:$C$104,MATCH(C561,Players!$B$5:$B$104,0)),"ID not found"))</f>
        <v/>
      </c>
      <c r="E561" s="27"/>
      <c r="F561" s="27"/>
      <c r="G561" s="28" t="str">
        <f aca="false">IF(F561="","",IFERROR(INDEX('Hitting Drills'!$D$6:$D$45,MATCH(F561,'Hitting Drills'!$B$6:$B$45,0)),"Not a hitting drill ID"))</f>
        <v/>
      </c>
      <c r="H561" s="27"/>
      <c r="I561" s="27"/>
      <c r="J561" s="27"/>
      <c r="K561" s="27"/>
      <c r="L561" s="27"/>
      <c r="M561" s="27"/>
      <c r="N561" s="27"/>
      <c r="O561" s="27"/>
      <c r="P561" s="27"/>
      <c r="Q561" s="27"/>
      <c r="R561" s="27"/>
      <c r="S561" s="29" t="str">
        <f aca="false">IF(OR(B561="",C561=""),"",IF(COUNTIFS($B$5:B561,B561,$C$5:C561,C561)=1,1,0))</f>
        <v/>
      </c>
      <c r="T561" s="29" t="str">
        <f aca="false">IF(OR(B561="",C561="",E561=""),"",IF(COUNTIFS($B$5:B561,B561,$C$5:C561,C561,$E$5:E561,E561)=1,1,0))</f>
        <v/>
      </c>
      <c r="U561" s="28" t="str">
        <f aca="false">IF(COUNTA(B561:C561,E561:F561,H561:P561)=0,"",IF(OR(B561="",C561="",E561=""),"Check: date, player, and context required",IF(AND(ISNUMBER(J561),ISNUMBER(I561),J561&gt;I561),"Check: solid contacts &gt; swings",IF(AND(ISNUMBER(L561),ISNUMBER(K561),L561&gt;K561),"Check: correct &gt; assessed decisions",IF(AND(ISNUMBER(N561),ISNUMBER(M561),N561&gt;M561),"Check: intended &gt; assessed landings",IF(AND(ISNUMBER(J561),I561=""),"Check: solid contacts without swings","OK"))))))</f>
        <v/>
      </c>
    </row>
    <row r="562" customFormat="false" ht="15" hidden="false" customHeight="false" outlineLevel="0" collapsed="false">
      <c r="B562" s="26"/>
      <c r="C562" s="27"/>
      <c r="D562" s="28" t="str">
        <f aca="false">IF(C562="","",IFERROR(INDEX(Players!$C$5:$C$104,MATCH(C562,Players!$B$5:$B$104,0)),"ID not found"))</f>
        <v/>
      </c>
      <c r="E562" s="27"/>
      <c r="F562" s="27"/>
      <c r="G562" s="28" t="str">
        <f aca="false">IF(F562="","",IFERROR(INDEX('Hitting Drills'!$D$6:$D$45,MATCH(F562,'Hitting Drills'!$B$6:$B$45,0)),"Not a hitting drill ID"))</f>
        <v/>
      </c>
      <c r="H562" s="27"/>
      <c r="I562" s="27"/>
      <c r="J562" s="27"/>
      <c r="K562" s="27"/>
      <c r="L562" s="27"/>
      <c r="M562" s="27"/>
      <c r="N562" s="27"/>
      <c r="O562" s="27"/>
      <c r="P562" s="27"/>
      <c r="Q562" s="27"/>
      <c r="R562" s="27"/>
      <c r="S562" s="29" t="str">
        <f aca="false">IF(OR(B562="",C562=""),"",IF(COUNTIFS($B$5:B562,B562,$C$5:C562,C562)=1,1,0))</f>
        <v/>
      </c>
      <c r="T562" s="29" t="str">
        <f aca="false">IF(OR(B562="",C562="",E562=""),"",IF(COUNTIFS($B$5:B562,B562,$C$5:C562,C562,$E$5:E562,E562)=1,1,0))</f>
        <v/>
      </c>
      <c r="U562" s="28" t="str">
        <f aca="false">IF(COUNTA(B562:C562,E562:F562,H562:P562)=0,"",IF(OR(B562="",C562="",E562=""),"Check: date, player, and context required",IF(AND(ISNUMBER(J562),ISNUMBER(I562),J562&gt;I562),"Check: solid contacts &gt; swings",IF(AND(ISNUMBER(L562),ISNUMBER(K562),L562&gt;K562),"Check: correct &gt; assessed decisions",IF(AND(ISNUMBER(N562),ISNUMBER(M562),N562&gt;M562),"Check: intended &gt; assessed landings",IF(AND(ISNUMBER(J562),I562=""),"Check: solid contacts without swings","OK"))))))</f>
        <v/>
      </c>
    </row>
    <row r="563" customFormat="false" ht="15" hidden="false" customHeight="false" outlineLevel="0" collapsed="false">
      <c r="B563" s="26"/>
      <c r="C563" s="27"/>
      <c r="D563" s="28" t="str">
        <f aca="false">IF(C563="","",IFERROR(INDEX(Players!$C$5:$C$104,MATCH(C563,Players!$B$5:$B$104,0)),"ID not found"))</f>
        <v/>
      </c>
      <c r="E563" s="27"/>
      <c r="F563" s="27"/>
      <c r="G563" s="28" t="str">
        <f aca="false">IF(F563="","",IFERROR(INDEX('Hitting Drills'!$D$6:$D$45,MATCH(F563,'Hitting Drills'!$B$6:$B$45,0)),"Not a hitting drill ID"))</f>
        <v/>
      </c>
      <c r="H563" s="27"/>
      <c r="I563" s="27"/>
      <c r="J563" s="27"/>
      <c r="K563" s="27"/>
      <c r="L563" s="27"/>
      <c r="M563" s="27"/>
      <c r="N563" s="27"/>
      <c r="O563" s="27"/>
      <c r="P563" s="27"/>
      <c r="Q563" s="27"/>
      <c r="R563" s="27"/>
      <c r="S563" s="29" t="str">
        <f aca="false">IF(OR(B563="",C563=""),"",IF(COUNTIFS($B$5:B563,B563,$C$5:C563,C563)=1,1,0))</f>
        <v/>
      </c>
      <c r="T563" s="29" t="str">
        <f aca="false">IF(OR(B563="",C563="",E563=""),"",IF(COUNTIFS($B$5:B563,B563,$C$5:C563,C563,$E$5:E563,E563)=1,1,0))</f>
        <v/>
      </c>
      <c r="U563" s="28" t="str">
        <f aca="false">IF(COUNTA(B563:C563,E563:F563,H563:P563)=0,"",IF(OR(B563="",C563="",E563=""),"Check: date, player, and context required",IF(AND(ISNUMBER(J563),ISNUMBER(I563),J563&gt;I563),"Check: solid contacts &gt; swings",IF(AND(ISNUMBER(L563),ISNUMBER(K563),L563&gt;K563),"Check: correct &gt; assessed decisions",IF(AND(ISNUMBER(N563),ISNUMBER(M563),N563&gt;M563),"Check: intended &gt; assessed landings",IF(AND(ISNUMBER(J563),I563=""),"Check: solid contacts without swings","OK"))))))</f>
        <v/>
      </c>
    </row>
    <row r="564" customFormat="false" ht="15" hidden="false" customHeight="false" outlineLevel="0" collapsed="false">
      <c r="B564" s="26"/>
      <c r="C564" s="27"/>
      <c r="D564" s="28" t="str">
        <f aca="false">IF(C564="","",IFERROR(INDEX(Players!$C$5:$C$104,MATCH(C564,Players!$B$5:$B$104,0)),"ID not found"))</f>
        <v/>
      </c>
      <c r="E564" s="27"/>
      <c r="F564" s="27"/>
      <c r="G564" s="28" t="str">
        <f aca="false">IF(F564="","",IFERROR(INDEX('Hitting Drills'!$D$6:$D$45,MATCH(F564,'Hitting Drills'!$B$6:$B$45,0)),"Not a hitting drill ID"))</f>
        <v/>
      </c>
      <c r="H564" s="27"/>
      <c r="I564" s="27"/>
      <c r="J564" s="27"/>
      <c r="K564" s="27"/>
      <c r="L564" s="27"/>
      <c r="M564" s="27"/>
      <c r="N564" s="27"/>
      <c r="O564" s="27"/>
      <c r="P564" s="27"/>
      <c r="Q564" s="27"/>
      <c r="R564" s="27"/>
      <c r="S564" s="29" t="str">
        <f aca="false">IF(OR(B564="",C564=""),"",IF(COUNTIFS($B$5:B564,B564,$C$5:C564,C564)=1,1,0))</f>
        <v/>
      </c>
      <c r="T564" s="29" t="str">
        <f aca="false">IF(OR(B564="",C564="",E564=""),"",IF(COUNTIFS($B$5:B564,B564,$C$5:C564,C564,$E$5:E564,E564)=1,1,0))</f>
        <v/>
      </c>
      <c r="U564" s="28" t="str">
        <f aca="false">IF(COUNTA(B564:C564,E564:F564,H564:P564)=0,"",IF(OR(B564="",C564="",E564=""),"Check: date, player, and context required",IF(AND(ISNUMBER(J564),ISNUMBER(I564),J564&gt;I564),"Check: solid contacts &gt; swings",IF(AND(ISNUMBER(L564),ISNUMBER(K564),L564&gt;K564),"Check: correct &gt; assessed decisions",IF(AND(ISNUMBER(N564),ISNUMBER(M564),N564&gt;M564),"Check: intended &gt; assessed landings",IF(AND(ISNUMBER(J564),I564=""),"Check: solid contacts without swings","OK"))))))</f>
        <v/>
      </c>
    </row>
    <row r="565" customFormat="false" ht="15" hidden="false" customHeight="false" outlineLevel="0" collapsed="false">
      <c r="B565" s="26"/>
      <c r="C565" s="27"/>
      <c r="D565" s="28" t="str">
        <f aca="false">IF(C565="","",IFERROR(INDEX(Players!$C$5:$C$104,MATCH(C565,Players!$B$5:$B$104,0)),"ID not found"))</f>
        <v/>
      </c>
      <c r="E565" s="27"/>
      <c r="F565" s="27"/>
      <c r="G565" s="28" t="str">
        <f aca="false">IF(F565="","",IFERROR(INDEX('Hitting Drills'!$D$6:$D$45,MATCH(F565,'Hitting Drills'!$B$6:$B$45,0)),"Not a hitting drill ID"))</f>
        <v/>
      </c>
      <c r="H565" s="27"/>
      <c r="I565" s="27"/>
      <c r="J565" s="27"/>
      <c r="K565" s="27"/>
      <c r="L565" s="27"/>
      <c r="M565" s="27"/>
      <c r="N565" s="27"/>
      <c r="O565" s="27"/>
      <c r="P565" s="27"/>
      <c r="Q565" s="27"/>
      <c r="R565" s="27"/>
      <c r="S565" s="29" t="str">
        <f aca="false">IF(OR(B565="",C565=""),"",IF(COUNTIFS($B$5:B565,B565,$C$5:C565,C565)=1,1,0))</f>
        <v/>
      </c>
      <c r="T565" s="29" t="str">
        <f aca="false">IF(OR(B565="",C565="",E565=""),"",IF(COUNTIFS($B$5:B565,B565,$C$5:C565,C565,$E$5:E565,E565)=1,1,0))</f>
        <v/>
      </c>
      <c r="U565" s="28" t="str">
        <f aca="false">IF(COUNTA(B565:C565,E565:F565,H565:P565)=0,"",IF(OR(B565="",C565="",E565=""),"Check: date, player, and context required",IF(AND(ISNUMBER(J565),ISNUMBER(I565),J565&gt;I565),"Check: solid contacts &gt; swings",IF(AND(ISNUMBER(L565),ISNUMBER(K565),L565&gt;K565),"Check: correct &gt; assessed decisions",IF(AND(ISNUMBER(N565),ISNUMBER(M565),N565&gt;M565),"Check: intended &gt; assessed landings",IF(AND(ISNUMBER(J565),I565=""),"Check: solid contacts without swings","OK"))))))</f>
        <v/>
      </c>
    </row>
    <row r="566" customFormat="false" ht="15" hidden="false" customHeight="false" outlineLevel="0" collapsed="false">
      <c r="B566" s="26"/>
      <c r="C566" s="27"/>
      <c r="D566" s="28" t="str">
        <f aca="false">IF(C566="","",IFERROR(INDEX(Players!$C$5:$C$104,MATCH(C566,Players!$B$5:$B$104,0)),"ID not found"))</f>
        <v/>
      </c>
      <c r="E566" s="27"/>
      <c r="F566" s="27"/>
      <c r="G566" s="28" t="str">
        <f aca="false">IF(F566="","",IFERROR(INDEX('Hitting Drills'!$D$6:$D$45,MATCH(F566,'Hitting Drills'!$B$6:$B$45,0)),"Not a hitting drill ID"))</f>
        <v/>
      </c>
      <c r="H566" s="27"/>
      <c r="I566" s="27"/>
      <c r="J566" s="27"/>
      <c r="K566" s="27"/>
      <c r="L566" s="27"/>
      <c r="M566" s="27"/>
      <c r="N566" s="27"/>
      <c r="O566" s="27"/>
      <c r="P566" s="27"/>
      <c r="Q566" s="27"/>
      <c r="R566" s="27"/>
      <c r="S566" s="29" t="str">
        <f aca="false">IF(OR(B566="",C566=""),"",IF(COUNTIFS($B$5:B566,B566,$C$5:C566,C566)=1,1,0))</f>
        <v/>
      </c>
      <c r="T566" s="29" t="str">
        <f aca="false">IF(OR(B566="",C566="",E566=""),"",IF(COUNTIFS($B$5:B566,B566,$C$5:C566,C566,$E$5:E566,E566)=1,1,0))</f>
        <v/>
      </c>
      <c r="U566" s="28" t="str">
        <f aca="false">IF(COUNTA(B566:C566,E566:F566,H566:P566)=0,"",IF(OR(B566="",C566="",E566=""),"Check: date, player, and context required",IF(AND(ISNUMBER(J566),ISNUMBER(I566),J566&gt;I566),"Check: solid contacts &gt; swings",IF(AND(ISNUMBER(L566),ISNUMBER(K566),L566&gt;K566),"Check: correct &gt; assessed decisions",IF(AND(ISNUMBER(N566),ISNUMBER(M566),N566&gt;M566),"Check: intended &gt; assessed landings",IF(AND(ISNUMBER(J566),I566=""),"Check: solid contacts without swings","OK"))))))</f>
        <v/>
      </c>
    </row>
    <row r="567" customFormat="false" ht="15" hidden="false" customHeight="false" outlineLevel="0" collapsed="false">
      <c r="B567" s="26"/>
      <c r="C567" s="27"/>
      <c r="D567" s="28" t="str">
        <f aca="false">IF(C567="","",IFERROR(INDEX(Players!$C$5:$C$104,MATCH(C567,Players!$B$5:$B$104,0)),"ID not found"))</f>
        <v/>
      </c>
      <c r="E567" s="27"/>
      <c r="F567" s="27"/>
      <c r="G567" s="28" t="str">
        <f aca="false">IF(F567="","",IFERROR(INDEX('Hitting Drills'!$D$6:$D$45,MATCH(F567,'Hitting Drills'!$B$6:$B$45,0)),"Not a hitting drill ID"))</f>
        <v/>
      </c>
      <c r="H567" s="27"/>
      <c r="I567" s="27"/>
      <c r="J567" s="27"/>
      <c r="K567" s="27"/>
      <c r="L567" s="27"/>
      <c r="M567" s="27"/>
      <c r="N567" s="27"/>
      <c r="O567" s="27"/>
      <c r="P567" s="27"/>
      <c r="Q567" s="27"/>
      <c r="R567" s="27"/>
      <c r="S567" s="29" t="str">
        <f aca="false">IF(OR(B567="",C567=""),"",IF(COUNTIFS($B$5:B567,B567,$C$5:C567,C567)=1,1,0))</f>
        <v/>
      </c>
      <c r="T567" s="29" t="str">
        <f aca="false">IF(OR(B567="",C567="",E567=""),"",IF(COUNTIFS($B$5:B567,B567,$C$5:C567,C567,$E$5:E567,E567)=1,1,0))</f>
        <v/>
      </c>
      <c r="U567" s="28" t="str">
        <f aca="false">IF(COUNTA(B567:C567,E567:F567,H567:P567)=0,"",IF(OR(B567="",C567="",E567=""),"Check: date, player, and context required",IF(AND(ISNUMBER(J567),ISNUMBER(I567),J567&gt;I567),"Check: solid contacts &gt; swings",IF(AND(ISNUMBER(L567),ISNUMBER(K567),L567&gt;K567),"Check: correct &gt; assessed decisions",IF(AND(ISNUMBER(N567),ISNUMBER(M567),N567&gt;M567),"Check: intended &gt; assessed landings",IF(AND(ISNUMBER(J567),I567=""),"Check: solid contacts without swings","OK"))))))</f>
        <v/>
      </c>
    </row>
    <row r="568" customFormat="false" ht="15" hidden="false" customHeight="false" outlineLevel="0" collapsed="false">
      <c r="B568" s="26"/>
      <c r="C568" s="27"/>
      <c r="D568" s="28" t="str">
        <f aca="false">IF(C568="","",IFERROR(INDEX(Players!$C$5:$C$104,MATCH(C568,Players!$B$5:$B$104,0)),"ID not found"))</f>
        <v/>
      </c>
      <c r="E568" s="27"/>
      <c r="F568" s="27"/>
      <c r="G568" s="28" t="str">
        <f aca="false">IF(F568="","",IFERROR(INDEX('Hitting Drills'!$D$6:$D$45,MATCH(F568,'Hitting Drills'!$B$6:$B$45,0)),"Not a hitting drill ID"))</f>
        <v/>
      </c>
      <c r="H568" s="27"/>
      <c r="I568" s="27"/>
      <c r="J568" s="27"/>
      <c r="K568" s="27"/>
      <c r="L568" s="27"/>
      <c r="M568" s="27"/>
      <c r="N568" s="27"/>
      <c r="O568" s="27"/>
      <c r="P568" s="27"/>
      <c r="Q568" s="27"/>
      <c r="R568" s="27"/>
      <c r="S568" s="29" t="str">
        <f aca="false">IF(OR(B568="",C568=""),"",IF(COUNTIFS($B$5:B568,B568,$C$5:C568,C568)=1,1,0))</f>
        <v/>
      </c>
      <c r="T568" s="29" t="str">
        <f aca="false">IF(OR(B568="",C568="",E568=""),"",IF(COUNTIFS($B$5:B568,B568,$C$5:C568,C568,$E$5:E568,E568)=1,1,0))</f>
        <v/>
      </c>
      <c r="U568" s="28" t="str">
        <f aca="false">IF(COUNTA(B568:C568,E568:F568,H568:P568)=0,"",IF(OR(B568="",C568="",E568=""),"Check: date, player, and context required",IF(AND(ISNUMBER(J568),ISNUMBER(I568),J568&gt;I568),"Check: solid contacts &gt; swings",IF(AND(ISNUMBER(L568),ISNUMBER(K568),L568&gt;K568),"Check: correct &gt; assessed decisions",IF(AND(ISNUMBER(N568),ISNUMBER(M568),N568&gt;M568),"Check: intended &gt; assessed landings",IF(AND(ISNUMBER(J568),I568=""),"Check: solid contacts without swings","OK"))))))</f>
        <v/>
      </c>
    </row>
    <row r="569" customFormat="false" ht="15" hidden="false" customHeight="false" outlineLevel="0" collapsed="false">
      <c r="B569" s="26"/>
      <c r="C569" s="27"/>
      <c r="D569" s="28" t="str">
        <f aca="false">IF(C569="","",IFERROR(INDEX(Players!$C$5:$C$104,MATCH(C569,Players!$B$5:$B$104,0)),"ID not found"))</f>
        <v/>
      </c>
      <c r="E569" s="27"/>
      <c r="F569" s="27"/>
      <c r="G569" s="28" t="str">
        <f aca="false">IF(F569="","",IFERROR(INDEX('Hitting Drills'!$D$6:$D$45,MATCH(F569,'Hitting Drills'!$B$6:$B$45,0)),"Not a hitting drill ID"))</f>
        <v/>
      </c>
      <c r="H569" s="27"/>
      <c r="I569" s="27"/>
      <c r="J569" s="27"/>
      <c r="K569" s="27"/>
      <c r="L569" s="27"/>
      <c r="M569" s="27"/>
      <c r="N569" s="27"/>
      <c r="O569" s="27"/>
      <c r="P569" s="27"/>
      <c r="Q569" s="27"/>
      <c r="R569" s="27"/>
      <c r="S569" s="29" t="str">
        <f aca="false">IF(OR(B569="",C569=""),"",IF(COUNTIFS($B$5:B569,B569,$C$5:C569,C569)=1,1,0))</f>
        <v/>
      </c>
      <c r="T569" s="29" t="str">
        <f aca="false">IF(OR(B569="",C569="",E569=""),"",IF(COUNTIFS($B$5:B569,B569,$C$5:C569,C569,$E$5:E569,E569)=1,1,0))</f>
        <v/>
      </c>
      <c r="U569" s="28" t="str">
        <f aca="false">IF(COUNTA(B569:C569,E569:F569,H569:P569)=0,"",IF(OR(B569="",C569="",E569=""),"Check: date, player, and context required",IF(AND(ISNUMBER(J569),ISNUMBER(I569),J569&gt;I569),"Check: solid contacts &gt; swings",IF(AND(ISNUMBER(L569),ISNUMBER(K569),L569&gt;K569),"Check: correct &gt; assessed decisions",IF(AND(ISNUMBER(N569),ISNUMBER(M569),N569&gt;M569),"Check: intended &gt; assessed landings",IF(AND(ISNUMBER(J569),I569=""),"Check: solid contacts without swings","OK"))))))</f>
        <v/>
      </c>
    </row>
    <row r="570" customFormat="false" ht="15" hidden="false" customHeight="false" outlineLevel="0" collapsed="false">
      <c r="B570" s="26"/>
      <c r="C570" s="27"/>
      <c r="D570" s="28" t="str">
        <f aca="false">IF(C570="","",IFERROR(INDEX(Players!$C$5:$C$104,MATCH(C570,Players!$B$5:$B$104,0)),"ID not found"))</f>
        <v/>
      </c>
      <c r="E570" s="27"/>
      <c r="F570" s="27"/>
      <c r="G570" s="28" t="str">
        <f aca="false">IF(F570="","",IFERROR(INDEX('Hitting Drills'!$D$6:$D$45,MATCH(F570,'Hitting Drills'!$B$6:$B$45,0)),"Not a hitting drill ID"))</f>
        <v/>
      </c>
      <c r="H570" s="27"/>
      <c r="I570" s="27"/>
      <c r="J570" s="27"/>
      <c r="K570" s="27"/>
      <c r="L570" s="27"/>
      <c r="M570" s="27"/>
      <c r="N570" s="27"/>
      <c r="O570" s="27"/>
      <c r="P570" s="27"/>
      <c r="Q570" s="27"/>
      <c r="R570" s="27"/>
      <c r="S570" s="29" t="str">
        <f aca="false">IF(OR(B570="",C570=""),"",IF(COUNTIFS($B$5:B570,B570,$C$5:C570,C570)=1,1,0))</f>
        <v/>
      </c>
      <c r="T570" s="29" t="str">
        <f aca="false">IF(OR(B570="",C570="",E570=""),"",IF(COUNTIFS($B$5:B570,B570,$C$5:C570,C570,$E$5:E570,E570)=1,1,0))</f>
        <v/>
      </c>
      <c r="U570" s="28" t="str">
        <f aca="false">IF(COUNTA(B570:C570,E570:F570,H570:P570)=0,"",IF(OR(B570="",C570="",E570=""),"Check: date, player, and context required",IF(AND(ISNUMBER(J570),ISNUMBER(I570),J570&gt;I570),"Check: solid contacts &gt; swings",IF(AND(ISNUMBER(L570),ISNUMBER(K570),L570&gt;K570),"Check: correct &gt; assessed decisions",IF(AND(ISNUMBER(N570),ISNUMBER(M570),N570&gt;M570),"Check: intended &gt; assessed landings",IF(AND(ISNUMBER(J570),I570=""),"Check: solid contacts without swings","OK"))))))</f>
        <v/>
      </c>
    </row>
    <row r="571" customFormat="false" ht="15" hidden="false" customHeight="false" outlineLevel="0" collapsed="false">
      <c r="B571" s="26"/>
      <c r="C571" s="27"/>
      <c r="D571" s="28" t="str">
        <f aca="false">IF(C571="","",IFERROR(INDEX(Players!$C$5:$C$104,MATCH(C571,Players!$B$5:$B$104,0)),"ID not found"))</f>
        <v/>
      </c>
      <c r="E571" s="27"/>
      <c r="F571" s="27"/>
      <c r="G571" s="28" t="str">
        <f aca="false">IF(F571="","",IFERROR(INDEX('Hitting Drills'!$D$6:$D$45,MATCH(F571,'Hitting Drills'!$B$6:$B$45,0)),"Not a hitting drill ID"))</f>
        <v/>
      </c>
      <c r="H571" s="27"/>
      <c r="I571" s="27"/>
      <c r="J571" s="27"/>
      <c r="K571" s="27"/>
      <c r="L571" s="27"/>
      <c r="M571" s="27"/>
      <c r="N571" s="27"/>
      <c r="O571" s="27"/>
      <c r="P571" s="27"/>
      <c r="Q571" s="27"/>
      <c r="R571" s="27"/>
      <c r="S571" s="29" t="str">
        <f aca="false">IF(OR(B571="",C571=""),"",IF(COUNTIFS($B$5:B571,B571,$C$5:C571,C571)=1,1,0))</f>
        <v/>
      </c>
      <c r="T571" s="29" t="str">
        <f aca="false">IF(OR(B571="",C571="",E571=""),"",IF(COUNTIFS($B$5:B571,B571,$C$5:C571,C571,$E$5:E571,E571)=1,1,0))</f>
        <v/>
      </c>
      <c r="U571" s="28" t="str">
        <f aca="false">IF(COUNTA(B571:C571,E571:F571,H571:P571)=0,"",IF(OR(B571="",C571="",E571=""),"Check: date, player, and context required",IF(AND(ISNUMBER(J571),ISNUMBER(I571),J571&gt;I571),"Check: solid contacts &gt; swings",IF(AND(ISNUMBER(L571),ISNUMBER(K571),L571&gt;K571),"Check: correct &gt; assessed decisions",IF(AND(ISNUMBER(N571),ISNUMBER(M571),N571&gt;M571),"Check: intended &gt; assessed landings",IF(AND(ISNUMBER(J571),I571=""),"Check: solid contacts without swings","OK"))))))</f>
        <v/>
      </c>
    </row>
    <row r="572" customFormat="false" ht="15" hidden="false" customHeight="false" outlineLevel="0" collapsed="false">
      <c r="B572" s="26"/>
      <c r="C572" s="27"/>
      <c r="D572" s="28" t="str">
        <f aca="false">IF(C572="","",IFERROR(INDEX(Players!$C$5:$C$104,MATCH(C572,Players!$B$5:$B$104,0)),"ID not found"))</f>
        <v/>
      </c>
      <c r="E572" s="27"/>
      <c r="F572" s="27"/>
      <c r="G572" s="28" t="str">
        <f aca="false">IF(F572="","",IFERROR(INDEX('Hitting Drills'!$D$6:$D$45,MATCH(F572,'Hitting Drills'!$B$6:$B$45,0)),"Not a hitting drill ID"))</f>
        <v/>
      </c>
      <c r="H572" s="27"/>
      <c r="I572" s="27"/>
      <c r="J572" s="27"/>
      <c r="K572" s="27"/>
      <c r="L572" s="27"/>
      <c r="M572" s="27"/>
      <c r="N572" s="27"/>
      <c r="O572" s="27"/>
      <c r="P572" s="27"/>
      <c r="Q572" s="27"/>
      <c r="R572" s="27"/>
      <c r="S572" s="29" t="str">
        <f aca="false">IF(OR(B572="",C572=""),"",IF(COUNTIFS($B$5:B572,B572,$C$5:C572,C572)=1,1,0))</f>
        <v/>
      </c>
      <c r="T572" s="29" t="str">
        <f aca="false">IF(OR(B572="",C572="",E572=""),"",IF(COUNTIFS($B$5:B572,B572,$C$5:C572,C572,$E$5:E572,E572)=1,1,0))</f>
        <v/>
      </c>
      <c r="U572" s="28" t="str">
        <f aca="false">IF(COUNTA(B572:C572,E572:F572,H572:P572)=0,"",IF(OR(B572="",C572="",E572=""),"Check: date, player, and context required",IF(AND(ISNUMBER(J572),ISNUMBER(I572),J572&gt;I572),"Check: solid contacts &gt; swings",IF(AND(ISNUMBER(L572),ISNUMBER(K572),L572&gt;K572),"Check: correct &gt; assessed decisions",IF(AND(ISNUMBER(N572),ISNUMBER(M572),N572&gt;M572),"Check: intended &gt; assessed landings",IF(AND(ISNUMBER(J572),I572=""),"Check: solid contacts without swings","OK"))))))</f>
        <v/>
      </c>
    </row>
    <row r="573" customFormat="false" ht="15" hidden="false" customHeight="false" outlineLevel="0" collapsed="false">
      <c r="B573" s="26"/>
      <c r="C573" s="27"/>
      <c r="D573" s="28" t="str">
        <f aca="false">IF(C573="","",IFERROR(INDEX(Players!$C$5:$C$104,MATCH(C573,Players!$B$5:$B$104,0)),"ID not found"))</f>
        <v/>
      </c>
      <c r="E573" s="27"/>
      <c r="F573" s="27"/>
      <c r="G573" s="28" t="str">
        <f aca="false">IF(F573="","",IFERROR(INDEX('Hitting Drills'!$D$6:$D$45,MATCH(F573,'Hitting Drills'!$B$6:$B$45,0)),"Not a hitting drill ID"))</f>
        <v/>
      </c>
      <c r="H573" s="27"/>
      <c r="I573" s="27"/>
      <c r="J573" s="27"/>
      <c r="K573" s="27"/>
      <c r="L573" s="27"/>
      <c r="M573" s="27"/>
      <c r="N573" s="27"/>
      <c r="O573" s="27"/>
      <c r="P573" s="27"/>
      <c r="Q573" s="27"/>
      <c r="R573" s="27"/>
      <c r="S573" s="29" t="str">
        <f aca="false">IF(OR(B573="",C573=""),"",IF(COUNTIFS($B$5:B573,B573,$C$5:C573,C573)=1,1,0))</f>
        <v/>
      </c>
      <c r="T573" s="29" t="str">
        <f aca="false">IF(OR(B573="",C573="",E573=""),"",IF(COUNTIFS($B$5:B573,B573,$C$5:C573,C573,$E$5:E573,E573)=1,1,0))</f>
        <v/>
      </c>
      <c r="U573" s="28" t="str">
        <f aca="false">IF(COUNTA(B573:C573,E573:F573,H573:P573)=0,"",IF(OR(B573="",C573="",E573=""),"Check: date, player, and context required",IF(AND(ISNUMBER(J573),ISNUMBER(I573),J573&gt;I573),"Check: solid contacts &gt; swings",IF(AND(ISNUMBER(L573),ISNUMBER(K573),L573&gt;K573),"Check: correct &gt; assessed decisions",IF(AND(ISNUMBER(N573),ISNUMBER(M573),N573&gt;M573),"Check: intended &gt; assessed landings",IF(AND(ISNUMBER(J573),I573=""),"Check: solid contacts without swings","OK"))))))</f>
        <v/>
      </c>
    </row>
    <row r="574" customFormat="false" ht="15" hidden="false" customHeight="false" outlineLevel="0" collapsed="false">
      <c r="B574" s="26"/>
      <c r="C574" s="27"/>
      <c r="D574" s="28" t="str">
        <f aca="false">IF(C574="","",IFERROR(INDEX(Players!$C$5:$C$104,MATCH(C574,Players!$B$5:$B$104,0)),"ID not found"))</f>
        <v/>
      </c>
      <c r="E574" s="27"/>
      <c r="F574" s="27"/>
      <c r="G574" s="28" t="str">
        <f aca="false">IF(F574="","",IFERROR(INDEX('Hitting Drills'!$D$6:$D$45,MATCH(F574,'Hitting Drills'!$B$6:$B$45,0)),"Not a hitting drill ID"))</f>
        <v/>
      </c>
      <c r="H574" s="27"/>
      <c r="I574" s="27"/>
      <c r="J574" s="27"/>
      <c r="K574" s="27"/>
      <c r="L574" s="27"/>
      <c r="M574" s="27"/>
      <c r="N574" s="27"/>
      <c r="O574" s="27"/>
      <c r="P574" s="27"/>
      <c r="Q574" s="27"/>
      <c r="R574" s="27"/>
      <c r="S574" s="29" t="str">
        <f aca="false">IF(OR(B574="",C574=""),"",IF(COUNTIFS($B$5:B574,B574,$C$5:C574,C574)=1,1,0))</f>
        <v/>
      </c>
      <c r="T574" s="29" t="str">
        <f aca="false">IF(OR(B574="",C574="",E574=""),"",IF(COUNTIFS($B$5:B574,B574,$C$5:C574,C574,$E$5:E574,E574)=1,1,0))</f>
        <v/>
      </c>
      <c r="U574" s="28" t="str">
        <f aca="false">IF(COUNTA(B574:C574,E574:F574,H574:P574)=0,"",IF(OR(B574="",C574="",E574=""),"Check: date, player, and context required",IF(AND(ISNUMBER(J574),ISNUMBER(I574),J574&gt;I574),"Check: solid contacts &gt; swings",IF(AND(ISNUMBER(L574),ISNUMBER(K574),L574&gt;K574),"Check: correct &gt; assessed decisions",IF(AND(ISNUMBER(N574),ISNUMBER(M574),N574&gt;M574),"Check: intended &gt; assessed landings",IF(AND(ISNUMBER(J574),I574=""),"Check: solid contacts without swings","OK"))))))</f>
        <v/>
      </c>
    </row>
    <row r="575" customFormat="false" ht="15" hidden="false" customHeight="false" outlineLevel="0" collapsed="false">
      <c r="B575" s="26"/>
      <c r="C575" s="27"/>
      <c r="D575" s="28" t="str">
        <f aca="false">IF(C575="","",IFERROR(INDEX(Players!$C$5:$C$104,MATCH(C575,Players!$B$5:$B$104,0)),"ID not found"))</f>
        <v/>
      </c>
      <c r="E575" s="27"/>
      <c r="F575" s="27"/>
      <c r="G575" s="28" t="str">
        <f aca="false">IF(F575="","",IFERROR(INDEX('Hitting Drills'!$D$6:$D$45,MATCH(F575,'Hitting Drills'!$B$6:$B$45,0)),"Not a hitting drill ID"))</f>
        <v/>
      </c>
      <c r="H575" s="27"/>
      <c r="I575" s="27"/>
      <c r="J575" s="27"/>
      <c r="K575" s="27"/>
      <c r="L575" s="27"/>
      <c r="M575" s="27"/>
      <c r="N575" s="27"/>
      <c r="O575" s="27"/>
      <c r="P575" s="27"/>
      <c r="Q575" s="27"/>
      <c r="R575" s="27"/>
      <c r="S575" s="29" t="str">
        <f aca="false">IF(OR(B575="",C575=""),"",IF(COUNTIFS($B$5:B575,B575,$C$5:C575,C575)=1,1,0))</f>
        <v/>
      </c>
      <c r="T575" s="29" t="str">
        <f aca="false">IF(OR(B575="",C575="",E575=""),"",IF(COUNTIFS($B$5:B575,B575,$C$5:C575,C575,$E$5:E575,E575)=1,1,0))</f>
        <v/>
      </c>
      <c r="U575" s="28" t="str">
        <f aca="false">IF(COUNTA(B575:C575,E575:F575,H575:P575)=0,"",IF(OR(B575="",C575="",E575=""),"Check: date, player, and context required",IF(AND(ISNUMBER(J575),ISNUMBER(I575),J575&gt;I575),"Check: solid contacts &gt; swings",IF(AND(ISNUMBER(L575),ISNUMBER(K575),L575&gt;K575),"Check: correct &gt; assessed decisions",IF(AND(ISNUMBER(N575),ISNUMBER(M575),N575&gt;M575),"Check: intended &gt; assessed landings",IF(AND(ISNUMBER(J575),I575=""),"Check: solid contacts without swings","OK"))))))</f>
        <v/>
      </c>
    </row>
    <row r="576" customFormat="false" ht="15" hidden="false" customHeight="false" outlineLevel="0" collapsed="false">
      <c r="B576" s="26"/>
      <c r="C576" s="27"/>
      <c r="D576" s="28" t="str">
        <f aca="false">IF(C576="","",IFERROR(INDEX(Players!$C$5:$C$104,MATCH(C576,Players!$B$5:$B$104,0)),"ID not found"))</f>
        <v/>
      </c>
      <c r="E576" s="27"/>
      <c r="F576" s="27"/>
      <c r="G576" s="28" t="str">
        <f aca="false">IF(F576="","",IFERROR(INDEX('Hitting Drills'!$D$6:$D$45,MATCH(F576,'Hitting Drills'!$B$6:$B$45,0)),"Not a hitting drill ID"))</f>
        <v/>
      </c>
      <c r="H576" s="27"/>
      <c r="I576" s="27"/>
      <c r="J576" s="27"/>
      <c r="K576" s="27"/>
      <c r="L576" s="27"/>
      <c r="M576" s="27"/>
      <c r="N576" s="27"/>
      <c r="O576" s="27"/>
      <c r="P576" s="27"/>
      <c r="Q576" s="27"/>
      <c r="R576" s="27"/>
      <c r="S576" s="29" t="str">
        <f aca="false">IF(OR(B576="",C576=""),"",IF(COUNTIFS($B$5:B576,B576,$C$5:C576,C576)=1,1,0))</f>
        <v/>
      </c>
      <c r="T576" s="29" t="str">
        <f aca="false">IF(OR(B576="",C576="",E576=""),"",IF(COUNTIFS($B$5:B576,B576,$C$5:C576,C576,$E$5:E576,E576)=1,1,0))</f>
        <v/>
      </c>
      <c r="U576" s="28" t="str">
        <f aca="false">IF(COUNTA(B576:C576,E576:F576,H576:P576)=0,"",IF(OR(B576="",C576="",E576=""),"Check: date, player, and context required",IF(AND(ISNUMBER(J576),ISNUMBER(I576),J576&gt;I576),"Check: solid contacts &gt; swings",IF(AND(ISNUMBER(L576),ISNUMBER(K576),L576&gt;K576),"Check: correct &gt; assessed decisions",IF(AND(ISNUMBER(N576),ISNUMBER(M576),N576&gt;M576),"Check: intended &gt; assessed landings",IF(AND(ISNUMBER(J576),I576=""),"Check: solid contacts without swings","OK"))))))</f>
        <v/>
      </c>
    </row>
    <row r="577" customFormat="false" ht="15" hidden="false" customHeight="false" outlineLevel="0" collapsed="false">
      <c r="B577" s="26"/>
      <c r="C577" s="27"/>
      <c r="D577" s="28" t="str">
        <f aca="false">IF(C577="","",IFERROR(INDEX(Players!$C$5:$C$104,MATCH(C577,Players!$B$5:$B$104,0)),"ID not found"))</f>
        <v/>
      </c>
      <c r="E577" s="27"/>
      <c r="F577" s="27"/>
      <c r="G577" s="28" t="str">
        <f aca="false">IF(F577="","",IFERROR(INDEX('Hitting Drills'!$D$6:$D$45,MATCH(F577,'Hitting Drills'!$B$6:$B$45,0)),"Not a hitting drill ID"))</f>
        <v/>
      </c>
      <c r="H577" s="27"/>
      <c r="I577" s="27"/>
      <c r="J577" s="27"/>
      <c r="K577" s="27"/>
      <c r="L577" s="27"/>
      <c r="M577" s="27"/>
      <c r="N577" s="27"/>
      <c r="O577" s="27"/>
      <c r="P577" s="27"/>
      <c r="Q577" s="27"/>
      <c r="R577" s="27"/>
      <c r="S577" s="29" t="str">
        <f aca="false">IF(OR(B577="",C577=""),"",IF(COUNTIFS($B$5:B577,B577,$C$5:C577,C577)=1,1,0))</f>
        <v/>
      </c>
      <c r="T577" s="29" t="str">
        <f aca="false">IF(OR(B577="",C577="",E577=""),"",IF(COUNTIFS($B$5:B577,B577,$C$5:C577,C577,$E$5:E577,E577)=1,1,0))</f>
        <v/>
      </c>
      <c r="U577" s="28" t="str">
        <f aca="false">IF(COUNTA(B577:C577,E577:F577,H577:P577)=0,"",IF(OR(B577="",C577="",E577=""),"Check: date, player, and context required",IF(AND(ISNUMBER(J577),ISNUMBER(I577),J577&gt;I577),"Check: solid contacts &gt; swings",IF(AND(ISNUMBER(L577),ISNUMBER(K577),L577&gt;K577),"Check: correct &gt; assessed decisions",IF(AND(ISNUMBER(N577),ISNUMBER(M577),N577&gt;M577),"Check: intended &gt; assessed landings",IF(AND(ISNUMBER(J577),I577=""),"Check: solid contacts without swings","OK"))))))</f>
        <v/>
      </c>
    </row>
    <row r="578" customFormat="false" ht="15" hidden="false" customHeight="false" outlineLevel="0" collapsed="false">
      <c r="B578" s="26"/>
      <c r="C578" s="27"/>
      <c r="D578" s="28" t="str">
        <f aca="false">IF(C578="","",IFERROR(INDEX(Players!$C$5:$C$104,MATCH(C578,Players!$B$5:$B$104,0)),"ID not found"))</f>
        <v/>
      </c>
      <c r="E578" s="27"/>
      <c r="F578" s="27"/>
      <c r="G578" s="28" t="str">
        <f aca="false">IF(F578="","",IFERROR(INDEX('Hitting Drills'!$D$6:$D$45,MATCH(F578,'Hitting Drills'!$B$6:$B$45,0)),"Not a hitting drill ID"))</f>
        <v/>
      </c>
      <c r="H578" s="27"/>
      <c r="I578" s="27"/>
      <c r="J578" s="27"/>
      <c r="K578" s="27"/>
      <c r="L578" s="27"/>
      <c r="M578" s="27"/>
      <c r="N578" s="27"/>
      <c r="O578" s="27"/>
      <c r="P578" s="27"/>
      <c r="Q578" s="27"/>
      <c r="R578" s="27"/>
      <c r="S578" s="29" t="str">
        <f aca="false">IF(OR(B578="",C578=""),"",IF(COUNTIFS($B$5:B578,B578,$C$5:C578,C578)=1,1,0))</f>
        <v/>
      </c>
      <c r="T578" s="29" t="str">
        <f aca="false">IF(OR(B578="",C578="",E578=""),"",IF(COUNTIFS($B$5:B578,B578,$C$5:C578,C578,$E$5:E578,E578)=1,1,0))</f>
        <v/>
      </c>
      <c r="U578" s="28" t="str">
        <f aca="false">IF(COUNTA(B578:C578,E578:F578,H578:P578)=0,"",IF(OR(B578="",C578="",E578=""),"Check: date, player, and context required",IF(AND(ISNUMBER(J578),ISNUMBER(I578),J578&gt;I578),"Check: solid contacts &gt; swings",IF(AND(ISNUMBER(L578),ISNUMBER(K578),L578&gt;K578),"Check: correct &gt; assessed decisions",IF(AND(ISNUMBER(N578),ISNUMBER(M578),N578&gt;M578),"Check: intended &gt; assessed landings",IF(AND(ISNUMBER(J578),I578=""),"Check: solid contacts without swings","OK"))))))</f>
        <v/>
      </c>
    </row>
    <row r="579" customFormat="false" ht="15" hidden="false" customHeight="false" outlineLevel="0" collapsed="false">
      <c r="B579" s="26"/>
      <c r="C579" s="27"/>
      <c r="D579" s="28" t="str">
        <f aca="false">IF(C579="","",IFERROR(INDEX(Players!$C$5:$C$104,MATCH(C579,Players!$B$5:$B$104,0)),"ID not found"))</f>
        <v/>
      </c>
      <c r="E579" s="27"/>
      <c r="F579" s="27"/>
      <c r="G579" s="28" t="str">
        <f aca="false">IF(F579="","",IFERROR(INDEX('Hitting Drills'!$D$6:$D$45,MATCH(F579,'Hitting Drills'!$B$6:$B$45,0)),"Not a hitting drill ID"))</f>
        <v/>
      </c>
      <c r="H579" s="27"/>
      <c r="I579" s="27"/>
      <c r="J579" s="27"/>
      <c r="K579" s="27"/>
      <c r="L579" s="27"/>
      <c r="M579" s="27"/>
      <c r="N579" s="27"/>
      <c r="O579" s="27"/>
      <c r="P579" s="27"/>
      <c r="Q579" s="27"/>
      <c r="R579" s="27"/>
      <c r="S579" s="29" t="str">
        <f aca="false">IF(OR(B579="",C579=""),"",IF(COUNTIFS($B$5:B579,B579,$C$5:C579,C579)=1,1,0))</f>
        <v/>
      </c>
      <c r="T579" s="29" t="str">
        <f aca="false">IF(OR(B579="",C579="",E579=""),"",IF(COUNTIFS($B$5:B579,B579,$C$5:C579,C579,$E$5:E579,E579)=1,1,0))</f>
        <v/>
      </c>
      <c r="U579" s="28" t="str">
        <f aca="false">IF(COUNTA(B579:C579,E579:F579,H579:P579)=0,"",IF(OR(B579="",C579="",E579=""),"Check: date, player, and context required",IF(AND(ISNUMBER(J579),ISNUMBER(I579),J579&gt;I579),"Check: solid contacts &gt; swings",IF(AND(ISNUMBER(L579),ISNUMBER(K579),L579&gt;K579),"Check: correct &gt; assessed decisions",IF(AND(ISNUMBER(N579),ISNUMBER(M579),N579&gt;M579),"Check: intended &gt; assessed landings",IF(AND(ISNUMBER(J579),I579=""),"Check: solid contacts without swings","OK"))))))</f>
        <v/>
      </c>
    </row>
    <row r="580" customFormat="false" ht="15" hidden="false" customHeight="false" outlineLevel="0" collapsed="false">
      <c r="B580" s="26"/>
      <c r="C580" s="27"/>
      <c r="D580" s="28" t="str">
        <f aca="false">IF(C580="","",IFERROR(INDEX(Players!$C$5:$C$104,MATCH(C580,Players!$B$5:$B$104,0)),"ID not found"))</f>
        <v/>
      </c>
      <c r="E580" s="27"/>
      <c r="F580" s="27"/>
      <c r="G580" s="28" t="str">
        <f aca="false">IF(F580="","",IFERROR(INDEX('Hitting Drills'!$D$6:$D$45,MATCH(F580,'Hitting Drills'!$B$6:$B$45,0)),"Not a hitting drill ID"))</f>
        <v/>
      </c>
      <c r="H580" s="27"/>
      <c r="I580" s="27"/>
      <c r="J580" s="27"/>
      <c r="K580" s="27"/>
      <c r="L580" s="27"/>
      <c r="M580" s="27"/>
      <c r="N580" s="27"/>
      <c r="O580" s="27"/>
      <c r="P580" s="27"/>
      <c r="Q580" s="27"/>
      <c r="R580" s="27"/>
      <c r="S580" s="29" t="str">
        <f aca="false">IF(OR(B580="",C580=""),"",IF(COUNTIFS($B$5:B580,B580,$C$5:C580,C580)=1,1,0))</f>
        <v/>
      </c>
      <c r="T580" s="29" t="str">
        <f aca="false">IF(OR(B580="",C580="",E580=""),"",IF(COUNTIFS($B$5:B580,B580,$C$5:C580,C580,$E$5:E580,E580)=1,1,0))</f>
        <v/>
      </c>
      <c r="U580" s="28" t="str">
        <f aca="false">IF(COUNTA(B580:C580,E580:F580,H580:P580)=0,"",IF(OR(B580="",C580="",E580=""),"Check: date, player, and context required",IF(AND(ISNUMBER(J580),ISNUMBER(I580),J580&gt;I580),"Check: solid contacts &gt; swings",IF(AND(ISNUMBER(L580),ISNUMBER(K580),L580&gt;K580),"Check: correct &gt; assessed decisions",IF(AND(ISNUMBER(N580),ISNUMBER(M580),N580&gt;M580),"Check: intended &gt; assessed landings",IF(AND(ISNUMBER(J580),I580=""),"Check: solid contacts without swings","OK"))))))</f>
        <v/>
      </c>
    </row>
    <row r="581" customFormat="false" ht="15" hidden="false" customHeight="false" outlineLevel="0" collapsed="false">
      <c r="B581" s="26"/>
      <c r="C581" s="27"/>
      <c r="D581" s="28" t="str">
        <f aca="false">IF(C581="","",IFERROR(INDEX(Players!$C$5:$C$104,MATCH(C581,Players!$B$5:$B$104,0)),"ID not found"))</f>
        <v/>
      </c>
      <c r="E581" s="27"/>
      <c r="F581" s="27"/>
      <c r="G581" s="28" t="str">
        <f aca="false">IF(F581="","",IFERROR(INDEX('Hitting Drills'!$D$6:$D$45,MATCH(F581,'Hitting Drills'!$B$6:$B$45,0)),"Not a hitting drill ID"))</f>
        <v/>
      </c>
      <c r="H581" s="27"/>
      <c r="I581" s="27"/>
      <c r="J581" s="27"/>
      <c r="K581" s="27"/>
      <c r="L581" s="27"/>
      <c r="M581" s="27"/>
      <c r="N581" s="27"/>
      <c r="O581" s="27"/>
      <c r="P581" s="27"/>
      <c r="Q581" s="27"/>
      <c r="R581" s="27"/>
      <c r="S581" s="29" t="str">
        <f aca="false">IF(OR(B581="",C581=""),"",IF(COUNTIFS($B$5:B581,B581,$C$5:C581,C581)=1,1,0))</f>
        <v/>
      </c>
      <c r="T581" s="29" t="str">
        <f aca="false">IF(OR(B581="",C581="",E581=""),"",IF(COUNTIFS($B$5:B581,B581,$C$5:C581,C581,$E$5:E581,E581)=1,1,0))</f>
        <v/>
      </c>
      <c r="U581" s="28" t="str">
        <f aca="false">IF(COUNTA(B581:C581,E581:F581,H581:P581)=0,"",IF(OR(B581="",C581="",E581=""),"Check: date, player, and context required",IF(AND(ISNUMBER(J581),ISNUMBER(I581),J581&gt;I581),"Check: solid contacts &gt; swings",IF(AND(ISNUMBER(L581),ISNUMBER(K581),L581&gt;K581),"Check: correct &gt; assessed decisions",IF(AND(ISNUMBER(N581),ISNUMBER(M581),N581&gt;M581),"Check: intended &gt; assessed landings",IF(AND(ISNUMBER(J581),I581=""),"Check: solid contacts without swings","OK"))))))</f>
        <v/>
      </c>
    </row>
    <row r="582" customFormat="false" ht="15" hidden="false" customHeight="false" outlineLevel="0" collapsed="false">
      <c r="B582" s="26"/>
      <c r="C582" s="27"/>
      <c r="D582" s="28" t="str">
        <f aca="false">IF(C582="","",IFERROR(INDEX(Players!$C$5:$C$104,MATCH(C582,Players!$B$5:$B$104,0)),"ID not found"))</f>
        <v/>
      </c>
      <c r="E582" s="27"/>
      <c r="F582" s="27"/>
      <c r="G582" s="28" t="str">
        <f aca="false">IF(F582="","",IFERROR(INDEX('Hitting Drills'!$D$6:$D$45,MATCH(F582,'Hitting Drills'!$B$6:$B$45,0)),"Not a hitting drill ID"))</f>
        <v/>
      </c>
      <c r="H582" s="27"/>
      <c r="I582" s="27"/>
      <c r="J582" s="27"/>
      <c r="K582" s="27"/>
      <c r="L582" s="27"/>
      <c r="M582" s="27"/>
      <c r="N582" s="27"/>
      <c r="O582" s="27"/>
      <c r="P582" s="27"/>
      <c r="Q582" s="27"/>
      <c r="R582" s="27"/>
      <c r="S582" s="29" t="str">
        <f aca="false">IF(OR(B582="",C582=""),"",IF(COUNTIFS($B$5:B582,B582,$C$5:C582,C582)=1,1,0))</f>
        <v/>
      </c>
      <c r="T582" s="29" t="str">
        <f aca="false">IF(OR(B582="",C582="",E582=""),"",IF(COUNTIFS($B$5:B582,B582,$C$5:C582,C582,$E$5:E582,E582)=1,1,0))</f>
        <v/>
      </c>
      <c r="U582" s="28" t="str">
        <f aca="false">IF(COUNTA(B582:C582,E582:F582,H582:P582)=0,"",IF(OR(B582="",C582="",E582=""),"Check: date, player, and context required",IF(AND(ISNUMBER(J582),ISNUMBER(I582),J582&gt;I582),"Check: solid contacts &gt; swings",IF(AND(ISNUMBER(L582),ISNUMBER(K582),L582&gt;K582),"Check: correct &gt; assessed decisions",IF(AND(ISNUMBER(N582),ISNUMBER(M582),N582&gt;M582),"Check: intended &gt; assessed landings",IF(AND(ISNUMBER(J582),I582=""),"Check: solid contacts without swings","OK"))))))</f>
        <v/>
      </c>
    </row>
    <row r="583" customFormat="false" ht="15" hidden="false" customHeight="false" outlineLevel="0" collapsed="false">
      <c r="B583" s="26"/>
      <c r="C583" s="27"/>
      <c r="D583" s="28" t="str">
        <f aca="false">IF(C583="","",IFERROR(INDEX(Players!$C$5:$C$104,MATCH(C583,Players!$B$5:$B$104,0)),"ID not found"))</f>
        <v/>
      </c>
      <c r="E583" s="27"/>
      <c r="F583" s="27"/>
      <c r="G583" s="28" t="str">
        <f aca="false">IF(F583="","",IFERROR(INDEX('Hitting Drills'!$D$6:$D$45,MATCH(F583,'Hitting Drills'!$B$6:$B$45,0)),"Not a hitting drill ID"))</f>
        <v/>
      </c>
      <c r="H583" s="27"/>
      <c r="I583" s="27"/>
      <c r="J583" s="27"/>
      <c r="K583" s="27"/>
      <c r="L583" s="27"/>
      <c r="M583" s="27"/>
      <c r="N583" s="27"/>
      <c r="O583" s="27"/>
      <c r="P583" s="27"/>
      <c r="Q583" s="27"/>
      <c r="R583" s="27"/>
      <c r="S583" s="29" t="str">
        <f aca="false">IF(OR(B583="",C583=""),"",IF(COUNTIFS($B$5:B583,B583,$C$5:C583,C583)=1,1,0))</f>
        <v/>
      </c>
      <c r="T583" s="29" t="str">
        <f aca="false">IF(OR(B583="",C583="",E583=""),"",IF(COUNTIFS($B$5:B583,B583,$C$5:C583,C583,$E$5:E583,E583)=1,1,0))</f>
        <v/>
      </c>
      <c r="U583" s="28" t="str">
        <f aca="false">IF(COUNTA(B583:C583,E583:F583,H583:P583)=0,"",IF(OR(B583="",C583="",E583=""),"Check: date, player, and context required",IF(AND(ISNUMBER(J583),ISNUMBER(I583),J583&gt;I583),"Check: solid contacts &gt; swings",IF(AND(ISNUMBER(L583),ISNUMBER(K583),L583&gt;K583),"Check: correct &gt; assessed decisions",IF(AND(ISNUMBER(N583),ISNUMBER(M583),N583&gt;M583),"Check: intended &gt; assessed landings",IF(AND(ISNUMBER(J583),I583=""),"Check: solid contacts without swings","OK"))))))</f>
        <v/>
      </c>
    </row>
    <row r="584" customFormat="false" ht="15" hidden="false" customHeight="false" outlineLevel="0" collapsed="false">
      <c r="B584" s="26"/>
      <c r="C584" s="27"/>
      <c r="D584" s="28" t="str">
        <f aca="false">IF(C584="","",IFERROR(INDEX(Players!$C$5:$C$104,MATCH(C584,Players!$B$5:$B$104,0)),"ID not found"))</f>
        <v/>
      </c>
      <c r="E584" s="27"/>
      <c r="F584" s="27"/>
      <c r="G584" s="28" t="str">
        <f aca="false">IF(F584="","",IFERROR(INDEX('Hitting Drills'!$D$6:$D$45,MATCH(F584,'Hitting Drills'!$B$6:$B$45,0)),"Not a hitting drill ID"))</f>
        <v/>
      </c>
      <c r="H584" s="27"/>
      <c r="I584" s="27"/>
      <c r="J584" s="27"/>
      <c r="K584" s="27"/>
      <c r="L584" s="27"/>
      <c r="M584" s="27"/>
      <c r="N584" s="27"/>
      <c r="O584" s="27"/>
      <c r="P584" s="27"/>
      <c r="Q584" s="27"/>
      <c r="R584" s="27"/>
      <c r="S584" s="29" t="str">
        <f aca="false">IF(OR(B584="",C584=""),"",IF(COUNTIFS($B$5:B584,B584,$C$5:C584,C584)=1,1,0))</f>
        <v/>
      </c>
      <c r="T584" s="29" t="str">
        <f aca="false">IF(OR(B584="",C584="",E584=""),"",IF(COUNTIFS($B$5:B584,B584,$C$5:C584,C584,$E$5:E584,E584)=1,1,0))</f>
        <v/>
      </c>
      <c r="U584" s="28" t="str">
        <f aca="false">IF(COUNTA(B584:C584,E584:F584,H584:P584)=0,"",IF(OR(B584="",C584="",E584=""),"Check: date, player, and context required",IF(AND(ISNUMBER(J584),ISNUMBER(I584),J584&gt;I584),"Check: solid contacts &gt; swings",IF(AND(ISNUMBER(L584),ISNUMBER(K584),L584&gt;K584),"Check: correct &gt; assessed decisions",IF(AND(ISNUMBER(N584),ISNUMBER(M584),N584&gt;M584),"Check: intended &gt; assessed landings",IF(AND(ISNUMBER(J584),I584=""),"Check: solid contacts without swings","OK"))))))</f>
        <v/>
      </c>
    </row>
    <row r="585" customFormat="false" ht="15" hidden="false" customHeight="false" outlineLevel="0" collapsed="false">
      <c r="B585" s="26"/>
      <c r="C585" s="27"/>
      <c r="D585" s="28" t="str">
        <f aca="false">IF(C585="","",IFERROR(INDEX(Players!$C$5:$C$104,MATCH(C585,Players!$B$5:$B$104,0)),"ID not found"))</f>
        <v/>
      </c>
      <c r="E585" s="27"/>
      <c r="F585" s="27"/>
      <c r="G585" s="28" t="str">
        <f aca="false">IF(F585="","",IFERROR(INDEX('Hitting Drills'!$D$6:$D$45,MATCH(F585,'Hitting Drills'!$B$6:$B$45,0)),"Not a hitting drill ID"))</f>
        <v/>
      </c>
      <c r="H585" s="27"/>
      <c r="I585" s="27"/>
      <c r="J585" s="27"/>
      <c r="K585" s="27"/>
      <c r="L585" s="27"/>
      <c r="M585" s="27"/>
      <c r="N585" s="27"/>
      <c r="O585" s="27"/>
      <c r="P585" s="27"/>
      <c r="Q585" s="27"/>
      <c r="R585" s="27"/>
      <c r="S585" s="29" t="str">
        <f aca="false">IF(OR(B585="",C585=""),"",IF(COUNTIFS($B$5:B585,B585,$C$5:C585,C585)=1,1,0))</f>
        <v/>
      </c>
      <c r="T585" s="29" t="str">
        <f aca="false">IF(OR(B585="",C585="",E585=""),"",IF(COUNTIFS($B$5:B585,B585,$C$5:C585,C585,$E$5:E585,E585)=1,1,0))</f>
        <v/>
      </c>
      <c r="U585" s="28" t="str">
        <f aca="false">IF(COUNTA(B585:C585,E585:F585,H585:P585)=0,"",IF(OR(B585="",C585="",E585=""),"Check: date, player, and context required",IF(AND(ISNUMBER(J585),ISNUMBER(I585),J585&gt;I585),"Check: solid contacts &gt; swings",IF(AND(ISNUMBER(L585),ISNUMBER(K585),L585&gt;K585),"Check: correct &gt; assessed decisions",IF(AND(ISNUMBER(N585),ISNUMBER(M585),N585&gt;M585),"Check: intended &gt; assessed landings",IF(AND(ISNUMBER(J585),I585=""),"Check: solid contacts without swings","OK"))))))</f>
        <v/>
      </c>
    </row>
    <row r="586" customFormat="false" ht="15" hidden="false" customHeight="false" outlineLevel="0" collapsed="false">
      <c r="B586" s="26"/>
      <c r="C586" s="27"/>
      <c r="D586" s="28" t="str">
        <f aca="false">IF(C586="","",IFERROR(INDEX(Players!$C$5:$C$104,MATCH(C586,Players!$B$5:$B$104,0)),"ID not found"))</f>
        <v/>
      </c>
      <c r="E586" s="27"/>
      <c r="F586" s="27"/>
      <c r="G586" s="28" t="str">
        <f aca="false">IF(F586="","",IFERROR(INDEX('Hitting Drills'!$D$6:$D$45,MATCH(F586,'Hitting Drills'!$B$6:$B$45,0)),"Not a hitting drill ID"))</f>
        <v/>
      </c>
      <c r="H586" s="27"/>
      <c r="I586" s="27"/>
      <c r="J586" s="27"/>
      <c r="K586" s="27"/>
      <c r="L586" s="27"/>
      <c r="M586" s="27"/>
      <c r="N586" s="27"/>
      <c r="O586" s="27"/>
      <c r="P586" s="27"/>
      <c r="Q586" s="27"/>
      <c r="R586" s="27"/>
      <c r="S586" s="29" t="str">
        <f aca="false">IF(OR(B586="",C586=""),"",IF(COUNTIFS($B$5:B586,B586,$C$5:C586,C586)=1,1,0))</f>
        <v/>
      </c>
      <c r="T586" s="29" t="str">
        <f aca="false">IF(OR(B586="",C586="",E586=""),"",IF(COUNTIFS($B$5:B586,B586,$C$5:C586,C586,$E$5:E586,E586)=1,1,0))</f>
        <v/>
      </c>
      <c r="U586" s="28" t="str">
        <f aca="false">IF(COUNTA(B586:C586,E586:F586,H586:P586)=0,"",IF(OR(B586="",C586="",E586=""),"Check: date, player, and context required",IF(AND(ISNUMBER(J586),ISNUMBER(I586),J586&gt;I586),"Check: solid contacts &gt; swings",IF(AND(ISNUMBER(L586),ISNUMBER(K586),L586&gt;K586),"Check: correct &gt; assessed decisions",IF(AND(ISNUMBER(N586),ISNUMBER(M586),N586&gt;M586),"Check: intended &gt; assessed landings",IF(AND(ISNUMBER(J586),I586=""),"Check: solid contacts without swings","OK"))))))</f>
        <v/>
      </c>
    </row>
    <row r="587" customFormat="false" ht="15" hidden="false" customHeight="false" outlineLevel="0" collapsed="false">
      <c r="B587" s="26"/>
      <c r="C587" s="27"/>
      <c r="D587" s="28" t="str">
        <f aca="false">IF(C587="","",IFERROR(INDEX(Players!$C$5:$C$104,MATCH(C587,Players!$B$5:$B$104,0)),"ID not found"))</f>
        <v/>
      </c>
      <c r="E587" s="27"/>
      <c r="F587" s="27"/>
      <c r="G587" s="28" t="str">
        <f aca="false">IF(F587="","",IFERROR(INDEX('Hitting Drills'!$D$6:$D$45,MATCH(F587,'Hitting Drills'!$B$6:$B$45,0)),"Not a hitting drill ID"))</f>
        <v/>
      </c>
      <c r="H587" s="27"/>
      <c r="I587" s="27"/>
      <c r="J587" s="27"/>
      <c r="K587" s="27"/>
      <c r="L587" s="27"/>
      <c r="M587" s="27"/>
      <c r="N587" s="27"/>
      <c r="O587" s="27"/>
      <c r="P587" s="27"/>
      <c r="Q587" s="27"/>
      <c r="R587" s="27"/>
      <c r="S587" s="29" t="str">
        <f aca="false">IF(OR(B587="",C587=""),"",IF(COUNTIFS($B$5:B587,B587,$C$5:C587,C587)=1,1,0))</f>
        <v/>
      </c>
      <c r="T587" s="29" t="str">
        <f aca="false">IF(OR(B587="",C587="",E587=""),"",IF(COUNTIFS($B$5:B587,B587,$C$5:C587,C587,$E$5:E587,E587)=1,1,0))</f>
        <v/>
      </c>
      <c r="U587" s="28" t="str">
        <f aca="false">IF(COUNTA(B587:C587,E587:F587,H587:P587)=0,"",IF(OR(B587="",C587="",E587=""),"Check: date, player, and context required",IF(AND(ISNUMBER(J587),ISNUMBER(I587),J587&gt;I587),"Check: solid contacts &gt; swings",IF(AND(ISNUMBER(L587),ISNUMBER(K587),L587&gt;K587),"Check: correct &gt; assessed decisions",IF(AND(ISNUMBER(N587),ISNUMBER(M587),N587&gt;M587),"Check: intended &gt; assessed landings",IF(AND(ISNUMBER(J587),I587=""),"Check: solid contacts without swings","OK"))))))</f>
        <v/>
      </c>
    </row>
    <row r="588" customFormat="false" ht="15" hidden="false" customHeight="false" outlineLevel="0" collapsed="false">
      <c r="B588" s="26"/>
      <c r="C588" s="27"/>
      <c r="D588" s="28" t="str">
        <f aca="false">IF(C588="","",IFERROR(INDEX(Players!$C$5:$C$104,MATCH(C588,Players!$B$5:$B$104,0)),"ID not found"))</f>
        <v/>
      </c>
      <c r="E588" s="27"/>
      <c r="F588" s="27"/>
      <c r="G588" s="28" t="str">
        <f aca="false">IF(F588="","",IFERROR(INDEX('Hitting Drills'!$D$6:$D$45,MATCH(F588,'Hitting Drills'!$B$6:$B$45,0)),"Not a hitting drill ID"))</f>
        <v/>
      </c>
      <c r="H588" s="27"/>
      <c r="I588" s="27"/>
      <c r="J588" s="27"/>
      <c r="K588" s="27"/>
      <c r="L588" s="27"/>
      <c r="M588" s="27"/>
      <c r="N588" s="27"/>
      <c r="O588" s="27"/>
      <c r="P588" s="27"/>
      <c r="Q588" s="27"/>
      <c r="R588" s="27"/>
      <c r="S588" s="29" t="str">
        <f aca="false">IF(OR(B588="",C588=""),"",IF(COUNTIFS($B$5:B588,B588,$C$5:C588,C588)=1,1,0))</f>
        <v/>
      </c>
      <c r="T588" s="29" t="str">
        <f aca="false">IF(OR(B588="",C588="",E588=""),"",IF(COUNTIFS($B$5:B588,B588,$C$5:C588,C588,$E$5:E588,E588)=1,1,0))</f>
        <v/>
      </c>
      <c r="U588" s="28" t="str">
        <f aca="false">IF(COUNTA(B588:C588,E588:F588,H588:P588)=0,"",IF(OR(B588="",C588="",E588=""),"Check: date, player, and context required",IF(AND(ISNUMBER(J588),ISNUMBER(I588),J588&gt;I588),"Check: solid contacts &gt; swings",IF(AND(ISNUMBER(L588),ISNUMBER(K588),L588&gt;K588),"Check: correct &gt; assessed decisions",IF(AND(ISNUMBER(N588),ISNUMBER(M588),N588&gt;M588),"Check: intended &gt; assessed landings",IF(AND(ISNUMBER(J588),I588=""),"Check: solid contacts without swings","OK"))))))</f>
        <v/>
      </c>
    </row>
    <row r="589" customFormat="false" ht="15" hidden="false" customHeight="false" outlineLevel="0" collapsed="false">
      <c r="B589" s="26"/>
      <c r="C589" s="27"/>
      <c r="D589" s="28" t="str">
        <f aca="false">IF(C589="","",IFERROR(INDEX(Players!$C$5:$C$104,MATCH(C589,Players!$B$5:$B$104,0)),"ID not found"))</f>
        <v/>
      </c>
      <c r="E589" s="27"/>
      <c r="F589" s="27"/>
      <c r="G589" s="28" t="str">
        <f aca="false">IF(F589="","",IFERROR(INDEX('Hitting Drills'!$D$6:$D$45,MATCH(F589,'Hitting Drills'!$B$6:$B$45,0)),"Not a hitting drill ID"))</f>
        <v/>
      </c>
      <c r="H589" s="27"/>
      <c r="I589" s="27"/>
      <c r="J589" s="27"/>
      <c r="K589" s="27"/>
      <c r="L589" s="27"/>
      <c r="M589" s="27"/>
      <c r="N589" s="27"/>
      <c r="O589" s="27"/>
      <c r="P589" s="27"/>
      <c r="Q589" s="27"/>
      <c r="R589" s="27"/>
      <c r="S589" s="29" t="str">
        <f aca="false">IF(OR(B589="",C589=""),"",IF(COUNTIFS($B$5:B589,B589,$C$5:C589,C589)=1,1,0))</f>
        <v/>
      </c>
      <c r="T589" s="29" t="str">
        <f aca="false">IF(OR(B589="",C589="",E589=""),"",IF(COUNTIFS($B$5:B589,B589,$C$5:C589,C589,$E$5:E589,E589)=1,1,0))</f>
        <v/>
      </c>
      <c r="U589" s="28" t="str">
        <f aca="false">IF(COUNTA(B589:C589,E589:F589,H589:P589)=0,"",IF(OR(B589="",C589="",E589=""),"Check: date, player, and context required",IF(AND(ISNUMBER(J589),ISNUMBER(I589),J589&gt;I589),"Check: solid contacts &gt; swings",IF(AND(ISNUMBER(L589),ISNUMBER(K589),L589&gt;K589),"Check: correct &gt; assessed decisions",IF(AND(ISNUMBER(N589),ISNUMBER(M589),N589&gt;M589),"Check: intended &gt; assessed landings",IF(AND(ISNUMBER(J589),I589=""),"Check: solid contacts without swings","OK"))))))</f>
        <v/>
      </c>
    </row>
    <row r="590" customFormat="false" ht="15" hidden="false" customHeight="false" outlineLevel="0" collapsed="false">
      <c r="B590" s="26"/>
      <c r="C590" s="27"/>
      <c r="D590" s="28" t="str">
        <f aca="false">IF(C590="","",IFERROR(INDEX(Players!$C$5:$C$104,MATCH(C590,Players!$B$5:$B$104,0)),"ID not found"))</f>
        <v/>
      </c>
      <c r="E590" s="27"/>
      <c r="F590" s="27"/>
      <c r="G590" s="28" t="str">
        <f aca="false">IF(F590="","",IFERROR(INDEX('Hitting Drills'!$D$6:$D$45,MATCH(F590,'Hitting Drills'!$B$6:$B$45,0)),"Not a hitting drill ID"))</f>
        <v/>
      </c>
      <c r="H590" s="27"/>
      <c r="I590" s="27"/>
      <c r="J590" s="27"/>
      <c r="K590" s="27"/>
      <c r="L590" s="27"/>
      <c r="M590" s="27"/>
      <c r="N590" s="27"/>
      <c r="O590" s="27"/>
      <c r="P590" s="27"/>
      <c r="Q590" s="27"/>
      <c r="R590" s="27"/>
      <c r="S590" s="29" t="str">
        <f aca="false">IF(OR(B590="",C590=""),"",IF(COUNTIFS($B$5:B590,B590,$C$5:C590,C590)=1,1,0))</f>
        <v/>
      </c>
      <c r="T590" s="29" t="str">
        <f aca="false">IF(OR(B590="",C590="",E590=""),"",IF(COUNTIFS($B$5:B590,B590,$C$5:C590,C590,$E$5:E590,E590)=1,1,0))</f>
        <v/>
      </c>
      <c r="U590" s="28" t="str">
        <f aca="false">IF(COUNTA(B590:C590,E590:F590,H590:P590)=0,"",IF(OR(B590="",C590="",E590=""),"Check: date, player, and context required",IF(AND(ISNUMBER(J590),ISNUMBER(I590),J590&gt;I590),"Check: solid contacts &gt; swings",IF(AND(ISNUMBER(L590),ISNUMBER(K590),L590&gt;K590),"Check: correct &gt; assessed decisions",IF(AND(ISNUMBER(N590),ISNUMBER(M590),N590&gt;M590),"Check: intended &gt; assessed landings",IF(AND(ISNUMBER(J590),I590=""),"Check: solid contacts without swings","OK"))))))</f>
        <v/>
      </c>
    </row>
    <row r="591" customFormat="false" ht="15" hidden="false" customHeight="false" outlineLevel="0" collapsed="false">
      <c r="B591" s="26"/>
      <c r="C591" s="27"/>
      <c r="D591" s="28" t="str">
        <f aca="false">IF(C591="","",IFERROR(INDEX(Players!$C$5:$C$104,MATCH(C591,Players!$B$5:$B$104,0)),"ID not found"))</f>
        <v/>
      </c>
      <c r="E591" s="27"/>
      <c r="F591" s="27"/>
      <c r="G591" s="28" t="str">
        <f aca="false">IF(F591="","",IFERROR(INDEX('Hitting Drills'!$D$6:$D$45,MATCH(F591,'Hitting Drills'!$B$6:$B$45,0)),"Not a hitting drill ID"))</f>
        <v/>
      </c>
      <c r="H591" s="27"/>
      <c r="I591" s="27"/>
      <c r="J591" s="27"/>
      <c r="K591" s="27"/>
      <c r="L591" s="27"/>
      <c r="M591" s="27"/>
      <c r="N591" s="27"/>
      <c r="O591" s="27"/>
      <c r="P591" s="27"/>
      <c r="Q591" s="27"/>
      <c r="R591" s="27"/>
      <c r="S591" s="29" t="str">
        <f aca="false">IF(OR(B591="",C591=""),"",IF(COUNTIFS($B$5:B591,B591,$C$5:C591,C591)=1,1,0))</f>
        <v/>
      </c>
      <c r="T591" s="29" t="str">
        <f aca="false">IF(OR(B591="",C591="",E591=""),"",IF(COUNTIFS($B$5:B591,B591,$C$5:C591,C591,$E$5:E591,E591)=1,1,0))</f>
        <v/>
      </c>
      <c r="U591" s="28" t="str">
        <f aca="false">IF(COUNTA(B591:C591,E591:F591,H591:P591)=0,"",IF(OR(B591="",C591="",E591=""),"Check: date, player, and context required",IF(AND(ISNUMBER(J591),ISNUMBER(I591),J591&gt;I591),"Check: solid contacts &gt; swings",IF(AND(ISNUMBER(L591),ISNUMBER(K591),L591&gt;K591),"Check: correct &gt; assessed decisions",IF(AND(ISNUMBER(N591),ISNUMBER(M591),N591&gt;M591),"Check: intended &gt; assessed landings",IF(AND(ISNUMBER(J591),I591=""),"Check: solid contacts without swings","OK"))))))</f>
        <v/>
      </c>
    </row>
    <row r="592" customFormat="false" ht="15" hidden="false" customHeight="false" outlineLevel="0" collapsed="false">
      <c r="B592" s="26"/>
      <c r="C592" s="27"/>
      <c r="D592" s="28" t="str">
        <f aca="false">IF(C592="","",IFERROR(INDEX(Players!$C$5:$C$104,MATCH(C592,Players!$B$5:$B$104,0)),"ID not found"))</f>
        <v/>
      </c>
      <c r="E592" s="27"/>
      <c r="F592" s="27"/>
      <c r="G592" s="28" t="str">
        <f aca="false">IF(F592="","",IFERROR(INDEX('Hitting Drills'!$D$6:$D$45,MATCH(F592,'Hitting Drills'!$B$6:$B$45,0)),"Not a hitting drill ID"))</f>
        <v/>
      </c>
      <c r="H592" s="27"/>
      <c r="I592" s="27"/>
      <c r="J592" s="27"/>
      <c r="K592" s="27"/>
      <c r="L592" s="27"/>
      <c r="M592" s="27"/>
      <c r="N592" s="27"/>
      <c r="O592" s="27"/>
      <c r="P592" s="27"/>
      <c r="Q592" s="27"/>
      <c r="R592" s="27"/>
      <c r="S592" s="29" t="str">
        <f aca="false">IF(OR(B592="",C592=""),"",IF(COUNTIFS($B$5:B592,B592,$C$5:C592,C592)=1,1,0))</f>
        <v/>
      </c>
      <c r="T592" s="29" t="str">
        <f aca="false">IF(OR(B592="",C592="",E592=""),"",IF(COUNTIFS($B$5:B592,B592,$C$5:C592,C592,$E$5:E592,E592)=1,1,0))</f>
        <v/>
      </c>
      <c r="U592" s="28" t="str">
        <f aca="false">IF(COUNTA(B592:C592,E592:F592,H592:P592)=0,"",IF(OR(B592="",C592="",E592=""),"Check: date, player, and context required",IF(AND(ISNUMBER(J592),ISNUMBER(I592),J592&gt;I592),"Check: solid contacts &gt; swings",IF(AND(ISNUMBER(L592),ISNUMBER(K592),L592&gt;K592),"Check: correct &gt; assessed decisions",IF(AND(ISNUMBER(N592),ISNUMBER(M592),N592&gt;M592),"Check: intended &gt; assessed landings",IF(AND(ISNUMBER(J592),I592=""),"Check: solid contacts without swings","OK"))))))</f>
        <v/>
      </c>
    </row>
    <row r="593" customFormat="false" ht="15" hidden="false" customHeight="false" outlineLevel="0" collapsed="false">
      <c r="B593" s="26"/>
      <c r="C593" s="27"/>
      <c r="D593" s="28" t="str">
        <f aca="false">IF(C593="","",IFERROR(INDEX(Players!$C$5:$C$104,MATCH(C593,Players!$B$5:$B$104,0)),"ID not found"))</f>
        <v/>
      </c>
      <c r="E593" s="27"/>
      <c r="F593" s="27"/>
      <c r="G593" s="28" t="str">
        <f aca="false">IF(F593="","",IFERROR(INDEX('Hitting Drills'!$D$6:$D$45,MATCH(F593,'Hitting Drills'!$B$6:$B$45,0)),"Not a hitting drill ID"))</f>
        <v/>
      </c>
      <c r="H593" s="27"/>
      <c r="I593" s="27"/>
      <c r="J593" s="27"/>
      <c r="K593" s="27"/>
      <c r="L593" s="27"/>
      <c r="M593" s="27"/>
      <c r="N593" s="27"/>
      <c r="O593" s="27"/>
      <c r="P593" s="27"/>
      <c r="Q593" s="27"/>
      <c r="R593" s="27"/>
      <c r="S593" s="29" t="str">
        <f aca="false">IF(OR(B593="",C593=""),"",IF(COUNTIFS($B$5:B593,B593,$C$5:C593,C593)=1,1,0))</f>
        <v/>
      </c>
      <c r="T593" s="29" t="str">
        <f aca="false">IF(OR(B593="",C593="",E593=""),"",IF(COUNTIFS($B$5:B593,B593,$C$5:C593,C593,$E$5:E593,E593)=1,1,0))</f>
        <v/>
      </c>
      <c r="U593" s="28" t="str">
        <f aca="false">IF(COUNTA(B593:C593,E593:F593,H593:P593)=0,"",IF(OR(B593="",C593="",E593=""),"Check: date, player, and context required",IF(AND(ISNUMBER(J593),ISNUMBER(I593),J593&gt;I593),"Check: solid contacts &gt; swings",IF(AND(ISNUMBER(L593),ISNUMBER(K593),L593&gt;K593),"Check: correct &gt; assessed decisions",IF(AND(ISNUMBER(N593),ISNUMBER(M593),N593&gt;M593),"Check: intended &gt; assessed landings",IF(AND(ISNUMBER(J593),I593=""),"Check: solid contacts without swings","OK"))))))</f>
        <v/>
      </c>
    </row>
    <row r="594" customFormat="false" ht="15" hidden="false" customHeight="false" outlineLevel="0" collapsed="false">
      <c r="B594" s="26"/>
      <c r="C594" s="27"/>
      <c r="D594" s="28" t="str">
        <f aca="false">IF(C594="","",IFERROR(INDEX(Players!$C$5:$C$104,MATCH(C594,Players!$B$5:$B$104,0)),"ID not found"))</f>
        <v/>
      </c>
      <c r="E594" s="27"/>
      <c r="F594" s="27"/>
      <c r="G594" s="28" t="str">
        <f aca="false">IF(F594="","",IFERROR(INDEX('Hitting Drills'!$D$6:$D$45,MATCH(F594,'Hitting Drills'!$B$6:$B$45,0)),"Not a hitting drill ID"))</f>
        <v/>
      </c>
      <c r="H594" s="27"/>
      <c r="I594" s="27"/>
      <c r="J594" s="27"/>
      <c r="K594" s="27"/>
      <c r="L594" s="27"/>
      <c r="M594" s="27"/>
      <c r="N594" s="27"/>
      <c r="O594" s="27"/>
      <c r="P594" s="27"/>
      <c r="Q594" s="27"/>
      <c r="R594" s="27"/>
      <c r="S594" s="29" t="str">
        <f aca="false">IF(OR(B594="",C594=""),"",IF(COUNTIFS($B$5:B594,B594,$C$5:C594,C594)=1,1,0))</f>
        <v/>
      </c>
      <c r="T594" s="29" t="str">
        <f aca="false">IF(OR(B594="",C594="",E594=""),"",IF(COUNTIFS($B$5:B594,B594,$C$5:C594,C594,$E$5:E594,E594)=1,1,0))</f>
        <v/>
      </c>
      <c r="U594" s="28" t="str">
        <f aca="false">IF(COUNTA(B594:C594,E594:F594,H594:P594)=0,"",IF(OR(B594="",C594="",E594=""),"Check: date, player, and context required",IF(AND(ISNUMBER(J594),ISNUMBER(I594),J594&gt;I594),"Check: solid contacts &gt; swings",IF(AND(ISNUMBER(L594),ISNUMBER(K594),L594&gt;K594),"Check: correct &gt; assessed decisions",IF(AND(ISNUMBER(N594),ISNUMBER(M594),N594&gt;M594),"Check: intended &gt; assessed landings",IF(AND(ISNUMBER(J594),I594=""),"Check: solid contacts without swings","OK"))))))</f>
        <v/>
      </c>
    </row>
    <row r="595" customFormat="false" ht="15" hidden="false" customHeight="false" outlineLevel="0" collapsed="false">
      <c r="B595" s="26"/>
      <c r="C595" s="27"/>
      <c r="D595" s="28" t="str">
        <f aca="false">IF(C595="","",IFERROR(INDEX(Players!$C$5:$C$104,MATCH(C595,Players!$B$5:$B$104,0)),"ID not found"))</f>
        <v/>
      </c>
      <c r="E595" s="27"/>
      <c r="F595" s="27"/>
      <c r="G595" s="28" t="str">
        <f aca="false">IF(F595="","",IFERROR(INDEX('Hitting Drills'!$D$6:$D$45,MATCH(F595,'Hitting Drills'!$B$6:$B$45,0)),"Not a hitting drill ID"))</f>
        <v/>
      </c>
      <c r="H595" s="27"/>
      <c r="I595" s="27"/>
      <c r="J595" s="27"/>
      <c r="K595" s="27"/>
      <c r="L595" s="27"/>
      <c r="M595" s="27"/>
      <c r="N595" s="27"/>
      <c r="O595" s="27"/>
      <c r="P595" s="27"/>
      <c r="Q595" s="27"/>
      <c r="R595" s="27"/>
      <c r="S595" s="29" t="str">
        <f aca="false">IF(OR(B595="",C595=""),"",IF(COUNTIFS($B$5:B595,B595,$C$5:C595,C595)=1,1,0))</f>
        <v/>
      </c>
      <c r="T595" s="29" t="str">
        <f aca="false">IF(OR(B595="",C595="",E595=""),"",IF(COUNTIFS($B$5:B595,B595,$C$5:C595,C595,$E$5:E595,E595)=1,1,0))</f>
        <v/>
      </c>
      <c r="U595" s="28" t="str">
        <f aca="false">IF(COUNTA(B595:C595,E595:F595,H595:P595)=0,"",IF(OR(B595="",C595="",E595=""),"Check: date, player, and context required",IF(AND(ISNUMBER(J595),ISNUMBER(I595),J595&gt;I595),"Check: solid contacts &gt; swings",IF(AND(ISNUMBER(L595),ISNUMBER(K595),L595&gt;K595),"Check: correct &gt; assessed decisions",IF(AND(ISNUMBER(N595),ISNUMBER(M595),N595&gt;M595),"Check: intended &gt; assessed landings",IF(AND(ISNUMBER(J595),I595=""),"Check: solid contacts without swings","OK"))))))</f>
        <v/>
      </c>
    </row>
    <row r="596" customFormat="false" ht="15" hidden="false" customHeight="false" outlineLevel="0" collapsed="false">
      <c r="B596" s="26"/>
      <c r="C596" s="27"/>
      <c r="D596" s="28" t="str">
        <f aca="false">IF(C596="","",IFERROR(INDEX(Players!$C$5:$C$104,MATCH(C596,Players!$B$5:$B$104,0)),"ID not found"))</f>
        <v/>
      </c>
      <c r="E596" s="27"/>
      <c r="F596" s="27"/>
      <c r="G596" s="28" t="str">
        <f aca="false">IF(F596="","",IFERROR(INDEX('Hitting Drills'!$D$6:$D$45,MATCH(F596,'Hitting Drills'!$B$6:$B$45,0)),"Not a hitting drill ID"))</f>
        <v/>
      </c>
      <c r="H596" s="27"/>
      <c r="I596" s="27"/>
      <c r="J596" s="27"/>
      <c r="K596" s="27"/>
      <c r="L596" s="27"/>
      <c r="M596" s="27"/>
      <c r="N596" s="27"/>
      <c r="O596" s="27"/>
      <c r="P596" s="27"/>
      <c r="Q596" s="27"/>
      <c r="R596" s="27"/>
      <c r="S596" s="29" t="str">
        <f aca="false">IF(OR(B596="",C596=""),"",IF(COUNTIFS($B$5:B596,B596,$C$5:C596,C596)=1,1,0))</f>
        <v/>
      </c>
      <c r="T596" s="29" t="str">
        <f aca="false">IF(OR(B596="",C596="",E596=""),"",IF(COUNTIFS($B$5:B596,B596,$C$5:C596,C596,$E$5:E596,E596)=1,1,0))</f>
        <v/>
      </c>
      <c r="U596" s="28" t="str">
        <f aca="false">IF(COUNTA(B596:C596,E596:F596,H596:P596)=0,"",IF(OR(B596="",C596="",E596=""),"Check: date, player, and context required",IF(AND(ISNUMBER(J596),ISNUMBER(I596),J596&gt;I596),"Check: solid contacts &gt; swings",IF(AND(ISNUMBER(L596),ISNUMBER(K596),L596&gt;K596),"Check: correct &gt; assessed decisions",IF(AND(ISNUMBER(N596),ISNUMBER(M596),N596&gt;M596),"Check: intended &gt; assessed landings",IF(AND(ISNUMBER(J596),I596=""),"Check: solid contacts without swings","OK"))))))</f>
        <v/>
      </c>
    </row>
    <row r="597" customFormat="false" ht="15" hidden="false" customHeight="false" outlineLevel="0" collapsed="false">
      <c r="B597" s="26"/>
      <c r="C597" s="27"/>
      <c r="D597" s="28" t="str">
        <f aca="false">IF(C597="","",IFERROR(INDEX(Players!$C$5:$C$104,MATCH(C597,Players!$B$5:$B$104,0)),"ID not found"))</f>
        <v/>
      </c>
      <c r="E597" s="27"/>
      <c r="F597" s="27"/>
      <c r="G597" s="28" t="str">
        <f aca="false">IF(F597="","",IFERROR(INDEX('Hitting Drills'!$D$6:$D$45,MATCH(F597,'Hitting Drills'!$B$6:$B$45,0)),"Not a hitting drill ID"))</f>
        <v/>
      </c>
      <c r="H597" s="27"/>
      <c r="I597" s="27"/>
      <c r="J597" s="27"/>
      <c r="K597" s="27"/>
      <c r="L597" s="27"/>
      <c r="M597" s="27"/>
      <c r="N597" s="27"/>
      <c r="O597" s="27"/>
      <c r="P597" s="27"/>
      <c r="Q597" s="27"/>
      <c r="R597" s="27"/>
      <c r="S597" s="29" t="str">
        <f aca="false">IF(OR(B597="",C597=""),"",IF(COUNTIFS($B$5:B597,B597,$C$5:C597,C597)=1,1,0))</f>
        <v/>
      </c>
      <c r="T597" s="29" t="str">
        <f aca="false">IF(OR(B597="",C597="",E597=""),"",IF(COUNTIFS($B$5:B597,B597,$C$5:C597,C597,$E$5:E597,E597)=1,1,0))</f>
        <v/>
      </c>
      <c r="U597" s="28" t="str">
        <f aca="false">IF(COUNTA(B597:C597,E597:F597,H597:P597)=0,"",IF(OR(B597="",C597="",E597=""),"Check: date, player, and context required",IF(AND(ISNUMBER(J597),ISNUMBER(I597),J597&gt;I597),"Check: solid contacts &gt; swings",IF(AND(ISNUMBER(L597),ISNUMBER(K597),L597&gt;K597),"Check: correct &gt; assessed decisions",IF(AND(ISNUMBER(N597),ISNUMBER(M597),N597&gt;M597),"Check: intended &gt; assessed landings",IF(AND(ISNUMBER(J597),I597=""),"Check: solid contacts without swings","OK"))))))</f>
        <v/>
      </c>
    </row>
    <row r="598" customFormat="false" ht="15" hidden="false" customHeight="false" outlineLevel="0" collapsed="false">
      <c r="B598" s="26"/>
      <c r="C598" s="27"/>
      <c r="D598" s="28" t="str">
        <f aca="false">IF(C598="","",IFERROR(INDEX(Players!$C$5:$C$104,MATCH(C598,Players!$B$5:$B$104,0)),"ID not found"))</f>
        <v/>
      </c>
      <c r="E598" s="27"/>
      <c r="F598" s="27"/>
      <c r="G598" s="28" t="str">
        <f aca="false">IF(F598="","",IFERROR(INDEX('Hitting Drills'!$D$6:$D$45,MATCH(F598,'Hitting Drills'!$B$6:$B$45,0)),"Not a hitting drill ID"))</f>
        <v/>
      </c>
      <c r="H598" s="27"/>
      <c r="I598" s="27"/>
      <c r="J598" s="27"/>
      <c r="K598" s="27"/>
      <c r="L598" s="27"/>
      <c r="M598" s="27"/>
      <c r="N598" s="27"/>
      <c r="O598" s="27"/>
      <c r="P598" s="27"/>
      <c r="Q598" s="27"/>
      <c r="R598" s="27"/>
      <c r="S598" s="29" t="str">
        <f aca="false">IF(OR(B598="",C598=""),"",IF(COUNTIFS($B$5:B598,B598,$C$5:C598,C598)=1,1,0))</f>
        <v/>
      </c>
      <c r="T598" s="29" t="str">
        <f aca="false">IF(OR(B598="",C598="",E598=""),"",IF(COUNTIFS($B$5:B598,B598,$C$5:C598,C598,$E$5:E598,E598)=1,1,0))</f>
        <v/>
      </c>
      <c r="U598" s="28" t="str">
        <f aca="false">IF(COUNTA(B598:C598,E598:F598,H598:P598)=0,"",IF(OR(B598="",C598="",E598=""),"Check: date, player, and context required",IF(AND(ISNUMBER(J598),ISNUMBER(I598),J598&gt;I598),"Check: solid contacts &gt; swings",IF(AND(ISNUMBER(L598),ISNUMBER(K598),L598&gt;K598),"Check: correct &gt; assessed decisions",IF(AND(ISNUMBER(N598),ISNUMBER(M598),N598&gt;M598),"Check: intended &gt; assessed landings",IF(AND(ISNUMBER(J598),I598=""),"Check: solid contacts without swings","OK"))))))</f>
        <v/>
      </c>
    </row>
    <row r="599" customFormat="false" ht="15" hidden="false" customHeight="false" outlineLevel="0" collapsed="false">
      <c r="B599" s="26"/>
      <c r="C599" s="27"/>
      <c r="D599" s="28" t="str">
        <f aca="false">IF(C599="","",IFERROR(INDEX(Players!$C$5:$C$104,MATCH(C599,Players!$B$5:$B$104,0)),"ID not found"))</f>
        <v/>
      </c>
      <c r="E599" s="27"/>
      <c r="F599" s="27"/>
      <c r="G599" s="28" t="str">
        <f aca="false">IF(F599="","",IFERROR(INDEX('Hitting Drills'!$D$6:$D$45,MATCH(F599,'Hitting Drills'!$B$6:$B$45,0)),"Not a hitting drill ID"))</f>
        <v/>
      </c>
      <c r="H599" s="27"/>
      <c r="I599" s="27"/>
      <c r="J599" s="27"/>
      <c r="K599" s="27"/>
      <c r="L599" s="27"/>
      <c r="M599" s="27"/>
      <c r="N599" s="27"/>
      <c r="O599" s="27"/>
      <c r="P599" s="27"/>
      <c r="Q599" s="27"/>
      <c r="R599" s="27"/>
      <c r="S599" s="29" t="str">
        <f aca="false">IF(OR(B599="",C599=""),"",IF(COUNTIFS($B$5:B599,B599,$C$5:C599,C599)=1,1,0))</f>
        <v/>
      </c>
      <c r="T599" s="29" t="str">
        <f aca="false">IF(OR(B599="",C599="",E599=""),"",IF(COUNTIFS($B$5:B599,B599,$C$5:C599,C599,$E$5:E599,E599)=1,1,0))</f>
        <v/>
      </c>
      <c r="U599" s="28" t="str">
        <f aca="false">IF(COUNTA(B599:C599,E599:F599,H599:P599)=0,"",IF(OR(B599="",C599="",E599=""),"Check: date, player, and context required",IF(AND(ISNUMBER(J599),ISNUMBER(I599),J599&gt;I599),"Check: solid contacts &gt; swings",IF(AND(ISNUMBER(L599),ISNUMBER(K599),L599&gt;K599),"Check: correct &gt; assessed decisions",IF(AND(ISNUMBER(N599),ISNUMBER(M599),N599&gt;M599),"Check: intended &gt; assessed landings",IF(AND(ISNUMBER(J599),I599=""),"Check: solid contacts without swings","OK"))))))</f>
        <v/>
      </c>
    </row>
    <row r="600" customFormat="false" ht="15" hidden="false" customHeight="false" outlineLevel="0" collapsed="false">
      <c r="B600" s="26"/>
      <c r="C600" s="27"/>
      <c r="D600" s="28" t="str">
        <f aca="false">IF(C600="","",IFERROR(INDEX(Players!$C$5:$C$104,MATCH(C600,Players!$B$5:$B$104,0)),"ID not found"))</f>
        <v/>
      </c>
      <c r="E600" s="27"/>
      <c r="F600" s="27"/>
      <c r="G600" s="28" t="str">
        <f aca="false">IF(F600="","",IFERROR(INDEX('Hitting Drills'!$D$6:$D$45,MATCH(F600,'Hitting Drills'!$B$6:$B$45,0)),"Not a hitting drill ID"))</f>
        <v/>
      </c>
      <c r="H600" s="27"/>
      <c r="I600" s="27"/>
      <c r="J600" s="27"/>
      <c r="K600" s="27"/>
      <c r="L600" s="27"/>
      <c r="M600" s="27"/>
      <c r="N600" s="27"/>
      <c r="O600" s="27"/>
      <c r="P600" s="27"/>
      <c r="Q600" s="27"/>
      <c r="R600" s="27"/>
      <c r="S600" s="29" t="str">
        <f aca="false">IF(OR(B600="",C600=""),"",IF(COUNTIFS($B$5:B600,B600,$C$5:C600,C600)=1,1,0))</f>
        <v/>
      </c>
      <c r="T600" s="29" t="str">
        <f aca="false">IF(OR(B600="",C600="",E600=""),"",IF(COUNTIFS($B$5:B600,B600,$C$5:C600,C600,$E$5:E600,E600)=1,1,0))</f>
        <v/>
      </c>
      <c r="U600" s="28" t="str">
        <f aca="false">IF(COUNTA(B600:C600,E600:F600,H600:P600)=0,"",IF(OR(B600="",C600="",E600=""),"Check: date, player, and context required",IF(AND(ISNUMBER(J600),ISNUMBER(I600),J600&gt;I600),"Check: solid contacts &gt; swings",IF(AND(ISNUMBER(L600),ISNUMBER(K600),L600&gt;K600),"Check: correct &gt; assessed decisions",IF(AND(ISNUMBER(N600),ISNUMBER(M600),N600&gt;M600),"Check: intended &gt; assessed landings",IF(AND(ISNUMBER(J600),I600=""),"Check: solid contacts without swings","OK"))))))</f>
        <v/>
      </c>
    </row>
    <row r="601" customFormat="false" ht="15" hidden="false" customHeight="false" outlineLevel="0" collapsed="false">
      <c r="B601" s="26"/>
      <c r="C601" s="27"/>
      <c r="D601" s="28" t="str">
        <f aca="false">IF(C601="","",IFERROR(INDEX(Players!$C$5:$C$104,MATCH(C601,Players!$B$5:$B$104,0)),"ID not found"))</f>
        <v/>
      </c>
      <c r="E601" s="27"/>
      <c r="F601" s="27"/>
      <c r="G601" s="28" t="str">
        <f aca="false">IF(F601="","",IFERROR(INDEX('Hitting Drills'!$D$6:$D$45,MATCH(F601,'Hitting Drills'!$B$6:$B$45,0)),"Not a hitting drill ID"))</f>
        <v/>
      </c>
      <c r="H601" s="27"/>
      <c r="I601" s="27"/>
      <c r="J601" s="27"/>
      <c r="K601" s="27"/>
      <c r="L601" s="27"/>
      <c r="M601" s="27"/>
      <c r="N601" s="27"/>
      <c r="O601" s="27"/>
      <c r="P601" s="27"/>
      <c r="Q601" s="27"/>
      <c r="R601" s="27"/>
      <c r="S601" s="29" t="str">
        <f aca="false">IF(OR(B601="",C601=""),"",IF(COUNTIFS($B$5:B601,B601,$C$5:C601,C601)=1,1,0))</f>
        <v/>
      </c>
      <c r="T601" s="29" t="str">
        <f aca="false">IF(OR(B601="",C601="",E601=""),"",IF(COUNTIFS($B$5:B601,B601,$C$5:C601,C601,$E$5:E601,E601)=1,1,0))</f>
        <v/>
      </c>
      <c r="U601" s="28" t="str">
        <f aca="false">IF(COUNTA(B601:C601,E601:F601,H601:P601)=0,"",IF(OR(B601="",C601="",E601=""),"Check: date, player, and context required",IF(AND(ISNUMBER(J601),ISNUMBER(I601),J601&gt;I601),"Check: solid contacts &gt; swings",IF(AND(ISNUMBER(L601),ISNUMBER(K601),L601&gt;K601),"Check: correct &gt; assessed decisions",IF(AND(ISNUMBER(N601),ISNUMBER(M601),N601&gt;M601),"Check: intended &gt; assessed landings",IF(AND(ISNUMBER(J601),I601=""),"Check: solid contacts without swings","OK"))))))</f>
        <v/>
      </c>
    </row>
    <row r="602" customFormat="false" ht="15" hidden="false" customHeight="false" outlineLevel="0" collapsed="false">
      <c r="B602" s="26"/>
      <c r="C602" s="27"/>
      <c r="D602" s="28" t="str">
        <f aca="false">IF(C602="","",IFERROR(INDEX(Players!$C$5:$C$104,MATCH(C602,Players!$B$5:$B$104,0)),"ID not found"))</f>
        <v/>
      </c>
      <c r="E602" s="27"/>
      <c r="F602" s="27"/>
      <c r="G602" s="28" t="str">
        <f aca="false">IF(F602="","",IFERROR(INDEX('Hitting Drills'!$D$6:$D$45,MATCH(F602,'Hitting Drills'!$B$6:$B$45,0)),"Not a hitting drill ID"))</f>
        <v/>
      </c>
      <c r="H602" s="27"/>
      <c r="I602" s="27"/>
      <c r="J602" s="27"/>
      <c r="K602" s="27"/>
      <c r="L602" s="27"/>
      <c r="M602" s="27"/>
      <c r="N602" s="27"/>
      <c r="O602" s="27"/>
      <c r="P602" s="27"/>
      <c r="Q602" s="27"/>
      <c r="R602" s="27"/>
      <c r="S602" s="29" t="str">
        <f aca="false">IF(OR(B602="",C602=""),"",IF(COUNTIFS($B$5:B602,B602,$C$5:C602,C602)=1,1,0))</f>
        <v/>
      </c>
      <c r="T602" s="29" t="str">
        <f aca="false">IF(OR(B602="",C602="",E602=""),"",IF(COUNTIFS($B$5:B602,B602,$C$5:C602,C602,$E$5:E602,E602)=1,1,0))</f>
        <v/>
      </c>
      <c r="U602" s="28" t="str">
        <f aca="false">IF(COUNTA(B602:C602,E602:F602,H602:P602)=0,"",IF(OR(B602="",C602="",E602=""),"Check: date, player, and context required",IF(AND(ISNUMBER(J602),ISNUMBER(I602),J602&gt;I602),"Check: solid contacts &gt; swings",IF(AND(ISNUMBER(L602),ISNUMBER(K602),L602&gt;K602),"Check: correct &gt; assessed decisions",IF(AND(ISNUMBER(N602),ISNUMBER(M602),N602&gt;M602),"Check: intended &gt; assessed landings",IF(AND(ISNUMBER(J602),I602=""),"Check: solid contacts without swings","OK"))))))</f>
        <v/>
      </c>
    </row>
    <row r="603" customFormat="false" ht="15" hidden="false" customHeight="false" outlineLevel="0" collapsed="false">
      <c r="B603" s="26"/>
      <c r="C603" s="27"/>
      <c r="D603" s="28" t="str">
        <f aca="false">IF(C603="","",IFERROR(INDEX(Players!$C$5:$C$104,MATCH(C603,Players!$B$5:$B$104,0)),"ID not found"))</f>
        <v/>
      </c>
      <c r="E603" s="27"/>
      <c r="F603" s="27"/>
      <c r="G603" s="28" t="str">
        <f aca="false">IF(F603="","",IFERROR(INDEX('Hitting Drills'!$D$6:$D$45,MATCH(F603,'Hitting Drills'!$B$6:$B$45,0)),"Not a hitting drill ID"))</f>
        <v/>
      </c>
      <c r="H603" s="27"/>
      <c r="I603" s="27"/>
      <c r="J603" s="27"/>
      <c r="K603" s="27"/>
      <c r="L603" s="27"/>
      <c r="M603" s="27"/>
      <c r="N603" s="27"/>
      <c r="O603" s="27"/>
      <c r="P603" s="27"/>
      <c r="Q603" s="27"/>
      <c r="R603" s="27"/>
      <c r="S603" s="29" t="str">
        <f aca="false">IF(OR(B603="",C603=""),"",IF(COUNTIFS($B$5:B603,B603,$C$5:C603,C603)=1,1,0))</f>
        <v/>
      </c>
      <c r="T603" s="29" t="str">
        <f aca="false">IF(OR(B603="",C603="",E603=""),"",IF(COUNTIFS($B$5:B603,B603,$C$5:C603,C603,$E$5:E603,E603)=1,1,0))</f>
        <v/>
      </c>
      <c r="U603" s="28" t="str">
        <f aca="false">IF(COUNTA(B603:C603,E603:F603,H603:P603)=0,"",IF(OR(B603="",C603="",E603=""),"Check: date, player, and context required",IF(AND(ISNUMBER(J603),ISNUMBER(I603),J603&gt;I603),"Check: solid contacts &gt; swings",IF(AND(ISNUMBER(L603),ISNUMBER(K603),L603&gt;K603),"Check: correct &gt; assessed decisions",IF(AND(ISNUMBER(N603),ISNUMBER(M603),N603&gt;M603),"Check: intended &gt; assessed landings",IF(AND(ISNUMBER(J603),I603=""),"Check: solid contacts without swings","OK"))))))</f>
        <v/>
      </c>
    </row>
    <row r="604" customFormat="false" ht="15" hidden="false" customHeight="false" outlineLevel="0" collapsed="false">
      <c r="B604" s="26"/>
      <c r="C604" s="27"/>
      <c r="D604" s="28" t="str">
        <f aca="false">IF(C604="","",IFERROR(INDEX(Players!$C$5:$C$104,MATCH(C604,Players!$B$5:$B$104,0)),"ID not found"))</f>
        <v/>
      </c>
      <c r="E604" s="27"/>
      <c r="F604" s="27"/>
      <c r="G604" s="28" t="str">
        <f aca="false">IF(F604="","",IFERROR(INDEX('Hitting Drills'!$D$6:$D$45,MATCH(F604,'Hitting Drills'!$B$6:$B$45,0)),"Not a hitting drill ID"))</f>
        <v/>
      </c>
      <c r="H604" s="27"/>
      <c r="I604" s="27"/>
      <c r="J604" s="27"/>
      <c r="K604" s="27"/>
      <c r="L604" s="27"/>
      <c r="M604" s="27"/>
      <c r="N604" s="27"/>
      <c r="O604" s="27"/>
      <c r="P604" s="27"/>
      <c r="Q604" s="27"/>
      <c r="R604" s="27"/>
      <c r="S604" s="29" t="str">
        <f aca="false">IF(OR(B604="",C604=""),"",IF(COUNTIFS($B$5:B604,B604,$C$5:C604,C604)=1,1,0))</f>
        <v/>
      </c>
      <c r="T604" s="29" t="str">
        <f aca="false">IF(OR(B604="",C604="",E604=""),"",IF(COUNTIFS($B$5:B604,B604,$C$5:C604,C604,$E$5:E604,E604)=1,1,0))</f>
        <v/>
      </c>
      <c r="U604" s="28" t="str">
        <f aca="false">IF(COUNTA(B604:C604,E604:F604,H604:P604)=0,"",IF(OR(B604="",C604="",E604=""),"Check: date, player, and context required",IF(AND(ISNUMBER(J604),ISNUMBER(I604),J604&gt;I604),"Check: solid contacts &gt; swings",IF(AND(ISNUMBER(L604),ISNUMBER(K604),L604&gt;K604),"Check: correct &gt; assessed decisions",IF(AND(ISNUMBER(N604),ISNUMBER(M604),N604&gt;M604),"Check: intended &gt; assessed landings",IF(AND(ISNUMBER(J604),I604=""),"Check: solid contacts without swings","OK"))))))</f>
        <v/>
      </c>
    </row>
    <row r="605" customFormat="false" ht="15" hidden="false" customHeight="false" outlineLevel="0" collapsed="false">
      <c r="B605" s="26"/>
      <c r="C605" s="27"/>
      <c r="D605" s="28" t="str">
        <f aca="false">IF(C605="","",IFERROR(INDEX(Players!$C$5:$C$104,MATCH(C605,Players!$B$5:$B$104,0)),"ID not found"))</f>
        <v/>
      </c>
      <c r="E605" s="27"/>
      <c r="F605" s="27"/>
      <c r="G605" s="28" t="str">
        <f aca="false">IF(F605="","",IFERROR(INDEX('Hitting Drills'!$D$6:$D$45,MATCH(F605,'Hitting Drills'!$B$6:$B$45,0)),"Not a hitting drill ID"))</f>
        <v/>
      </c>
      <c r="H605" s="27"/>
      <c r="I605" s="27"/>
      <c r="J605" s="27"/>
      <c r="K605" s="27"/>
      <c r="L605" s="27"/>
      <c r="M605" s="27"/>
      <c r="N605" s="27"/>
      <c r="O605" s="27"/>
      <c r="P605" s="27"/>
      <c r="Q605" s="27"/>
      <c r="R605" s="27"/>
      <c r="S605" s="29" t="str">
        <f aca="false">IF(OR(B605="",C605=""),"",IF(COUNTIFS($B$5:B605,B605,$C$5:C605,C605)=1,1,0))</f>
        <v/>
      </c>
      <c r="T605" s="29" t="str">
        <f aca="false">IF(OR(B605="",C605="",E605=""),"",IF(COUNTIFS($B$5:B605,B605,$C$5:C605,C605,$E$5:E605,E605)=1,1,0))</f>
        <v/>
      </c>
      <c r="U605" s="28" t="str">
        <f aca="false">IF(COUNTA(B605:C605,E605:F605,H605:P605)=0,"",IF(OR(B605="",C605="",E605=""),"Check: date, player, and context required",IF(AND(ISNUMBER(J605),ISNUMBER(I605),J605&gt;I605),"Check: solid contacts &gt; swings",IF(AND(ISNUMBER(L605),ISNUMBER(K605),L605&gt;K605),"Check: correct &gt; assessed decisions",IF(AND(ISNUMBER(N605),ISNUMBER(M605),N605&gt;M605),"Check: intended &gt; assessed landings",IF(AND(ISNUMBER(J605),I605=""),"Check: solid contacts without swings","OK"))))))</f>
        <v/>
      </c>
    </row>
    <row r="606" customFormat="false" ht="15" hidden="false" customHeight="false" outlineLevel="0" collapsed="false">
      <c r="B606" s="26"/>
      <c r="C606" s="27"/>
      <c r="D606" s="28" t="str">
        <f aca="false">IF(C606="","",IFERROR(INDEX(Players!$C$5:$C$104,MATCH(C606,Players!$B$5:$B$104,0)),"ID not found"))</f>
        <v/>
      </c>
      <c r="E606" s="27"/>
      <c r="F606" s="27"/>
      <c r="G606" s="28" t="str">
        <f aca="false">IF(F606="","",IFERROR(INDEX('Hitting Drills'!$D$6:$D$45,MATCH(F606,'Hitting Drills'!$B$6:$B$45,0)),"Not a hitting drill ID"))</f>
        <v/>
      </c>
      <c r="H606" s="27"/>
      <c r="I606" s="27"/>
      <c r="J606" s="27"/>
      <c r="K606" s="27"/>
      <c r="L606" s="27"/>
      <c r="M606" s="27"/>
      <c r="N606" s="27"/>
      <c r="O606" s="27"/>
      <c r="P606" s="27"/>
      <c r="Q606" s="27"/>
      <c r="R606" s="27"/>
      <c r="S606" s="29" t="str">
        <f aca="false">IF(OR(B606="",C606=""),"",IF(COUNTIFS($B$5:B606,B606,$C$5:C606,C606)=1,1,0))</f>
        <v/>
      </c>
      <c r="T606" s="29" t="str">
        <f aca="false">IF(OR(B606="",C606="",E606=""),"",IF(COUNTIFS($B$5:B606,B606,$C$5:C606,C606,$E$5:E606,E606)=1,1,0))</f>
        <v/>
      </c>
      <c r="U606" s="28" t="str">
        <f aca="false">IF(COUNTA(B606:C606,E606:F606,H606:P606)=0,"",IF(OR(B606="",C606="",E606=""),"Check: date, player, and context required",IF(AND(ISNUMBER(J606),ISNUMBER(I606),J606&gt;I606),"Check: solid contacts &gt; swings",IF(AND(ISNUMBER(L606),ISNUMBER(K606),L606&gt;K606),"Check: correct &gt; assessed decisions",IF(AND(ISNUMBER(N606),ISNUMBER(M606),N606&gt;M606),"Check: intended &gt; assessed landings",IF(AND(ISNUMBER(J606),I606=""),"Check: solid contacts without swings","OK"))))))</f>
        <v/>
      </c>
    </row>
    <row r="607" customFormat="false" ht="15" hidden="false" customHeight="false" outlineLevel="0" collapsed="false">
      <c r="B607" s="26"/>
      <c r="C607" s="27"/>
      <c r="D607" s="28" t="str">
        <f aca="false">IF(C607="","",IFERROR(INDEX(Players!$C$5:$C$104,MATCH(C607,Players!$B$5:$B$104,0)),"ID not found"))</f>
        <v/>
      </c>
      <c r="E607" s="27"/>
      <c r="F607" s="27"/>
      <c r="G607" s="28" t="str">
        <f aca="false">IF(F607="","",IFERROR(INDEX('Hitting Drills'!$D$6:$D$45,MATCH(F607,'Hitting Drills'!$B$6:$B$45,0)),"Not a hitting drill ID"))</f>
        <v/>
      </c>
      <c r="H607" s="27"/>
      <c r="I607" s="27"/>
      <c r="J607" s="27"/>
      <c r="K607" s="27"/>
      <c r="L607" s="27"/>
      <c r="M607" s="27"/>
      <c r="N607" s="27"/>
      <c r="O607" s="27"/>
      <c r="P607" s="27"/>
      <c r="Q607" s="27"/>
      <c r="R607" s="27"/>
      <c r="S607" s="29" t="str">
        <f aca="false">IF(OR(B607="",C607=""),"",IF(COUNTIFS($B$5:B607,B607,$C$5:C607,C607)=1,1,0))</f>
        <v/>
      </c>
      <c r="T607" s="29" t="str">
        <f aca="false">IF(OR(B607="",C607="",E607=""),"",IF(COUNTIFS($B$5:B607,B607,$C$5:C607,C607,$E$5:E607,E607)=1,1,0))</f>
        <v/>
      </c>
      <c r="U607" s="28" t="str">
        <f aca="false">IF(COUNTA(B607:C607,E607:F607,H607:P607)=0,"",IF(OR(B607="",C607="",E607=""),"Check: date, player, and context required",IF(AND(ISNUMBER(J607),ISNUMBER(I607),J607&gt;I607),"Check: solid contacts &gt; swings",IF(AND(ISNUMBER(L607),ISNUMBER(K607),L607&gt;K607),"Check: correct &gt; assessed decisions",IF(AND(ISNUMBER(N607),ISNUMBER(M607),N607&gt;M607),"Check: intended &gt; assessed landings",IF(AND(ISNUMBER(J607),I607=""),"Check: solid contacts without swings","OK"))))))</f>
        <v/>
      </c>
    </row>
    <row r="608" customFormat="false" ht="15" hidden="false" customHeight="false" outlineLevel="0" collapsed="false">
      <c r="B608" s="26"/>
      <c r="C608" s="27"/>
      <c r="D608" s="28" t="str">
        <f aca="false">IF(C608="","",IFERROR(INDEX(Players!$C$5:$C$104,MATCH(C608,Players!$B$5:$B$104,0)),"ID not found"))</f>
        <v/>
      </c>
      <c r="E608" s="27"/>
      <c r="F608" s="27"/>
      <c r="G608" s="28" t="str">
        <f aca="false">IF(F608="","",IFERROR(INDEX('Hitting Drills'!$D$6:$D$45,MATCH(F608,'Hitting Drills'!$B$6:$B$45,0)),"Not a hitting drill ID"))</f>
        <v/>
      </c>
      <c r="H608" s="27"/>
      <c r="I608" s="27"/>
      <c r="J608" s="27"/>
      <c r="K608" s="27"/>
      <c r="L608" s="27"/>
      <c r="M608" s="27"/>
      <c r="N608" s="27"/>
      <c r="O608" s="27"/>
      <c r="P608" s="27"/>
      <c r="Q608" s="27"/>
      <c r="R608" s="27"/>
      <c r="S608" s="29" t="str">
        <f aca="false">IF(OR(B608="",C608=""),"",IF(COUNTIFS($B$5:B608,B608,$C$5:C608,C608)=1,1,0))</f>
        <v/>
      </c>
      <c r="T608" s="29" t="str">
        <f aca="false">IF(OR(B608="",C608="",E608=""),"",IF(COUNTIFS($B$5:B608,B608,$C$5:C608,C608,$E$5:E608,E608)=1,1,0))</f>
        <v/>
      </c>
      <c r="U608" s="28" t="str">
        <f aca="false">IF(COUNTA(B608:C608,E608:F608,H608:P608)=0,"",IF(OR(B608="",C608="",E608=""),"Check: date, player, and context required",IF(AND(ISNUMBER(J608),ISNUMBER(I608),J608&gt;I608),"Check: solid contacts &gt; swings",IF(AND(ISNUMBER(L608),ISNUMBER(K608),L608&gt;K608),"Check: correct &gt; assessed decisions",IF(AND(ISNUMBER(N608),ISNUMBER(M608),N608&gt;M608),"Check: intended &gt; assessed landings",IF(AND(ISNUMBER(J608),I608=""),"Check: solid contacts without swings","OK"))))))</f>
        <v/>
      </c>
    </row>
    <row r="609" customFormat="false" ht="15" hidden="false" customHeight="false" outlineLevel="0" collapsed="false">
      <c r="B609" s="26"/>
      <c r="C609" s="27"/>
      <c r="D609" s="28" t="str">
        <f aca="false">IF(C609="","",IFERROR(INDEX(Players!$C$5:$C$104,MATCH(C609,Players!$B$5:$B$104,0)),"ID not found"))</f>
        <v/>
      </c>
      <c r="E609" s="27"/>
      <c r="F609" s="27"/>
      <c r="G609" s="28" t="str">
        <f aca="false">IF(F609="","",IFERROR(INDEX('Hitting Drills'!$D$6:$D$45,MATCH(F609,'Hitting Drills'!$B$6:$B$45,0)),"Not a hitting drill ID"))</f>
        <v/>
      </c>
      <c r="H609" s="27"/>
      <c r="I609" s="27"/>
      <c r="J609" s="27"/>
      <c r="K609" s="27"/>
      <c r="L609" s="27"/>
      <c r="M609" s="27"/>
      <c r="N609" s="27"/>
      <c r="O609" s="27"/>
      <c r="P609" s="27"/>
      <c r="Q609" s="27"/>
      <c r="R609" s="27"/>
      <c r="S609" s="29" t="str">
        <f aca="false">IF(OR(B609="",C609=""),"",IF(COUNTIFS($B$5:B609,B609,$C$5:C609,C609)=1,1,0))</f>
        <v/>
      </c>
      <c r="T609" s="29" t="str">
        <f aca="false">IF(OR(B609="",C609="",E609=""),"",IF(COUNTIFS($B$5:B609,B609,$C$5:C609,C609,$E$5:E609,E609)=1,1,0))</f>
        <v/>
      </c>
      <c r="U609" s="28" t="str">
        <f aca="false">IF(COUNTA(B609:C609,E609:F609,H609:P609)=0,"",IF(OR(B609="",C609="",E609=""),"Check: date, player, and context required",IF(AND(ISNUMBER(J609),ISNUMBER(I609),J609&gt;I609),"Check: solid contacts &gt; swings",IF(AND(ISNUMBER(L609),ISNUMBER(K609),L609&gt;K609),"Check: correct &gt; assessed decisions",IF(AND(ISNUMBER(N609),ISNUMBER(M609),N609&gt;M609),"Check: intended &gt; assessed landings",IF(AND(ISNUMBER(J609),I609=""),"Check: solid contacts without swings","OK"))))))</f>
        <v/>
      </c>
    </row>
    <row r="610" customFormat="false" ht="15" hidden="false" customHeight="false" outlineLevel="0" collapsed="false">
      <c r="B610" s="26"/>
      <c r="C610" s="27"/>
      <c r="D610" s="28" t="str">
        <f aca="false">IF(C610="","",IFERROR(INDEX(Players!$C$5:$C$104,MATCH(C610,Players!$B$5:$B$104,0)),"ID not found"))</f>
        <v/>
      </c>
      <c r="E610" s="27"/>
      <c r="F610" s="27"/>
      <c r="G610" s="28" t="str">
        <f aca="false">IF(F610="","",IFERROR(INDEX('Hitting Drills'!$D$6:$D$45,MATCH(F610,'Hitting Drills'!$B$6:$B$45,0)),"Not a hitting drill ID"))</f>
        <v/>
      </c>
      <c r="H610" s="27"/>
      <c r="I610" s="27"/>
      <c r="J610" s="27"/>
      <c r="K610" s="27"/>
      <c r="L610" s="27"/>
      <c r="M610" s="27"/>
      <c r="N610" s="27"/>
      <c r="O610" s="27"/>
      <c r="P610" s="27"/>
      <c r="Q610" s="27"/>
      <c r="R610" s="27"/>
      <c r="S610" s="29" t="str">
        <f aca="false">IF(OR(B610="",C610=""),"",IF(COUNTIFS($B$5:B610,B610,$C$5:C610,C610)=1,1,0))</f>
        <v/>
      </c>
      <c r="T610" s="29" t="str">
        <f aca="false">IF(OR(B610="",C610="",E610=""),"",IF(COUNTIFS($B$5:B610,B610,$C$5:C610,C610,$E$5:E610,E610)=1,1,0))</f>
        <v/>
      </c>
      <c r="U610" s="28" t="str">
        <f aca="false">IF(COUNTA(B610:C610,E610:F610,H610:P610)=0,"",IF(OR(B610="",C610="",E610=""),"Check: date, player, and context required",IF(AND(ISNUMBER(J610),ISNUMBER(I610),J610&gt;I610),"Check: solid contacts &gt; swings",IF(AND(ISNUMBER(L610),ISNUMBER(K610),L610&gt;K610),"Check: correct &gt; assessed decisions",IF(AND(ISNUMBER(N610),ISNUMBER(M610),N610&gt;M610),"Check: intended &gt; assessed landings",IF(AND(ISNUMBER(J610),I610=""),"Check: solid contacts without swings","OK"))))))</f>
        <v/>
      </c>
    </row>
    <row r="611" customFormat="false" ht="15" hidden="false" customHeight="false" outlineLevel="0" collapsed="false">
      <c r="B611" s="26"/>
      <c r="C611" s="27"/>
      <c r="D611" s="28" t="str">
        <f aca="false">IF(C611="","",IFERROR(INDEX(Players!$C$5:$C$104,MATCH(C611,Players!$B$5:$B$104,0)),"ID not found"))</f>
        <v/>
      </c>
      <c r="E611" s="27"/>
      <c r="F611" s="27"/>
      <c r="G611" s="28" t="str">
        <f aca="false">IF(F611="","",IFERROR(INDEX('Hitting Drills'!$D$6:$D$45,MATCH(F611,'Hitting Drills'!$B$6:$B$45,0)),"Not a hitting drill ID"))</f>
        <v/>
      </c>
      <c r="H611" s="27"/>
      <c r="I611" s="27"/>
      <c r="J611" s="27"/>
      <c r="K611" s="27"/>
      <c r="L611" s="27"/>
      <c r="M611" s="27"/>
      <c r="N611" s="27"/>
      <c r="O611" s="27"/>
      <c r="P611" s="27"/>
      <c r="Q611" s="27"/>
      <c r="R611" s="27"/>
      <c r="S611" s="29" t="str">
        <f aca="false">IF(OR(B611="",C611=""),"",IF(COUNTIFS($B$5:B611,B611,$C$5:C611,C611)=1,1,0))</f>
        <v/>
      </c>
      <c r="T611" s="29" t="str">
        <f aca="false">IF(OR(B611="",C611="",E611=""),"",IF(COUNTIFS($B$5:B611,B611,$C$5:C611,C611,$E$5:E611,E611)=1,1,0))</f>
        <v/>
      </c>
      <c r="U611" s="28" t="str">
        <f aca="false">IF(COUNTA(B611:C611,E611:F611,H611:P611)=0,"",IF(OR(B611="",C611="",E611=""),"Check: date, player, and context required",IF(AND(ISNUMBER(J611),ISNUMBER(I611),J611&gt;I611),"Check: solid contacts &gt; swings",IF(AND(ISNUMBER(L611),ISNUMBER(K611),L611&gt;K611),"Check: correct &gt; assessed decisions",IF(AND(ISNUMBER(N611),ISNUMBER(M611),N611&gt;M611),"Check: intended &gt; assessed landings",IF(AND(ISNUMBER(J611),I611=""),"Check: solid contacts without swings","OK"))))))</f>
        <v/>
      </c>
    </row>
    <row r="612" customFormat="false" ht="15" hidden="false" customHeight="false" outlineLevel="0" collapsed="false">
      <c r="B612" s="26"/>
      <c r="C612" s="27"/>
      <c r="D612" s="28" t="str">
        <f aca="false">IF(C612="","",IFERROR(INDEX(Players!$C$5:$C$104,MATCH(C612,Players!$B$5:$B$104,0)),"ID not found"))</f>
        <v/>
      </c>
      <c r="E612" s="27"/>
      <c r="F612" s="27"/>
      <c r="G612" s="28" t="str">
        <f aca="false">IF(F612="","",IFERROR(INDEX('Hitting Drills'!$D$6:$D$45,MATCH(F612,'Hitting Drills'!$B$6:$B$45,0)),"Not a hitting drill ID"))</f>
        <v/>
      </c>
      <c r="H612" s="27"/>
      <c r="I612" s="27"/>
      <c r="J612" s="27"/>
      <c r="K612" s="27"/>
      <c r="L612" s="27"/>
      <c r="M612" s="27"/>
      <c r="N612" s="27"/>
      <c r="O612" s="27"/>
      <c r="P612" s="27"/>
      <c r="Q612" s="27"/>
      <c r="R612" s="27"/>
      <c r="S612" s="29" t="str">
        <f aca="false">IF(OR(B612="",C612=""),"",IF(COUNTIFS($B$5:B612,B612,$C$5:C612,C612)=1,1,0))</f>
        <v/>
      </c>
      <c r="T612" s="29" t="str">
        <f aca="false">IF(OR(B612="",C612="",E612=""),"",IF(COUNTIFS($B$5:B612,B612,$C$5:C612,C612,$E$5:E612,E612)=1,1,0))</f>
        <v/>
      </c>
      <c r="U612" s="28" t="str">
        <f aca="false">IF(COUNTA(B612:C612,E612:F612,H612:P612)=0,"",IF(OR(B612="",C612="",E612=""),"Check: date, player, and context required",IF(AND(ISNUMBER(J612),ISNUMBER(I612),J612&gt;I612),"Check: solid contacts &gt; swings",IF(AND(ISNUMBER(L612),ISNUMBER(K612),L612&gt;K612),"Check: correct &gt; assessed decisions",IF(AND(ISNUMBER(N612),ISNUMBER(M612),N612&gt;M612),"Check: intended &gt; assessed landings",IF(AND(ISNUMBER(J612),I612=""),"Check: solid contacts without swings","OK"))))))</f>
        <v/>
      </c>
    </row>
    <row r="613" customFormat="false" ht="15" hidden="false" customHeight="false" outlineLevel="0" collapsed="false">
      <c r="B613" s="26"/>
      <c r="C613" s="27"/>
      <c r="D613" s="28" t="str">
        <f aca="false">IF(C613="","",IFERROR(INDEX(Players!$C$5:$C$104,MATCH(C613,Players!$B$5:$B$104,0)),"ID not found"))</f>
        <v/>
      </c>
      <c r="E613" s="27"/>
      <c r="F613" s="27"/>
      <c r="G613" s="28" t="str">
        <f aca="false">IF(F613="","",IFERROR(INDEX('Hitting Drills'!$D$6:$D$45,MATCH(F613,'Hitting Drills'!$B$6:$B$45,0)),"Not a hitting drill ID"))</f>
        <v/>
      </c>
      <c r="H613" s="27"/>
      <c r="I613" s="27"/>
      <c r="J613" s="27"/>
      <c r="K613" s="27"/>
      <c r="L613" s="27"/>
      <c r="M613" s="27"/>
      <c r="N613" s="27"/>
      <c r="O613" s="27"/>
      <c r="P613" s="27"/>
      <c r="Q613" s="27"/>
      <c r="R613" s="27"/>
      <c r="S613" s="29" t="str">
        <f aca="false">IF(OR(B613="",C613=""),"",IF(COUNTIFS($B$5:B613,B613,$C$5:C613,C613)=1,1,0))</f>
        <v/>
      </c>
      <c r="T613" s="29" t="str">
        <f aca="false">IF(OR(B613="",C613="",E613=""),"",IF(COUNTIFS($B$5:B613,B613,$C$5:C613,C613,$E$5:E613,E613)=1,1,0))</f>
        <v/>
      </c>
      <c r="U613" s="28" t="str">
        <f aca="false">IF(COUNTA(B613:C613,E613:F613,H613:P613)=0,"",IF(OR(B613="",C613="",E613=""),"Check: date, player, and context required",IF(AND(ISNUMBER(J613),ISNUMBER(I613),J613&gt;I613),"Check: solid contacts &gt; swings",IF(AND(ISNUMBER(L613),ISNUMBER(K613),L613&gt;K613),"Check: correct &gt; assessed decisions",IF(AND(ISNUMBER(N613),ISNUMBER(M613),N613&gt;M613),"Check: intended &gt; assessed landings",IF(AND(ISNUMBER(J613),I613=""),"Check: solid contacts without swings","OK"))))))</f>
        <v/>
      </c>
    </row>
    <row r="614" customFormat="false" ht="15" hidden="false" customHeight="false" outlineLevel="0" collapsed="false">
      <c r="B614" s="26"/>
      <c r="C614" s="27"/>
      <c r="D614" s="28" t="str">
        <f aca="false">IF(C614="","",IFERROR(INDEX(Players!$C$5:$C$104,MATCH(C614,Players!$B$5:$B$104,0)),"ID not found"))</f>
        <v/>
      </c>
      <c r="E614" s="27"/>
      <c r="F614" s="27"/>
      <c r="G614" s="28" t="str">
        <f aca="false">IF(F614="","",IFERROR(INDEX('Hitting Drills'!$D$6:$D$45,MATCH(F614,'Hitting Drills'!$B$6:$B$45,0)),"Not a hitting drill ID"))</f>
        <v/>
      </c>
      <c r="H614" s="27"/>
      <c r="I614" s="27"/>
      <c r="J614" s="27"/>
      <c r="K614" s="27"/>
      <c r="L614" s="27"/>
      <c r="M614" s="27"/>
      <c r="N614" s="27"/>
      <c r="O614" s="27"/>
      <c r="P614" s="27"/>
      <c r="Q614" s="27"/>
      <c r="R614" s="27"/>
      <c r="S614" s="29" t="str">
        <f aca="false">IF(OR(B614="",C614=""),"",IF(COUNTIFS($B$5:B614,B614,$C$5:C614,C614)=1,1,0))</f>
        <v/>
      </c>
      <c r="T614" s="29" t="str">
        <f aca="false">IF(OR(B614="",C614="",E614=""),"",IF(COUNTIFS($B$5:B614,B614,$C$5:C614,C614,$E$5:E614,E614)=1,1,0))</f>
        <v/>
      </c>
      <c r="U614" s="28" t="str">
        <f aca="false">IF(COUNTA(B614:C614,E614:F614,H614:P614)=0,"",IF(OR(B614="",C614="",E614=""),"Check: date, player, and context required",IF(AND(ISNUMBER(J614),ISNUMBER(I614),J614&gt;I614),"Check: solid contacts &gt; swings",IF(AND(ISNUMBER(L614),ISNUMBER(K614),L614&gt;K614),"Check: correct &gt; assessed decisions",IF(AND(ISNUMBER(N614),ISNUMBER(M614),N614&gt;M614),"Check: intended &gt; assessed landings",IF(AND(ISNUMBER(J614),I614=""),"Check: solid contacts without swings","OK"))))))</f>
        <v/>
      </c>
    </row>
    <row r="615" customFormat="false" ht="15" hidden="false" customHeight="false" outlineLevel="0" collapsed="false">
      <c r="B615" s="26"/>
      <c r="C615" s="27"/>
      <c r="D615" s="28" t="str">
        <f aca="false">IF(C615="","",IFERROR(INDEX(Players!$C$5:$C$104,MATCH(C615,Players!$B$5:$B$104,0)),"ID not found"))</f>
        <v/>
      </c>
      <c r="E615" s="27"/>
      <c r="F615" s="27"/>
      <c r="G615" s="28" t="str">
        <f aca="false">IF(F615="","",IFERROR(INDEX('Hitting Drills'!$D$6:$D$45,MATCH(F615,'Hitting Drills'!$B$6:$B$45,0)),"Not a hitting drill ID"))</f>
        <v/>
      </c>
      <c r="H615" s="27"/>
      <c r="I615" s="27"/>
      <c r="J615" s="27"/>
      <c r="K615" s="27"/>
      <c r="L615" s="27"/>
      <c r="M615" s="27"/>
      <c r="N615" s="27"/>
      <c r="O615" s="27"/>
      <c r="P615" s="27"/>
      <c r="Q615" s="27"/>
      <c r="R615" s="27"/>
      <c r="S615" s="29" t="str">
        <f aca="false">IF(OR(B615="",C615=""),"",IF(COUNTIFS($B$5:B615,B615,$C$5:C615,C615)=1,1,0))</f>
        <v/>
      </c>
      <c r="T615" s="29" t="str">
        <f aca="false">IF(OR(B615="",C615="",E615=""),"",IF(COUNTIFS($B$5:B615,B615,$C$5:C615,C615,$E$5:E615,E615)=1,1,0))</f>
        <v/>
      </c>
      <c r="U615" s="28" t="str">
        <f aca="false">IF(COUNTA(B615:C615,E615:F615,H615:P615)=0,"",IF(OR(B615="",C615="",E615=""),"Check: date, player, and context required",IF(AND(ISNUMBER(J615),ISNUMBER(I615),J615&gt;I615),"Check: solid contacts &gt; swings",IF(AND(ISNUMBER(L615),ISNUMBER(K615),L615&gt;K615),"Check: correct &gt; assessed decisions",IF(AND(ISNUMBER(N615),ISNUMBER(M615),N615&gt;M615),"Check: intended &gt; assessed landings",IF(AND(ISNUMBER(J615),I615=""),"Check: solid contacts without swings","OK"))))))</f>
        <v/>
      </c>
    </row>
    <row r="616" customFormat="false" ht="15" hidden="false" customHeight="false" outlineLevel="0" collapsed="false">
      <c r="B616" s="26"/>
      <c r="C616" s="27"/>
      <c r="D616" s="28" t="str">
        <f aca="false">IF(C616="","",IFERROR(INDEX(Players!$C$5:$C$104,MATCH(C616,Players!$B$5:$B$104,0)),"ID not found"))</f>
        <v/>
      </c>
      <c r="E616" s="27"/>
      <c r="F616" s="27"/>
      <c r="G616" s="28" t="str">
        <f aca="false">IF(F616="","",IFERROR(INDEX('Hitting Drills'!$D$6:$D$45,MATCH(F616,'Hitting Drills'!$B$6:$B$45,0)),"Not a hitting drill ID"))</f>
        <v/>
      </c>
      <c r="H616" s="27"/>
      <c r="I616" s="27"/>
      <c r="J616" s="27"/>
      <c r="K616" s="27"/>
      <c r="L616" s="27"/>
      <c r="M616" s="27"/>
      <c r="N616" s="27"/>
      <c r="O616" s="27"/>
      <c r="P616" s="27"/>
      <c r="Q616" s="27"/>
      <c r="R616" s="27"/>
      <c r="S616" s="29" t="str">
        <f aca="false">IF(OR(B616="",C616=""),"",IF(COUNTIFS($B$5:B616,B616,$C$5:C616,C616)=1,1,0))</f>
        <v/>
      </c>
      <c r="T616" s="29" t="str">
        <f aca="false">IF(OR(B616="",C616="",E616=""),"",IF(COUNTIFS($B$5:B616,B616,$C$5:C616,C616,$E$5:E616,E616)=1,1,0))</f>
        <v/>
      </c>
      <c r="U616" s="28" t="str">
        <f aca="false">IF(COUNTA(B616:C616,E616:F616,H616:P616)=0,"",IF(OR(B616="",C616="",E616=""),"Check: date, player, and context required",IF(AND(ISNUMBER(J616),ISNUMBER(I616),J616&gt;I616),"Check: solid contacts &gt; swings",IF(AND(ISNUMBER(L616),ISNUMBER(K616),L616&gt;K616),"Check: correct &gt; assessed decisions",IF(AND(ISNUMBER(N616),ISNUMBER(M616),N616&gt;M616),"Check: intended &gt; assessed landings",IF(AND(ISNUMBER(J616),I616=""),"Check: solid contacts without swings","OK"))))))</f>
        <v/>
      </c>
    </row>
    <row r="617" customFormat="false" ht="15" hidden="false" customHeight="false" outlineLevel="0" collapsed="false">
      <c r="B617" s="26"/>
      <c r="C617" s="27"/>
      <c r="D617" s="28" t="str">
        <f aca="false">IF(C617="","",IFERROR(INDEX(Players!$C$5:$C$104,MATCH(C617,Players!$B$5:$B$104,0)),"ID not found"))</f>
        <v/>
      </c>
      <c r="E617" s="27"/>
      <c r="F617" s="27"/>
      <c r="G617" s="28" t="str">
        <f aca="false">IF(F617="","",IFERROR(INDEX('Hitting Drills'!$D$6:$D$45,MATCH(F617,'Hitting Drills'!$B$6:$B$45,0)),"Not a hitting drill ID"))</f>
        <v/>
      </c>
      <c r="H617" s="27"/>
      <c r="I617" s="27"/>
      <c r="J617" s="27"/>
      <c r="K617" s="27"/>
      <c r="L617" s="27"/>
      <c r="M617" s="27"/>
      <c r="N617" s="27"/>
      <c r="O617" s="27"/>
      <c r="P617" s="27"/>
      <c r="Q617" s="27"/>
      <c r="R617" s="27"/>
      <c r="S617" s="29" t="str">
        <f aca="false">IF(OR(B617="",C617=""),"",IF(COUNTIFS($B$5:B617,B617,$C$5:C617,C617)=1,1,0))</f>
        <v/>
      </c>
      <c r="T617" s="29" t="str">
        <f aca="false">IF(OR(B617="",C617="",E617=""),"",IF(COUNTIFS($B$5:B617,B617,$C$5:C617,C617,$E$5:E617,E617)=1,1,0))</f>
        <v/>
      </c>
      <c r="U617" s="28" t="str">
        <f aca="false">IF(COUNTA(B617:C617,E617:F617,H617:P617)=0,"",IF(OR(B617="",C617="",E617=""),"Check: date, player, and context required",IF(AND(ISNUMBER(J617),ISNUMBER(I617),J617&gt;I617),"Check: solid contacts &gt; swings",IF(AND(ISNUMBER(L617),ISNUMBER(K617),L617&gt;K617),"Check: correct &gt; assessed decisions",IF(AND(ISNUMBER(N617),ISNUMBER(M617),N617&gt;M617),"Check: intended &gt; assessed landings",IF(AND(ISNUMBER(J617),I617=""),"Check: solid contacts without swings","OK"))))))</f>
        <v/>
      </c>
    </row>
    <row r="618" customFormat="false" ht="15" hidden="false" customHeight="false" outlineLevel="0" collapsed="false">
      <c r="B618" s="26"/>
      <c r="C618" s="27"/>
      <c r="D618" s="28" t="str">
        <f aca="false">IF(C618="","",IFERROR(INDEX(Players!$C$5:$C$104,MATCH(C618,Players!$B$5:$B$104,0)),"ID not found"))</f>
        <v/>
      </c>
      <c r="E618" s="27"/>
      <c r="F618" s="27"/>
      <c r="G618" s="28" t="str">
        <f aca="false">IF(F618="","",IFERROR(INDEX('Hitting Drills'!$D$6:$D$45,MATCH(F618,'Hitting Drills'!$B$6:$B$45,0)),"Not a hitting drill ID"))</f>
        <v/>
      </c>
      <c r="H618" s="27"/>
      <c r="I618" s="27"/>
      <c r="J618" s="27"/>
      <c r="K618" s="27"/>
      <c r="L618" s="27"/>
      <c r="M618" s="27"/>
      <c r="N618" s="27"/>
      <c r="O618" s="27"/>
      <c r="P618" s="27"/>
      <c r="Q618" s="27"/>
      <c r="R618" s="27"/>
      <c r="S618" s="29" t="str">
        <f aca="false">IF(OR(B618="",C618=""),"",IF(COUNTIFS($B$5:B618,B618,$C$5:C618,C618)=1,1,0))</f>
        <v/>
      </c>
      <c r="T618" s="29" t="str">
        <f aca="false">IF(OR(B618="",C618="",E618=""),"",IF(COUNTIFS($B$5:B618,B618,$C$5:C618,C618,$E$5:E618,E618)=1,1,0))</f>
        <v/>
      </c>
      <c r="U618" s="28" t="str">
        <f aca="false">IF(COUNTA(B618:C618,E618:F618,H618:P618)=0,"",IF(OR(B618="",C618="",E618=""),"Check: date, player, and context required",IF(AND(ISNUMBER(J618),ISNUMBER(I618),J618&gt;I618),"Check: solid contacts &gt; swings",IF(AND(ISNUMBER(L618),ISNUMBER(K618),L618&gt;K618),"Check: correct &gt; assessed decisions",IF(AND(ISNUMBER(N618),ISNUMBER(M618),N618&gt;M618),"Check: intended &gt; assessed landings",IF(AND(ISNUMBER(J618),I618=""),"Check: solid contacts without swings","OK"))))))</f>
        <v/>
      </c>
    </row>
    <row r="619" customFormat="false" ht="15" hidden="false" customHeight="false" outlineLevel="0" collapsed="false">
      <c r="B619" s="26"/>
      <c r="C619" s="27"/>
      <c r="D619" s="28" t="str">
        <f aca="false">IF(C619="","",IFERROR(INDEX(Players!$C$5:$C$104,MATCH(C619,Players!$B$5:$B$104,0)),"ID not found"))</f>
        <v/>
      </c>
      <c r="E619" s="27"/>
      <c r="F619" s="27"/>
      <c r="G619" s="28" t="str">
        <f aca="false">IF(F619="","",IFERROR(INDEX('Hitting Drills'!$D$6:$D$45,MATCH(F619,'Hitting Drills'!$B$6:$B$45,0)),"Not a hitting drill ID"))</f>
        <v/>
      </c>
      <c r="H619" s="27"/>
      <c r="I619" s="27"/>
      <c r="J619" s="27"/>
      <c r="K619" s="27"/>
      <c r="L619" s="27"/>
      <c r="M619" s="27"/>
      <c r="N619" s="27"/>
      <c r="O619" s="27"/>
      <c r="P619" s="27"/>
      <c r="Q619" s="27"/>
      <c r="R619" s="27"/>
      <c r="S619" s="29" t="str">
        <f aca="false">IF(OR(B619="",C619=""),"",IF(COUNTIFS($B$5:B619,B619,$C$5:C619,C619)=1,1,0))</f>
        <v/>
      </c>
      <c r="T619" s="29" t="str">
        <f aca="false">IF(OR(B619="",C619="",E619=""),"",IF(COUNTIFS($B$5:B619,B619,$C$5:C619,C619,$E$5:E619,E619)=1,1,0))</f>
        <v/>
      </c>
      <c r="U619" s="28" t="str">
        <f aca="false">IF(COUNTA(B619:C619,E619:F619,H619:P619)=0,"",IF(OR(B619="",C619="",E619=""),"Check: date, player, and context required",IF(AND(ISNUMBER(J619),ISNUMBER(I619),J619&gt;I619),"Check: solid contacts &gt; swings",IF(AND(ISNUMBER(L619),ISNUMBER(K619),L619&gt;K619),"Check: correct &gt; assessed decisions",IF(AND(ISNUMBER(N619),ISNUMBER(M619),N619&gt;M619),"Check: intended &gt; assessed landings",IF(AND(ISNUMBER(J619),I619=""),"Check: solid contacts without swings","OK"))))))</f>
        <v/>
      </c>
    </row>
    <row r="620" customFormat="false" ht="15" hidden="false" customHeight="false" outlineLevel="0" collapsed="false">
      <c r="B620" s="26"/>
      <c r="C620" s="27"/>
      <c r="D620" s="28" t="str">
        <f aca="false">IF(C620="","",IFERROR(INDEX(Players!$C$5:$C$104,MATCH(C620,Players!$B$5:$B$104,0)),"ID not found"))</f>
        <v/>
      </c>
      <c r="E620" s="27"/>
      <c r="F620" s="27"/>
      <c r="G620" s="28" t="str">
        <f aca="false">IF(F620="","",IFERROR(INDEX('Hitting Drills'!$D$6:$D$45,MATCH(F620,'Hitting Drills'!$B$6:$B$45,0)),"Not a hitting drill ID"))</f>
        <v/>
      </c>
      <c r="H620" s="27"/>
      <c r="I620" s="27"/>
      <c r="J620" s="27"/>
      <c r="K620" s="27"/>
      <c r="L620" s="27"/>
      <c r="M620" s="27"/>
      <c r="N620" s="27"/>
      <c r="O620" s="27"/>
      <c r="P620" s="27"/>
      <c r="Q620" s="27"/>
      <c r="R620" s="27"/>
      <c r="S620" s="29" t="str">
        <f aca="false">IF(OR(B620="",C620=""),"",IF(COUNTIFS($B$5:B620,B620,$C$5:C620,C620)=1,1,0))</f>
        <v/>
      </c>
      <c r="T620" s="29" t="str">
        <f aca="false">IF(OR(B620="",C620="",E620=""),"",IF(COUNTIFS($B$5:B620,B620,$C$5:C620,C620,$E$5:E620,E620)=1,1,0))</f>
        <v/>
      </c>
      <c r="U620" s="28" t="str">
        <f aca="false">IF(COUNTA(B620:C620,E620:F620,H620:P620)=0,"",IF(OR(B620="",C620="",E620=""),"Check: date, player, and context required",IF(AND(ISNUMBER(J620),ISNUMBER(I620),J620&gt;I620),"Check: solid contacts &gt; swings",IF(AND(ISNUMBER(L620),ISNUMBER(K620),L620&gt;K620),"Check: correct &gt; assessed decisions",IF(AND(ISNUMBER(N620),ISNUMBER(M620),N620&gt;M620),"Check: intended &gt; assessed landings",IF(AND(ISNUMBER(J620),I620=""),"Check: solid contacts without swings","OK"))))))</f>
        <v/>
      </c>
    </row>
    <row r="621" customFormat="false" ht="15" hidden="false" customHeight="false" outlineLevel="0" collapsed="false">
      <c r="B621" s="26"/>
      <c r="C621" s="27"/>
      <c r="D621" s="28" t="str">
        <f aca="false">IF(C621="","",IFERROR(INDEX(Players!$C$5:$C$104,MATCH(C621,Players!$B$5:$B$104,0)),"ID not found"))</f>
        <v/>
      </c>
      <c r="E621" s="27"/>
      <c r="F621" s="27"/>
      <c r="G621" s="28" t="str">
        <f aca="false">IF(F621="","",IFERROR(INDEX('Hitting Drills'!$D$6:$D$45,MATCH(F621,'Hitting Drills'!$B$6:$B$45,0)),"Not a hitting drill ID"))</f>
        <v/>
      </c>
      <c r="H621" s="27"/>
      <c r="I621" s="27"/>
      <c r="J621" s="27"/>
      <c r="K621" s="27"/>
      <c r="L621" s="27"/>
      <c r="M621" s="27"/>
      <c r="N621" s="27"/>
      <c r="O621" s="27"/>
      <c r="P621" s="27"/>
      <c r="Q621" s="27"/>
      <c r="R621" s="27"/>
      <c r="S621" s="29" t="str">
        <f aca="false">IF(OR(B621="",C621=""),"",IF(COUNTIFS($B$5:B621,B621,$C$5:C621,C621)=1,1,0))</f>
        <v/>
      </c>
      <c r="T621" s="29" t="str">
        <f aca="false">IF(OR(B621="",C621="",E621=""),"",IF(COUNTIFS($B$5:B621,B621,$C$5:C621,C621,$E$5:E621,E621)=1,1,0))</f>
        <v/>
      </c>
      <c r="U621" s="28" t="str">
        <f aca="false">IF(COUNTA(B621:C621,E621:F621,H621:P621)=0,"",IF(OR(B621="",C621="",E621=""),"Check: date, player, and context required",IF(AND(ISNUMBER(J621),ISNUMBER(I621),J621&gt;I621),"Check: solid contacts &gt; swings",IF(AND(ISNUMBER(L621),ISNUMBER(K621),L621&gt;K621),"Check: correct &gt; assessed decisions",IF(AND(ISNUMBER(N621),ISNUMBER(M621),N621&gt;M621),"Check: intended &gt; assessed landings",IF(AND(ISNUMBER(J621),I621=""),"Check: solid contacts without swings","OK"))))))</f>
        <v/>
      </c>
    </row>
    <row r="622" customFormat="false" ht="15" hidden="false" customHeight="false" outlineLevel="0" collapsed="false">
      <c r="B622" s="26"/>
      <c r="C622" s="27"/>
      <c r="D622" s="28" t="str">
        <f aca="false">IF(C622="","",IFERROR(INDEX(Players!$C$5:$C$104,MATCH(C622,Players!$B$5:$B$104,0)),"ID not found"))</f>
        <v/>
      </c>
      <c r="E622" s="27"/>
      <c r="F622" s="27"/>
      <c r="G622" s="28" t="str">
        <f aca="false">IF(F622="","",IFERROR(INDEX('Hitting Drills'!$D$6:$D$45,MATCH(F622,'Hitting Drills'!$B$6:$B$45,0)),"Not a hitting drill ID"))</f>
        <v/>
      </c>
      <c r="H622" s="27"/>
      <c r="I622" s="27"/>
      <c r="J622" s="27"/>
      <c r="K622" s="27"/>
      <c r="L622" s="27"/>
      <c r="M622" s="27"/>
      <c r="N622" s="27"/>
      <c r="O622" s="27"/>
      <c r="P622" s="27"/>
      <c r="Q622" s="27"/>
      <c r="R622" s="27"/>
      <c r="S622" s="29" t="str">
        <f aca="false">IF(OR(B622="",C622=""),"",IF(COUNTIFS($B$5:B622,B622,$C$5:C622,C622)=1,1,0))</f>
        <v/>
      </c>
      <c r="T622" s="29" t="str">
        <f aca="false">IF(OR(B622="",C622="",E622=""),"",IF(COUNTIFS($B$5:B622,B622,$C$5:C622,C622,$E$5:E622,E622)=1,1,0))</f>
        <v/>
      </c>
      <c r="U622" s="28" t="str">
        <f aca="false">IF(COUNTA(B622:C622,E622:F622,H622:P622)=0,"",IF(OR(B622="",C622="",E622=""),"Check: date, player, and context required",IF(AND(ISNUMBER(J622),ISNUMBER(I622),J622&gt;I622),"Check: solid contacts &gt; swings",IF(AND(ISNUMBER(L622),ISNUMBER(K622),L622&gt;K622),"Check: correct &gt; assessed decisions",IF(AND(ISNUMBER(N622),ISNUMBER(M622),N622&gt;M622),"Check: intended &gt; assessed landings",IF(AND(ISNUMBER(J622),I622=""),"Check: solid contacts without swings","OK"))))))</f>
        <v/>
      </c>
    </row>
    <row r="623" customFormat="false" ht="15" hidden="false" customHeight="false" outlineLevel="0" collapsed="false">
      <c r="B623" s="26"/>
      <c r="C623" s="27"/>
      <c r="D623" s="28" t="str">
        <f aca="false">IF(C623="","",IFERROR(INDEX(Players!$C$5:$C$104,MATCH(C623,Players!$B$5:$B$104,0)),"ID not found"))</f>
        <v/>
      </c>
      <c r="E623" s="27"/>
      <c r="F623" s="27"/>
      <c r="G623" s="28" t="str">
        <f aca="false">IF(F623="","",IFERROR(INDEX('Hitting Drills'!$D$6:$D$45,MATCH(F623,'Hitting Drills'!$B$6:$B$45,0)),"Not a hitting drill ID"))</f>
        <v/>
      </c>
      <c r="H623" s="27"/>
      <c r="I623" s="27"/>
      <c r="J623" s="27"/>
      <c r="K623" s="27"/>
      <c r="L623" s="27"/>
      <c r="M623" s="27"/>
      <c r="N623" s="27"/>
      <c r="O623" s="27"/>
      <c r="P623" s="27"/>
      <c r="Q623" s="27"/>
      <c r="R623" s="27"/>
      <c r="S623" s="29" t="str">
        <f aca="false">IF(OR(B623="",C623=""),"",IF(COUNTIFS($B$5:B623,B623,$C$5:C623,C623)=1,1,0))</f>
        <v/>
      </c>
      <c r="T623" s="29" t="str">
        <f aca="false">IF(OR(B623="",C623="",E623=""),"",IF(COUNTIFS($B$5:B623,B623,$C$5:C623,C623,$E$5:E623,E623)=1,1,0))</f>
        <v/>
      </c>
      <c r="U623" s="28" t="str">
        <f aca="false">IF(COUNTA(B623:C623,E623:F623,H623:P623)=0,"",IF(OR(B623="",C623="",E623=""),"Check: date, player, and context required",IF(AND(ISNUMBER(J623),ISNUMBER(I623),J623&gt;I623),"Check: solid contacts &gt; swings",IF(AND(ISNUMBER(L623),ISNUMBER(K623),L623&gt;K623),"Check: correct &gt; assessed decisions",IF(AND(ISNUMBER(N623),ISNUMBER(M623),N623&gt;M623),"Check: intended &gt; assessed landings",IF(AND(ISNUMBER(J623),I623=""),"Check: solid contacts without swings","OK"))))))</f>
        <v/>
      </c>
    </row>
    <row r="624" customFormat="false" ht="15" hidden="false" customHeight="false" outlineLevel="0" collapsed="false">
      <c r="B624" s="26"/>
      <c r="C624" s="27"/>
      <c r="D624" s="28" t="str">
        <f aca="false">IF(C624="","",IFERROR(INDEX(Players!$C$5:$C$104,MATCH(C624,Players!$B$5:$B$104,0)),"ID not found"))</f>
        <v/>
      </c>
      <c r="E624" s="27"/>
      <c r="F624" s="27"/>
      <c r="G624" s="28" t="str">
        <f aca="false">IF(F624="","",IFERROR(INDEX('Hitting Drills'!$D$6:$D$45,MATCH(F624,'Hitting Drills'!$B$6:$B$45,0)),"Not a hitting drill ID"))</f>
        <v/>
      </c>
      <c r="H624" s="27"/>
      <c r="I624" s="27"/>
      <c r="J624" s="27"/>
      <c r="K624" s="27"/>
      <c r="L624" s="27"/>
      <c r="M624" s="27"/>
      <c r="N624" s="27"/>
      <c r="O624" s="27"/>
      <c r="P624" s="27"/>
      <c r="Q624" s="27"/>
      <c r="R624" s="27"/>
      <c r="S624" s="29" t="str">
        <f aca="false">IF(OR(B624="",C624=""),"",IF(COUNTIFS($B$5:B624,B624,$C$5:C624,C624)=1,1,0))</f>
        <v/>
      </c>
      <c r="T624" s="29" t="str">
        <f aca="false">IF(OR(B624="",C624="",E624=""),"",IF(COUNTIFS($B$5:B624,B624,$C$5:C624,C624,$E$5:E624,E624)=1,1,0))</f>
        <v/>
      </c>
      <c r="U624" s="28" t="str">
        <f aca="false">IF(COUNTA(B624:C624,E624:F624,H624:P624)=0,"",IF(OR(B624="",C624="",E624=""),"Check: date, player, and context required",IF(AND(ISNUMBER(J624),ISNUMBER(I624),J624&gt;I624),"Check: solid contacts &gt; swings",IF(AND(ISNUMBER(L624),ISNUMBER(K624),L624&gt;K624),"Check: correct &gt; assessed decisions",IF(AND(ISNUMBER(N624),ISNUMBER(M624),N624&gt;M624),"Check: intended &gt; assessed landings",IF(AND(ISNUMBER(J624),I624=""),"Check: solid contacts without swings","OK"))))))</f>
        <v/>
      </c>
    </row>
    <row r="625" customFormat="false" ht="15" hidden="false" customHeight="false" outlineLevel="0" collapsed="false">
      <c r="B625" s="26"/>
      <c r="C625" s="27"/>
      <c r="D625" s="28" t="str">
        <f aca="false">IF(C625="","",IFERROR(INDEX(Players!$C$5:$C$104,MATCH(C625,Players!$B$5:$B$104,0)),"ID not found"))</f>
        <v/>
      </c>
      <c r="E625" s="27"/>
      <c r="F625" s="27"/>
      <c r="G625" s="28" t="str">
        <f aca="false">IF(F625="","",IFERROR(INDEX('Hitting Drills'!$D$6:$D$45,MATCH(F625,'Hitting Drills'!$B$6:$B$45,0)),"Not a hitting drill ID"))</f>
        <v/>
      </c>
      <c r="H625" s="27"/>
      <c r="I625" s="27"/>
      <c r="J625" s="27"/>
      <c r="K625" s="27"/>
      <c r="L625" s="27"/>
      <c r="M625" s="27"/>
      <c r="N625" s="27"/>
      <c r="O625" s="27"/>
      <c r="P625" s="27"/>
      <c r="Q625" s="27"/>
      <c r="R625" s="27"/>
      <c r="S625" s="29" t="str">
        <f aca="false">IF(OR(B625="",C625=""),"",IF(COUNTIFS($B$5:B625,B625,$C$5:C625,C625)=1,1,0))</f>
        <v/>
      </c>
      <c r="T625" s="29" t="str">
        <f aca="false">IF(OR(B625="",C625="",E625=""),"",IF(COUNTIFS($B$5:B625,B625,$C$5:C625,C625,$E$5:E625,E625)=1,1,0))</f>
        <v/>
      </c>
      <c r="U625" s="28" t="str">
        <f aca="false">IF(COUNTA(B625:C625,E625:F625,H625:P625)=0,"",IF(OR(B625="",C625="",E625=""),"Check: date, player, and context required",IF(AND(ISNUMBER(J625),ISNUMBER(I625),J625&gt;I625),"Check: solid contacts &gt; swings",IF(AND(ISNUMBER(L625),ISNUMBER(K625),L625&gt;K625),"Check: correct &gt; assessed decisions",IF(AND(ISNUMBER(N625),ISNUMBER(M625),N625&gt;M625),"Check: intended &gt; assessed landings",IF(AND(ISNUMBER(J625),I625=""),"Check: solid contacts without swings","OK"))))))</f>
        <v/>
      </c>
    </row>
    <row r="626" customFormat="false" ht="15" hidden="false" customHeight="false" outlineLevel="0" collapsed="false">
      <c r="B626" s="26"/>
      <c r="C626" s="27"/>
      <c r="D626" s="28" t="str">
        <f aca="false">IF(C626="","",IFERROR(INDEX(Players!$C$5:$C$104,MATCH(C626,Players!$B$5:$B$104,0)),"ID not found"))</f>
        <v/>
      </c>
      <c r="E626" s="27"/>
      <c r="F626" s="27"/>
      <c r="G626" s="28" t="str">
        <f aca="false">IF(F626="","",IFERROR(INDEX('Hitting Drills'!$D$6:$D$45,MATCH(F626,'Hitting Drills'!$B$6:$B$45,0)),"Not a hitting drill ID"))</f>
        <v/>
      </c>
      <c r="H626" s="27"/>
      <c r="I626" s="27"/>
      <c r="J626" s="27"/>
      <c r="K626" s="27"/>
      <c r="L626" s="27"/>
      <c r="M626" s="27"/>
      <c r="N626" s="27"/>
      <c r="O626" s="27"/>
      <c r="P626" s="27"/>
      <c r="Q626" s="27"/>
      <c r="R626" s="27"/>
      <c r="S626" s="29" t="str">
        <f aca="false">IF(OR(B626="",C626=""),"",IF(COUNTIFS($B$5:B626,B626,$C$5:C626,C626)=1,1,0))</f>
        <v/>
      </c>
      <c r="T626" s="29" t="str">
        <f aca="false">IF(OR(B626="",C626="",E626=""),"",IF(COUNTIFS($B$5:B626,B626,$C$5:C626,C626,$E$5:E626,E626)=1,1,0))</f>
        <v/>
      </c>
      <c r="U626" s="28" t="str">
        <f aca="false">IF(COUNTA(B626:C626,E626:F626,H626:P626)=0,"",IF(OR(B626="",C626="",E626=""),"Check: date, player, and context required",IF(AND(ISNUMBER(J626),ISNUMBER(I626),J626&gt;I626),"Check: solid contacts &gt; swings",IF(AND(ISNUMBER(L626),ISNUMBER(K626),L626&gt;K626),"Check: correct &gt; assessed decisions",IF(AND(ISNUMBER(N626),ISNUMBER(M626),N626&gt;M626),"Check: intended &gt; assessed landings",IF(AND(ISNUMBER(J626),I626=""),"Check: solid contacts without swings","OK"))))))</f>
        <v/>
      </c>
    </row>
    <row r="627" customFormat="false" ht="15" hidden="false" customHeight="false" outlineLevel="0" collapsed="false">
      <c r="B627" s="26"/>
      <c r="C627" s="27"/>
      <c r="D627" s="28" t="str">
        <f aca="false">IF(C627="","",IFERROR(INDEX(Players!$C$5:$C$104,MATCH(C627,Players!$B$5:$B$104,0)),"ID not found"))</f>
        <v/>
      </c>
      <c r="E627" s="27"/>
      <c r="F627" s="27"/>
      <c r="G627" s="28" t="str">
        <f aca="false">IF(F627="","",IFERROR(INDEX('Hitting Drills'!$D$6:$D$45,MATCH(F627,'Hitting Drills'!$B$6:$B$45,0)),"Not a hitting drill ID"))</f>
        <v/>
      </c>
      <c r="H627" s="27"/>
      <c r="I627" s="27"/>
      <c r="J627" s="27"/>
      <c r="K627" s="27"/>
      <c r="L627" s="27"/>
      <c r="M627" s="27"/>
      <c r="N627" s="27"/>
      <c r="O627" s="27"/>
      <c r="P627" s="27"/>
      <c r="Q627" s="27"/>
      <c r="R627" s="27"/>
      <c r="S627" s="29" t="str">
        <f aca="false">IF(OR(B627="",C627=""),"",IF(COUNTIFS($B$5:B627,B627,$C$5:C627,C627)=1,1,0))</f>
        <v/>
      </c>
      <c r="T627" s="29" t="str">
        <f aca="false">IF(OR(B627="",C627="",E627=""),"",IF(COUNTIFS($B$5:B627,B627,$C$5:C627,C627,$E$5:E627,E627)=1,1,0))</f>
        <v/>
      </c>
      <c r="U627" s="28" t="str">
        <f aca="false">IF(COUNTA(B627:C627,E627:F627,H627:P627)=0,"",IF(OR(B627="",C627="",E627=""),"Check: date, player, and context required",IF(AND(ISNUMBER(J627),ISNUMBER(I627),J627&gt;I627),"Check: solid contacts &gt; swings",IF(AND(ISNUMBER(L627),ISNUMBER(K627),L627&gt;K627),"Check: correct &gt; assessed decisions",IF(AND(ISNUMBER(N627),ISNUMBER(M627),N627&gt;M627),"Check: intended &gt; assessed landings",IF(AND(ISNUMBER(J627),I627=""),"Check: solid contacts without swings","OK"))))))</f>
        <v/>
      </c>
    </row>
    <row r="628" customFormat="false" ht="15" hidden="false" customHeight="false" outlineLevel="0" collapsed="false">
      <c r="B628" s="26"/>
      <c r="C628" s="27"/>
      <c r="D628" s="28" t="str">
        <f aca="false">IF(C628="","",IFERROR(INDEX(Players!$C$5:$C$104,MATCH(C628,Players!$B$5:$B$104,0)),"ID not found"))</f>
        <v/>
      </c>
      <c r="E628" s="27"/>
      <c r="F628" s="27"/>
      <c r="G628" s="28" t="str">
        <f aca="false">IF(F628="","",IFERROR(INDEX('Hitting Drills'!$D$6:$D$45,MATCH(F628,'Hitting Drills'!$B$6:$B$45,0)),"Not a hitting drill ID"))</f>
        <v/>
      </c>
      <c r="H628" s="27"/>
      <c r="I628" s="27"/>
      <c r="J628" s="27"/>
      <c r="K628" s="27"/>
      <c r="L628" s="27"/>
      <c r="M628" s="27"/>
      <c r="N628" s="27"/>
      <c r="O628" s="27"/>
      <c r="P628" s="27"/>
      <c r="Q628" s="27"/>
      <c r="R628" s="27"/>
      <c r="S628" s="29" t="str">
        <f aca="false">IF(OR(B628="",C628=""),"",IF(COUNTIFS($B$5:B628,B628,$C$5:C628,C628)=1,1,0))</f>
        <v/>
      </c>
      <c r="T628" s="29" t="str">
        <f aca="false">IF(OR(B628="",C628="",E628=""),"",IF(COUNTIFS($B$5:B628,B628,$C$5:C628,C628,$E$5:E628,E628)=1,1,0))</f>
        <v/>
      </c>
      <c r="U628" s="28" t="str">
        <f aca="false">IF(COUNTA(B628:C628,E628:F628,H628:P628)=0,"",IF(OR(B628="",C628="",E628=""),"Check: date, player, and context required",IF(AND(ISNUMBER(J628),ISNUMBER(I628),J628&gt;I628),"Check: solid contacts &gt; swings",IF(AND(ISNUMBER(L628),ISNUMBER(K628),L628&gt;K628),"Check: correct &gt; assessed decisions",IF(AND(ISNUMBER(N628),ISNUMBER(M628),N628&gt;M628),"Check: intended &gt; assessed landings",IF(AND(ISNUMBER(J628),I628=""),"Check: solid contacts without swings","OK"))))))</f>
        <v/>
      </c>
    </row>
    <row r="629" customFormat="false" ht="15" hidden="false" customHeight="false" outlineLevel="0" collapsed="false">
      <c r="B629" s="26"/>
      <c r="C629" s="27"/>
      <c r="D629" s="28" t="str">
        <f aca="false">IF(C629="","",IFERROR(INDEX(Players!$C$5:$C$104,MATCH(C629,Players!$B$5:$B$104,0)),"ID not found"))</f>
        <v/>
      </c>
      <c r="E629" s="27"/>
      <c r="F629" s="27"/>
      <c r="G629" s="28" t="str">
        <f aca="false">IF(F629="","",IFERROR(INDEX('Hitting Drills'!$D$6:$D$45,MATCH(F629,'Hitting Drills'!$B$6:$B$45,0)),"Not a hitting drill ID"))</f>
        <v/>
      </c>
      <c r="H629" s="27"/>
      <c r="I629" s="27"/>
      <c r="J629" s="27"/>
      <c r="K629" s="27"/>
      <c r="L629" s="27"/>
      <c r="M629" s="27"/>
      <c r="N629" s="27"/>
      <c r="O629" s="27"/>
      <c r="P629" s="27"/>
      <c r="Q629" s="27"/>
      <c r="R629" s="27"/>
      <c r="S629" s="29" t="str">
        <f aca="false">IF(OR(B629="",C629=""),"",IF(COUNTIFS($B$5:B629,B629,$C$5:C629,C629)=1,1,0))</f>
        <v/>
      </c>
      <c r="T629" s="29" t="str">
        <f aca="false">IF(OR(B629="",C629="",E629=""),"",IF(COUNTIFS($B$5:B629,B629,$C$5:C629,C629,$E$5:E629,E629)=1,1,0))</f>
        <v/>
      </c>
      <c r="U629" s="28" t="str">
        <f aca="false">IF(COUNTA(B629:C629,E629:F629,H629:P629)=0,"",IF(OR(B629="",C629="",E629=""),"Check: date, player, and context required",IF(AND(ISNUMBER(J629),ISNUMBER(I629),J629&gt;I629),"Check: solid contacts &gt; swings",IF(AND(ISNUMBER(L629),ISNUMBER(K629),L629&gt;K629),"Check: correct &gt; assessed decisions",IF(AND(ISNUMBER(N629),ISNUMBER(M629),N629&gt;M629),"Check: intended &gt; assessed landings",IF(AND(ISNUMBER(J629),I629=""),"Check: solid contacts without swings","OK"))))))</f>
        <v/>
      </c>
    </row>
    <row r="630" customFormat="false" ht="15" hidden="false" customHeight="false" outlineLevel="0" collapsed="false">
      <c r="B630" s="26"/>
      <c r="C630" s="27"/>
      <c r="D630" s="28" t="str">
        <f aca="false">IF(C630="","",IFERROR(INDEX(Players!$C$5:$C$104,MATCH(C630,Players!$B$5:$B$104,0)),"ID not found"))</f>
        <v/>
      </c>
      <c r="E630" s="27"/>
      <c r="F630" s="27"/>
      <c r="G630" s="28" t="str">
        <f aca="false">IF(F630="","",IFERROR(INDEX('Hitting Drills'!$D$6:$D$45,MATCH(F630,'Hitting Drills'!$B$6:$B$45,0)),"Not a hitting drill ID"))</f>
        <v/>
      </c>
      <c r="H630" s="27"/>
      <c r="I630" s="27"/>
      <c r="J630" s="27"/>
      <c r="K630" s="27"/>
      <c r="L630" s="27"/>
      <c r="M630" s="27"/>
      <c r="N630" s="27"/>
      <c r="O630" s="27"/>
      <c r="P630" s="27"/>
      <c r="Q630" s="27"/>
      <c r="R630" s="27"/>
      <c r="S630" s="29" t="str">
        <f aca="false">IF(OR(B630="",C630=""),"",IF(COUNTIFS($B$5:B630,B630,$C$5:C630,C630)=1,1,0))</f>
        <v/>
      </c>
      <c r="T630" s="29" t="str">
        <f aca="false">IF(OR(B630="",C630="",E630=""),"",IF(COUNTIFS($B$5:B630,B630,$C$5:C630,C630,$E$5:E630,E630)=1,1,0))</f>
        <v/>
      </c>
      <c r="U630" s="28" t="str">
        <f aca="false">IF(COUNTA(B630:C630,E630:F630,H630:P630)=0,"",IF(OR(B630="",C630="",E630=""),"Check: date, player, and context required",IF(AND(ISNUMBER(J630),ISNUMBER(I630),J630&gt;I630),"Check: solid contacts &gt; swings",IF(AND(ISNUMBER(L630),ISNUMBER(K630),L630&gt;K630),"Check: correct &gt; assessed decisions",IF(AND(ISNUMBER(N630),ISNUMBER(M630),N630&gt;M630),"Check: intended &gt; assessed landings",IF(AND(ISNUMBER(J630),I630=""),"Check: solid contacts without swings","OK"))))))</f>
        <v/>
      </c>
    </row>
    <row r="631" customFormat="false" ht="15" hidden="false" customHeight="false" outlineLevel="0" collapsed="false">
      <c r="B631" s="26"/>
      <c r="C631" s="27"/>
      <c r="D631" s="28" t="str">
        <f aca="false">IF(C631="","",IFERROR(INDEX(Players!$C$5:$C$104,MATCH(C631,Players!$B$5:$B$104,0)),"ID not found"))</f>
        <v/>
      </c>
      <c r="E631" s="27"/>
      <c r="F631" s="27"/>
      <c r="G631" s="28" t="str">
        <f aca="false">IF(F631="","",IFERROR(INDEX('Hitting Drills'!$D$6:$D$45,MATCH(F631,'Hitting Drills'!$B$6:$B$45,0)),"Not a hitting drill ID"))</f>
        <v/>
      </c>
      <c r="H631" s="27"/>
      <c r="I631" s="27"/>
      <c r="J631" s="27"/>
      <c r="K631" s="27"/>
      <c r="L631" s="27"/>
      <c r="M631" s="27"/>
      <c r="N631" s="27"/>
      <c r="O631" s="27"/>
      <c r="P631" s="27"/>
      <c r="Q631" s="27"/>
      <c r="R631" s="27"/>
      <c r="S631" s="29" t="str">
        <f aca="false">IF(OR(B631="",C631=""),"",IF(COUNTIFS($B$5:B631,B631,$C$5:C631,C631)=1,1,0))</f>
        <v/>
      </c>
      <c r="T631" s="29" t="str">
        <f aca="false">IF(OR(B631="",C631="",E631=""),"",IF(COUNTIFS($B$5:B631,B631,$C$5:C631,C631,$E$5:E631,E631)=1,1,0))</f>
        <v/>
      </c>
      <c r="U631" s="28" t="str">
        <f aca="false">IF(COUNTA(B631:C631,E631:F631,H631:P631)=0,"",IF(OR(B631="",C631="",E631=""),"Check: date, player, and context required",IF(AND(ISNUMBER(J631),ISNUMBER(I631),J631&gt;I631),"Check: solid contacts &gt; swings",IF(AND(ISNUMBER(L631),ISNUMBER(K631),L631&gt;K631),"Check: correct &gt; assessed decisions",IF(AND(ISNUMBER(N631),ISNUMBER(M631),N631&gt;M631),"Check: intended &gt; assessed landings",IF(AND(ISNUMBER(J631),I631=""),"Check: solid contacts without swings","OK"))))))</f>
        <v/>
      </c>
    </row>
    <row r="632" customFormat="false" ht="15" hidden="false" customHeight="false" outlineLevel="0" collapsed="false">
      <c r="B632" s="26"/>
      <c r="C632" s="27"/>
      <c r="D632" s="28" t="str">
        <f aca="false">IF(C632="","",IFERROR(INDEX(Players!$C$5:$C$104,MATCH(C632,Players!$B$5:$B$104,0)),"ID not found"))</f>
        <v/>
      </c>
      <c r="E632" s="27"/>
      <c r="F632" s="27"/>
      <c r="G632" s="28" t="str">
        <f aca="false">IF(F632="","",IFERROR(INDEX('Hitting Drills'!$D$6:$D$45,MATCH(F632,'Hitting Drills'!$B$6:$B$45,0)),"Not a hitting drill ID"))</f>
        <v/>
      </c>
      <c r="H632" s="27"/>
      <c r="I632" s="27"/>
      <c r="J632" s="27"/>
      <c r="K632" s="27"/>
      <c r="L632" s="27"/>
      <c r="M632" s="27"/>
      <c r="N632" s="27"/>
      <c r="O632" s="27"/>
      <c r="P632" s="27"/>
      <c r="Q632" s="27"/>
      <c r="R632" s="27"/>
      <c r="S632" s="29" t="str">
        <f aca="false">IF(OR(B632="",C632=""),"",IF(COUNTIFS($B$5:B632,B632,$C$5:C632,C632)=1,1,0))</f>
        <v/>
      </c>
      <c r="T632" s="29" t="str">
        <f aca="false">IF(OR(B632="",C632="",E632=""),"",IF(COUNTIFS($B$5:B632,B632,$C$5:C632,C632,$E$5:E632,E632)=1,1,0))</f>
        <v/>
      </c>
      <c r="U632" s="28" t="str">
        <f aca="false">IF(COUNTA(B632:C632,E632:F632,H632:P632)=0,"",IF(OR(B632="",C632="",E632=""),"Check: date, player, and context required",IF(AND(ISNUMBER(J632),ISNUMBER(I632),J632&gt;I632),"Check: solid contacts &gt; swings",IF(AND(ISNUMBER(L632),ISNUMBER(K632),L632&gt;K632),"Check: correct &gt; assessed decisions",IF(AND(ISNUMBER(N632),ISNUMBER(M632),N632&gt;M632),"Check: intended &gt; assessed landings",IF(AND(ISNUMBER(J632),I632=""),"Check: solid contacts without swings","OK"))))))</f>
        <v/>
      </c>
    </row>
    <row r="633" customFormat="false" ht="15" hidden="false" customHeight="false" outlineLevel="0" collapsed="false">
      <c r="B633" s="26"/>
      <c r="C633" s="27"/>
      <c r="D633" s="28" t="str">
        <f aca="false">IF(C633="","",IFERROR(INDEX(Players!$C$5:$C$104,MATCH(C633,Players!$B$5:$B$104,0)),"ID not found"))</f>
        <v/>
      </c>
      <c r="E633" s="27"/>
      <c r="F633" s="27"/>
      <c r="G633" s="28" t="str">
        <f aca="false">IF(F633="","",IFERROR(INDEX('Hitting Drills'!$D$6:$D$45,MATCH(F633,'Hitting Drills'!$B$6:$B$45,0)),"Not a hitting drill ID"))</f>
        <v/>
      </c>
      <c r="H633" s="27"/>
      <c r="I633" s="27"/>
      <c r="J633" s="27"/>
      <c r="K633" s="27"/>
      <c r="L633" s="27"/>
      <c r="M633" s="27"/>
      <c r="N633" s="27"/>
      <c r="O633" s="27"/>
      <c r="P633" s="27"/>
      <c r="Q633" s="27"/>
      <c r="R633" s="27"/>
      <c r="S633" s="29" t="str">
        <f aca="false">IF(OR(B633="",C633=""),"",IF(COUNTIFS($B$5:B633,B633,$C$5:C633,C633)=1,1,0))</f>
        <v/>
      </c>
      <c r="T633" s="29" t="str">
        <f aca="false">IF(OR(B633="",C633="",E633=""),"",IF(COUNTIFS($B$5:B633,B633,$C$5:C633,C633,$E$5:E633,E633)=1,1,0))</f>
        <v/>
      </c>
      <c r="U633" s="28" t="str">
        <f aca="false">IF(COUNTA(B633:C633,E633:F633,H633:P633)=0,"",IF(OR(B633="",C633="",E633=""),"Check: date, player, and context required",IF(AND(ISNUMBER(J633),ISNUMBER(I633),J633&gt;I633),"Check: solid contacts &gt; swings",IF(AND(ISNUMBER(L633),ISNUMBER(K633),L633&gt;K633),"Check: correct &gt; assessed decisions",IF(AND(ISNUMBER(N633),ISNUMBER(M633),N633&gt;M633),"Check: intended &gt; assessed landings",IF(AND(ISNUMBER(J633),I633=""),"Check: solid contacts without swings","OK"))))))</f>
        <v/>
      </c>
    </row>
    <row r="634" customFormat="false" ht="15" hidden="false" customHeight="false" outlineLevel="0" collapsed="false">
      <c r="B634" s="26"/>
      <c r="C634" s="27"/>
      <c r="D634" s="28" t="str">
        <f aca="false">IF(C634="","",IFERROR(INDEX(Players!$C$5:$C$104,MATCH(C634,Players!$B$5:$B$104,0)),"ID not found"))</f>
        <v/>
      </c>
      <c r="E634" s="27"/>
      <c r="F634" s="27"/>
      <c r="G634" s="28" t="str">
        <f aca="false">IF(F634="","",IFERROR(INDEX('Hitting Drills'!$D$6:$D$45,MATCH(F634,'Hitting Drills'!$B$6:$B$45,0)),"Not a hitting drill ID"))</f>
        <v/>
      </c>
      <c r="H634" s="27"/>
      <c r="I634" s="27"/>
      <c r="J634" s="27"/>
      <c r="K634" s="27"/>
      <c r="L634" s="27"/>
      <c r="M634" s="27"/>
      <c r="N634" s="27"/>
      <c r="O634" s="27"/>
      <c r="P634" s="27"/>
      <c r="Q634" s="27"/>
      <c r="R634" s="27"/>
      <c r="S634" s="29" t="str">
        <f aca="false">IF(OR(B634="",C634=""),"",IF(COUNTIFS($B$5:B634,B634,$C$5:C634,C634)=1,1,0))</f>
        <v/>
      </c>
      <c r="T634" s="29" t="str">
        <f aca="false">IF(OR(B634="",C634="",E634=""),"",IF(COUNTIFS($B$5:B634,B634,$C$5:C634,C634,$E$5:E634,E634)=1,1,0))</f>
        <v/>
      </c>
      <c r="U634" s="28" t="str">
        <f aca="false">IF(COUNTA(B634:C634,E634:F634,H634:P634)=0,"",IF(OR(B634="",C634="",E634=""),"Check: date, player, and context required",IF(AND(ISNUMBER(J634),ISNUMBER(I634),J634&gt;I634),"Check: solid contacts &gt; swings",IF(AND(ISNUMBER(L634),ISNUMBER(K634),L634&gt;K634),"Check: correct &gt; assessed decisions",IF(AND(ISNUMBER(N634),ISNUMBER(M634),N634&gt;M634),"Check: intended &gt; assessed landings",IF(AND(ISNUMBER(J634),I634=""),"Check: solid contacts without swings","OK"))))))</f>
        <v/>
      </c>
    </row>
    <row r="635" customFormat="false" ht="15" hidden="false" customHeight="false" outlineLevel="0" collapsed="false">
      <c r="B635" s="26"/>
      <c r="C635" s="27"/>
      <c r="D635" s="28" t="str">
        <f aca="false">IF(C635="","",IFERROR(INDEX(Players!$C$5:$C$104,MATCH(C635,Players!$B$5:$B$104,0)),"ID not found"))</f>
        <v/>
      </c>
      <c r="E635" s="27"/>
      <c r="F635" s="27"/>
      <c r="G635" s="28" t="str">
        <f aca="false">IF(F635="","",IFERROR(INDEX('Hitting Drills'!$D$6:$D$45,MATCH(F635,'Hitting Drills'!$B$6:$B$45,0)),"Not a hitting drill ID"))</f>
        <v/>
      </c>
      <c r="H635" s="27"/>
      <c r="I635" s="27"/>
      <c r="J635" s="27"/>
      <c r="K635" s="27"/>
      <c r="L635" s="27"/>
      <c r="M635" s="27"/>
      <c r="N635" s="27"/>
      <c r="O635" s="27"/>
      <c r="P635" s="27"/>
      <c r="Q635" s="27"/>
      <c r="R635" s="27"/>
      <c r="S635" s="29" t="str">
        <f aca="false">IF(OR(B635="",C635=""),"",IF(COUNTIFS($B$5:B635,B635,$C$5:C635,C635)=1,1,0))</f>
        <v/>
      </c>
      <c r="T635" s="29" t="str">
        <f aca="false">IF(OR(B635="",C635="",E635=""),"",IF(COUNTIFS($B$5:B635,B635,$C$5:C635,C635,$E$5:E635,E635)=1,1,0))</f>
        <v/>
      </c>
      <c r="U635" s="28" t="str">
        <f aca="false">IF(COUNTA(B635:C635,E635:F635,H635:P635)=0,"",IF(OR(B635="",C635="",E635=""),"Check: date, player, and context required",IF(AND(ISNUMBER(J635),ISNUMBER(I635),J635&gt;I635),"Check: solid contacts &gt; swings",IF(AND(ISNUMBER(L635),ISNUMBER(K635),L635&gt;K635),"Check: correct &gt; assessed decisions",IF(AND(ISNUMBER(N635),ISNUMBER(M635),N635&gt;M635),"Check: intended &gt; assessed landings",IF(AND(ISNUMBER(J635),I635=""),"Check: solid contacts without swings","OK"))))))</f>
        <v/>
      </c>
    </row>
    <row r="636" customFormat="false" ht="15" hidden="false" customHeight="false" outlineLevel="0" collapsed="false">
      <c r="B636" s="26"/>
      <c r="C636" s="27"/>
      <c r="D636" s="28" t="str">
        <f aca="false">IF(C636="","",IFERROR(INDEX(Players!$C$5:$C$104,MATCH(C636,Players!$B$5:$B$104,0)),"ID not found"))</f>
        <v/>
      </c>
      <c r="E636" s="27"/>
      <c r="F636" s="27"/>
      <c r="G636" s="28" t="str">
        <f aca="false">IF(F636="","",IFERROR(INDEX('Hitting Drills'!$D$6:$D$45,MATCH(F636,'Hitting Drills'!$B$6:$B$45,0)),"Not a hitting drill ID"))</f>
        <v/>
      </c>
      <c r="H636" s="27"/>
      <c r="I636" s="27"/>
      <c r="J636" s="27"/>
      <c r="K636" s="27"/>
      <c r="L636" s="27"/>
      <c r="M636" s="27"/>
      <c r="N636" s="27"/>
      <c r="O636" s="27"/>
      <c r="P636" s="27"/>
      <c r="Q636" s="27"/>
      <c r="R636" s="27"/>
      <c r="S636" s="29" t="str">
        <f aca="false">IF(OR(B636="",C636=""),"",IF(COUNTIFS($B$5:B636,B636,$C$5:C636,C636)=1,1,0))</f>
        <v/>
      </c>
      <c r="T636" s="29" t="str">
        <f aca="false">IF(OR(B636="",C636="",E636=""),"",IF(COUNTIFS($B$5:B636,B636,$C$5:C636,C636,$E$5:E636,E636)=1,1,0))</f>
        <v/>
      </c>
      <c r="U636" s="28" t="str">
        <f aca="false">IF(COUNTA(B636:C636,E636:F636,H636:P636)=0,"",IF(OR(B636="",C636="",E636=""),"Check: date, player, and context required",IF(AND(ISNUMBER(J636),ISNUMBER(I636),J636&gt;I636),"Check: solid contacts &gt; swings",IF(AND(ISNUMBER(L636),ISNUMBER(K636),L636&gt;K636),"Check: correct &gt; assessed decisions",IF(AND(ISNUMBER(N636),ISNUMBER(M636),N636&gt;M636),"Check: intended &gt; assessed landings",IF(AND(ISNUMBER(J636),I636=""),"Check: solid contacts without swings","OK"))))))</f>
        <v/>
      </c>
    </row>
    <row r="637" customFormat="false" ht="15" hidden="false" customHeight="false" outlineLevel="0" collapsed="false">
      <c r="B637" s="26"/>
      <c r="C637" s="27"/>
      <c r="D637" s="28" t="str">
        <f aca="false">IF(C637="","",IFERROR(INDEX(Players!$C$5:$C$104,MATCH(C637,Players!$B$5:$B$104,0)),"ID not found"))</f>
        <v/>
      </c>
      <c r="E637" s="27"/>
      <c r="F637" s="27"/>
      <c r="G637" s="28" t="str">
        <f aca="false">IF(F637="","",IFERROR(INDEX('Hitting Drills'!$D$6:$D$45,MATCH(F637,'Hitting Drills'!$B$6:$B$45,0)),"Not a hitting drill ID"))</f>
        <v/>
      </c>
      <c r="H637" s="27"/>
      <c r="I637" s="27"/>
      <c r="J637" s="27"/>
      <c r="K637" s="27"/>
      <c r="L637" s="27"/>
      <c r="M637" s="27"/>
      <c r="N637" s="27"/>
      <c r="O637" s="27"/>
      <c r="P637" s="27"/>
      <c r="Q637" s="27"/>
      <c r="R637" s="27"/>
      <c r="S637" s="29" t="str">
        <f aca="false">IF(OR(B637="",C637=""),"",IF(COUNTIFS($B$5:B637,B637,$C$5:C637,C637)=1,1,0))</f>
        <v/>
      </c>
      <c r="T637" s="29" t="str">
        <f aca="false">IF(OR(B637="",C637="",E637=""),"",IF(COUNTIFS($B$5:B637,B637,$C$5:C637,C637,$E$5:E637,E637)=1,1,0))</f>
        <v/>
      </c>
      <c r="U637" s="28" t="str">
        <f aca="false">IF(COUNTA(B637:C637,E637:F637,H637:P637)=0,"",IF(OR(B637="",C637="",E637=""),"Check: date, player, and context required",IF(AND(ISNUMBER(J637),ISNUMBER(I637),J637&gt;I637),"Check: solid contacts &gt; swings",IF(AND(ISNUMBER(L637),ISNUMBER(K637),L637&gt;K637),"Check: correct &gt; assessed decisions",IF(AND(ISNUMBER(N637),ISNUMBER(M637),N637&gt;M637),"Check: intended &gt; assessed landings",IF(AND(ISNUMBER(J637),I637=""),"Check: solid contacts without swings","OK"))))))</f>
        <v/>
      </c>
    </row>
    <row r="638" customFormat="false" ht="15" hidden="false" customHeight="false" outlineLevel="0" collapsed="false">
      <c r="B638" s="26"/>
      <c r="C638" s="27"/>
      <c r="D638" s="28" t="str">
        <f aca="false">IF(C638="","",IFERROR(INDEX(Players!$C$5:$C$104,MATCH(C638,Players!$B$5:$B$104,0)),"ID not found"))</f>
        <v/>
      </c>
      <c r="E638" s="27"/>
      <c r="F638" s="27"/>
      <c r="G638" s="28" t="str">
        <f aca="false">IF(F638="","",IFERROR(INDEX('Hitting Drills'!$D$6:$D$45,MATCH(F638,'Hitting Drills'!$B$6:$B$45,0)),"Not a hitting drill ID"))</f>
        <v/>
      </c>
      <c r="H638" s="27"/>
      <c r="I638" s="27"/>
      <c r="J638" s="27"/>
      <c r="K638" s="27"/>
      <c r="L638" s="27"/>
      <c r="M638" s="27"/>
      <c r="N638" s="27"/>
      <c r="O638" s="27"/>
      <c r="P638" s="27"/>
      <c r="Q638" s="27"/>
      <c r="R638" s="27"/>
      <c r="S638" s="29" t="str">
        <f aca="false">IF(OR(B638="",C638=""),"",IF(COUNTIFS($B$5:B638,B638,$C$5:C638,C638)=1,1,0))</f>
        <v/>
      </c>
      <c r="T638" s="29" t="str">
        <f aca="false">IF(OR(B638="",C638="",E638=""),"",IF(COUNTIFS($B$5:B638,B638,$C$5:C638,C638,$E$5:E638,E638)=1,1,0))</f>
        <v/>
      </c>
      <c r="U638" s="28" t="str">
        <f aca="false">IF(COUNTA(B638:C638,E638:F638,H638:P638)=0,"",IF(OR(B638="",C638="",E638=""),"Check: date, player, and context required",IF(AND(ISNUMBER(J638),ISNUMBER(I638),J638&gt;I638),"Check: solid contacts &gt; swings",IF(AND(ISNUMBER(L638),ISNUMBER(K638),L638&gt;K638),"Check: correct &gt; assessed decisions",IF(AND(ISNUMBER(N638),ISNUMBER(M638),N638&gt;M638),"Check: intended &gt; assessed landings",IF(AND(ISNUMBER(J638),I638=""),"Check: solid contacts without swings","OK"))))))</f>
        <v/>
      </c>
    </row>
    <row r="639" customFormat="false" ht="15" hidden="false" customHeight="false" outlineLevel="0" collapsed="false">
      <c r="B639" s="26"/>
      <c r="C639" s="27"/>
      <c r="D639" s="28" t="str">
        <f aca="false">IF(C639="","",IFERROR(INDEX(Players!$C$5:$C$104,MATCH(C639,Players!$B$5:$B$104,0)),"ID not found"))</f>
        <v/>
      </c>
      <c r="E639" s="27"/>
      <c r="F639" s="27"/>
      <c r="G639" s="28" t="str">
        <f aca="false">IF(F639="","",IFERROR(INDEX('Hitting Drills'!$D$6:$D$45,MATCH(F639,'Hitting Drills'!$B$6:$B$45,0)),"Not a hitting drill ID"))</f>
        <v/>
      </c>
      <c r="H639" s="27"/>
      <c r="I639" s="27"/>
      <c r="J639" s="27"/>
      <c r="K639" s="27"/>
      <c r="L639" s="27"/>
      <c r="M639" s="27"/>
      <c r="N639" s="27"/>
      <c r="O639" s="27"/>
      <c r="P639" s="27"/>
      <c r="Q639" s="27"/>
      <c r="R639" s="27"/>
      <c r="S639" s="29" t="str">
        <f aca="false">IF(OR(B639="",C639=""),"",IF(COUNTIFS($B$5:B639,B639,$C$5:C639,C639)=1,1,0))</f>
        <v/>
      </c>
      <c r="T639" s="29" t="str">
        <f aca="false">IF(OR(B639="",C639="",E639=""),"",IF(COUNTIFS($B$5:B639,B639,$C$5:C639,C639,$E$5:E639,E639)=1,1,0))</f>
        <v/>
      </c>
      <c r="U639" s="28" t="str">
        <f aca="false">IF(COUNTA(B639:C639,E639:F639,H639:P639)=0,"",IF(OR(B639="",C639="",E639=""),"Check: date, player, and context required",IF(AND(ISNUMBER(J639),ISNUMBER(I639),J639&gt;I639),"Check: solid contacts &gt; swings",IF(AND(ISNUMBER(L639),ISNUMBER(K639),L639&gt;K639),"Check: correct &gt; assessed decisions",IF(AND(ISNUMBER(N639),ISNUMBER(M639),N639&gt;M639),"Check: intended &gt; assessed landings",IF(AND(ISNUMBER(J639),I639=""),"Check: solid contacts without swings","OK"))))))</f>
        <v/>
      </c>
    </row>
    <row r="640" customFormat="false" ht="15" hidden="false" customHeight="false" outlineLevel="0" collapsed="false">
      <c r="B640" s="26"/>
      <c r="C640" s="27"/>
      <c r="D640" s="28" t="str">
        <f aca="false">IF(C640="","",IFERROR(INDEX(Players!$C$5:$C$104,MATCH(C640,Players!$B$5:$B$104,0)),"ID not found"))</f>
        <v/>
      </c>
      <c r="E640" s="27"/>
      <c r="F640" s="27"/>
      <c r="G640" s="28" t="str">
        <f aca="false">IF(F640="","",IFERROR(INDEX('Hitting Drills'!$D$6:$D$45,MATCH(F640,'Hitting Drills'!$B$6:$B$45,0)),"Not a hitting drill ID"))</f>
        <v/>
      </c>
      <c r="H640" s="27"/>
      <c r="I640" s="27"/>
      <c r="J640" s="27"/>
      <c r="K640" s="27"/>
      <c r="L640" s="27"/>
      <c r="M640" s="27"/>
      <c r="N640" s="27"/>
      <c r="O640" s="27"/>
      <c r="P640" s="27"/>
      <c r="Q640" s="27"/>
      <c r="R640" s="27"/>
      <c r="S640" s="29" t="str">
        <f aca="false">IF(OR(B640="",C640=""),"",IF(COUNTIFS($B$5:B640,B640,$C$5:C640,C640)=1,1,0))</f>
        <v/>
      </c>
      <c r="T640" s="29" t="str">
        <f aca="false">IF(OR(B640="",C640="",E640=""),"",IF(COUNTIFS($B$5:B640,B640,$C$5:C640,C640,$E$5:E640,E640)=1,1,0))</f>
        <v/>
      </c>
      <c r="U640" s="28" t="str">
        <f aca="false">IF(COUNTA(B640:C640,E640:F640,H640:P640)=0,"",IF(OR(B640="",C640="",E640=""),"Check: date, player, and context required",IF(AND(ISNUMBER(J640),ISNUMBER(I640),J640&gt;I640),"Check: solid contacts &gt; swings",IF(AND(ISNUMBER(L640),ISNUMBER(K640),L640&gt;K640),"Check: correct &gt; assessed decisions",IF(AND(ISNUMBER(N640),ISNUMBER(M640),N640&gt;M640),"Check: intended &gt; assessed landings",IF(AND(ISNUMBER(J640),I640=""),"Check: solid contacts without swings","OK"))))))</f>
        <v/>
      </c>
    </row>
    <row r="641" customFormat="false" ht="15" hidden="false" customHeight="false" outlineLevel="0" collapsed="false">
      <c r="B641" s="26"/>
      <c r="C641" s="27"/>
      <c r="D641" s="28" t="str">
        <f aca="false">IF(C641="","",IFERROR(INDEX(Players!$C$5:$C$104,MATCH(C641,Players!$B$5:$B$104,0)),"ID not found"))</f>
        <v/>
      </c>
      <c r="E641" s="27"/>
      <c r="F641" s="27"/>
      <c r="G641" s="28" t="str">
        <f aca="false">IF(F641="","",IFERROR(INDEX('Hitting Drills'!$D$6:$D$45,MATCH(F641,'Hitting Drills'!$B$6:$B$45,0)),"Not a hitting drill ID"))</f>
        <v/>
      </c>
      <c r="H641" s="27"/>
      <c r="I641" s="27"/>
      <c r="J641" s="27"/>
      <c r="K641" s="27"/>
      <c r="L641" s="27"/>
      <c r="M641" s="27"/>
      <c r="N641" s="27"/>
      <c r="O641" s="27"/>
      <c r="P641" s="27"/>
      <c r="Q641" s="27"/>
      <c r="R641" s="27"/>
      <c r="S641" s="29" t="str">
        <f aca="false">IF(OR(B641="",C641=""),"",IF(COUNTIFS($B$5:B641,B641,$C$5:C641,C641)=1,1,0))</f>
        <v/>
      </c>
      <c r="T641" s="29" t="str">
        <f aca="false">IF(OR(B641="",C641="",E641=""),"",IF(COUNTIFS($B$5:B641,B641,$C$5:C641,C641,$E$5:E641,E641)=1,1,0))</f>
        <v/>
      </c>
      <c r="U641" s="28" t="str">
        <f aca="false">IF(COUNTA(B641:C641,E641:F641,H641:P641)=0,"",IF(OR(B641="",C641="",E641=""),"Check: date, player, and context required",IF(AND(ISNUMBER(J641),ISNUMBER(I641),J641&gt;I641),"Check: solid contacts &gt; swings",IF(AND(ISNUMBER(L641),ISNUMBER(K641),L641&gt;K641),"Check: correct &gt; assessed decisions",IF(AND(ISNUMBER(N641),ISNUMBER(M641),N641&gt;M641),"Check: intended &gt; assessed landings",IF(AND(ISNUMBER(J641),I641=""),"Check: solid contacts without swings","OK"))))))</f>
        <v/>
      </c>
    </row>
    <row r="642" customFormat="false" ht="15" hidden="false" customHeight="false" outlineLevel="0" collapsed="false">
      <c r="B642" s="26"/>
      <c r="C642" s="27"/>
      <c r="D642" s="28" t="str">
        <f aca="false">IF(C642="","",IFERROR(INDEX(Players!$C$5:$C$104,MATCH(C642,Players!$B$5:$B$104,0)),"ID not found"))</f>
        <v/>
      </c>
      <c r="E642" s="27"/>
      <c r="F642" s="27"/>
      <c r="G642" s="28" t="str">
        <f aca="false">IF(F642="","",IFERROR(INDEX('Hitting Drills'!$D$6:$D$45,MATCH(F642,'Hitting Drills'!$B$6:$B$45,0)),"Not a hitting drill ID"))</f>
        <v/>
      </c>
      <c r="H642" s="27"/>
      <c r="I642" s="27"/>
      <c r="J642" s="27"/>
      <c r="K642" s="27"/>
      <c r="L642" s="27"/>
      <c r="M642" s="27"/>
      <c r="N642" s="27"/>
      <c r="O642" s="27"/>
      <c r="P642" s="27"/>
      <c r="Q642" s="27"/>
      <c r="R642" s="27"/>
      <c r="S642" s="29" t="str">
        <f aca="false">IF(OR(B642="",C642=""),"",IF(COUNTIFS($B$5:B642,B642,$C$5:C642,C642)=1,1,0))</f>
        <v/>
      </c>
      <c r="T642" s="29" t="str">
        <f aca="false">IF(OR(B642="",C642="",E642=""),"",IF(COUNTIFS($B$5:B642,B642,$C$5:C642,C642,$E$5:E642,E642)=1,1,0))</f>
        <v/>
      </c>
      <c r="U642" s="28" t="str">
        <f aca="false">IF(COUNTA(B642:C642,E642:F642,H642:P642)=0,"",IF(OR(B642="",C642="",E642=""),"Check: date, player, and context required",IF(AND(ISNUMBER(J642),ISNUMBER(I642),J642&gt;I642),"Check: solid contacts &gt; swings",IF(AND(ISNUMBER(L642),ISNUMBER(K642),L642&gt;K642),"Check: correct &gt; assessed decisions",IF(AND(ISNUMBER(N642),ISNUMBER(M642),N642&gt;M642),"Check: intended &gt; assessed landings",IF(AND(ISNUMBER(J642),I642=""),"Check: solid contacts without swings","OK"))))))</f>
        <v/>
      </c>
    </row>
    <row r="643" customFormat="false" ht="15" hidden="false" customHeight="false" outlineLevel="0" collapsed="false">
      <c r="B643" s="26"/>
      <c r="C643" s="27"/>
      <c r="D643" s="28" t="str">
        <f aca="false">IF(C643="","",IFERROR(INDEX(Players!$C$5:$C$104,MATCH(C643,Players!$B$5:$B$104,0)),"ID not found"))</f>
        <v/>
      </c>
      <c r="E643" s="27"/>
      <c r="F643" s="27"/>
      <c r="G643" s="28" t="str">
        <f aca="false">IF(F643="","",IFERROR(INDEX('Hitting Drills'!$D$6:$D$45,MATCH(F643,'Hitting Drills'!$B$6:$B$45,0)),"Not a hitting drill ID"))</f>
        <v/>
      </c>
      <c r="H643" s="27"/>
      <c r="I643" s="27"/>
      <c r="J643" s="27"/>
      <c r="K643" s="27"/>
      <c r="L643" s="27"/>
      <c r="M643" s="27"/>
      <c r="N643" s="27"/>
      <c r="O643" s="27"/>
      <c r="P643" s="27"/>
      <c r="Q643" s="27"/>
      <c r="R643" s="27"/>
      <c r="S643" s="29" t="str">
        <f aca="false">IF(OR(B643="",C643=""),"",IF(COUNTIFS($B$5:B643,B643,$C$5:C643,C643)=1,1,0))</f>
        <v/>
      </c>
      <c r="T643" s="29" t="str">
        <f aca="false">IF(OR(B643="",C643="",E643=""),"",IF(COUNTIFS($B$5:B643,B643,$C$5:C643,C643,$E$5:E643,E643)=1,1,0))</f>
        <v/>
      </c>
      <c r="U643" s="28" t="str">
        <f aca="false">IF(COUNTA(B643:C643,E643:F643,H643:P643)=0,"",IF(OR(B643="",C643="",E643=""),"Check: date, player, and context required",IF(AND(ISNUMBER(J643),ISNUMBER(I643),J643&gt;I643),"Check: solid contacts &gt; swings",IF(AND(ISNUMBER(L643),ISNUMBER(K643),L643&gt;K643),"Check: correct &gt; assessed decisions",IF(AND(ISNUMBER(N643),ISNUMBER(M643),N643&gt;M643),"Check: intended &gt; assessed landings",IF(AND(ISNUMBER(J643),I643=""),"Check: solid contacts without swings","OK"))))))</f>
        <v/>
      </c>
    </row>
    <row r="644" customFormat="false" ht="15" hidden="false" customHeight="false" outlineLevel="0" collapsed="false">
      <c r="B644" s="26"/>
      <c r="C644" s="27"/>
      <c r="D644" s="28" t="str">
        <f aca="false">IF(C644="","",IFERROR(INDEX(Players!$C$5:$C$104,MATCH(C644,Players!$B$5:$B$104,0)),"ID not found"))</f>
        <v/>
      </c>
      <c r="E644" s="27"/>
      <c r="F644" s="27"/>
      <c r="G644" s="28" t="str">
        <f aca="false">IF(F644="","",IFERROR(INDEX('Hitting Drills'!$D$6:$D$45,MATCH(F644,'Hitting Drills'!$B$6:$B$45,0)),"Not a hitting drill ID"))</f>
        <v/>
      </c>
      <c r="H644" s="27"/>
      <c r="I644" s="27"/>
      <c r="J644" s="27"/>
      <c r="K644" s="27"/>
      <c r="L644" s="27"/>
      <c r="M644" s="27"/>
      <c r="N644" s="27"/>
      <c r="O644" s="27"/>
      <c r="P644" s="27"/>
      <c r="Q644" s="27"/>
      <c r="R644" s="27"/>
      <c r="S644" s="29" t="str">
        <f aca="false">IF(OR(B644="",C644=""),"",IF(COUNTIFS($B$5:B644,B644,$C$5:C644,C644)=1,1,0))</f>
        <v/>
      </c>
      <c r="T644" s="29" t="str">
        <f aca="false">IF(OR(B644="",C644="",E644=""),"",IF(COUNTIFS($B$5:B644,B644,$C$5:C644,C644,$E$5:E644,E644)=1,1,0))</f>
        <v/>
      </c>
      <c r="U644" s="28" t="str">
        <f aca="false">IF(COUNTA(B644:C644,E644:F644,H644:P644)=0,"",IF(OR(B644="",C644="",E644=""),"Check: date, player, and context required",IF(AND(ISNUMBER(J644),ISNUMBER(I644),J644&gt;I644),"Check: solid contacts &gt; swings",IF(AND(ISNUMBER(L644),ISNUMBER(K644),L644&gt;K644),"Check: correct &gt; assessed decisions",IF(AND(ISNUMBER(N644),ISNUMBER(M644),N644&gt;M644),"Check: intended &gt; assessed landings",IF(AND(ISNUMBER(J644),I644=""),"Check: solid contacts without swings","OK"))))))</f>
        <v/>
      </c>
    </row>
    <row r="645" customFormat="false" ht="15" hidden="false" customHeight="false" outlineLevel="0" collapsed="false">
      <c r="B645" s="26"/>
      <c r="C645" s="27"/>
      <c r="D645" s="28" t="str">
        <f aca="false">IF(C645="","",IFERROR(INDEX(Players!$C$5:$C$104,MATCH(C645,Players!$B$5:$B$104,0)),"ID not found"))</f>
        <v/>
      </c>
      <c r="E645" s="27"/>
      <c r="F645" s="27"/>
      <c r="G645" s="28" t="str">
        <f aca="false">IF(F645="","",IFERROR(INDEX('Hitting Drills'!$D$6:$D$45,MATCH(F645,'Hitting Drills'!$B$6:$B$45,0)),"Not a hitting drill ID"))</f>
        <v/>
      </c>
      <c r="H645" s="27"/>
      <c r="I645" s="27"/>
      <c r="J645" s="27"/>
      <c r="K645" s="27"/>
      <c r="L645" s="27"/>
      <c r="M645" s="27"/>
      <c r="N645" s="27"/>
      <c r="O645" s="27"/>
      <c r="P645" s="27"/>
      <c r="Q645" s="27"/>
      <c r="R645" s="27"/>
      <c r="S645" s="29" t="str">
        <f aca="false">IF(OR(B645="",C645=""),"",IF(COUNTIFS($B$5:B645,B645,$C$5:C645,C645)=1,1,0))</f>
        <v/>
      </c>
      <c r="T645" s="29" t="str">
        <f aca="false">IF(OR(B645="",C645="",E645=""),"",IF(COUNTIFS($B$5:B645,B645,$C$5:C645,C645,$E$5:E645,E645)=1,1,0))</f>
        <v/>
      </c>
      <c r="U645" s="28" t="str">
        <f aca="false">IF(COUNTA(B645:C645,E645:F645,H645:P645)=0,"",IF(OR(B645="",C645="",E645=""),"Check: date, player, and context required",IF(AND(ISNUMBER(J645),ISNUMBER(I645),J645&gt;I645),"Check: solid contacts &gt; swings",IF(AND(ISNUMBER(L645),ISNUMBER(K645),L645&gt;K645),"Check: correct &gt; assessed decisions",IF(AND(ISNUMBER(N645),ISNUMBER(M645),N645&gt;M645),"Check: intended &gt; assessed landings",IF(AND(ISNUMBER(J645),I645=""),"Check: solid contacts without swings","OK"))))))</f>
        <v/>
      </c>
    </row>
    <row r="646" customFormat="false" ht="15" hidden="false" customHeight="false" outlineLevel="0" collapsed="false">
      <c r="B646" s="26"/>
      <c r="C646" s="27"/>
      <c r="D646" s="28" t="str">
        <f aca="false">IF(C646="","",IFERROR(INDEX(Players!$C$5:$C$104,MATCH(C646,Players!$B$5:$B$104,0)),"ID not found"))</f>
        <v/>
      </c>
      <c r="E646" s="27"/>
      <c r="F646" s="27"/>
      <c r="G646" s="28" t="str">
        <f aca="false">IF(F646="","",IFERROR(INDEX('Hitting Drills'!$D$6:$D$45,MATCH(F646,'Hitting Drills'!$B$6:$B$45,0)),"Not a hitting drill ID"))</f>
        <v/>
      </c>
      <c r="H646" s="27"/>
      <c r="I646" s="27"/>
      <c r="J646" s="27"/>
      <c r="K646" s="27"/>
      <c r="L646" s="27"/>
      <c r="M646" s="27"/>
      <c r="N646" s="27"/>
      <c r="O646" s="27"/>
      <c r="P646" s="27"/>
      <c r="Q646" s="27"/>
      <c r="R646" s="27"/>
      <c r="S646" s="29" t="str">
        <f aca="false">IF(OR(B646="",C646=""),"",IF(COUNTIFS($B$5:B646,B646,$C$5:C646,C646)=1,1,0))</f>
        <v/>
      </c>
      <c r="T646" s="29" t="str">
        <f aca="false">IF(OR(B646="",C646="",E646=""),"",IF(COUNTIFS($B$5:B646,B646,$C$5:C646,C646,$E$5:E646,E646)=1,1,0))</f>
        <v/>
      </c>
      <c r="U646" s="28" t="str">
        <f aca="false">IF(COUNTA(B646:C646,E646:F646,H646:P646)=0,"",IF(OR(B646="",C646="",E646=""),"Check: date, player, and context required",IF(AND(ISNUMBER(J646),ISNUMBER(I646),J646&gt;I646),"Check: solid contacts &gt; swings",IF(AND(ISNUMBER(L646),ISNUMBER(K646),L646&gt;K646),"Check: correct &gt; assessed decisions",IF(AND(ISNUMBER(N646),ISNUMBER(M646),N646&gt;M646),"Check: intended &gt; assessed landings",IF(AND(ISNUMBER(J646),I646=""),"Check: solid contacts without swings","OK"))))))</f>
        <v/>
      </c>
    </row>
    <row r="647" customFormat="false" ht="15" hidden="false" customHeight="false" outlineLevel="0" collapsed="false">
      <c r="B647" s="26"/>
      <c r="C647" s="27"/>
      <c r="D647" s="28" t="str">
        <f aca="false">IF(C647="","",IFERROR(INDEX(Players!$C$5:$C$104,MATCH(C647,Players!$B$5:$B$104,0)),"ID not found"))</f>
        <v/>
      </c>
      <c r="E647" s="27"/>
      <c r="F647" s="27"/>
      <c r="G647" s="28" t="str">
        <f aca="false">IF(F647="","",IFERROR(INDEX('Hitting Drills'!$D$6:$D$45,MATCH(F647,'Hitting Drills'!$B$6:$B$45,0)),"Not a hitting drill ID"))</f>
        <v/>
      </c>
      <c r="H647" s="27"/>
      <c r="I647" s="27"/>
      <c r="J647" s="27"/>
      <c r="K647" s="27"/>
      <c r="L647" s="27"/>
      <c r="M647" s="27"/>
      <c r="N647" s="27"/>
      <c r="O647" s="27"/>
      <c r="P647" s="27"/>
      <c r="Q647" s="27"/>
      <c r="R647" s="27"/>
      <c r="S647" s="29" t="str">
        <f aca="false">IF(OR(B647="",C647=""),"",IF(COUNTIFS($B$5:B647,B647,$C$5:C647,C647)=1,1,0))</f>
        <v/>
      </c>
      <c r="T647" s="29" t="str">
        <f aca="false">IF(OR(B647="",C647="",E647=""),"",IF(COUNTIFS($B$5:B647,B647,$C$5:C647,C647,$E$5:E647,E647)=1,1,0))</f>
        <v/>
      </c>
      <c r="U647" s="28" t="str">
        <f aca="false">IF(COUNTA(B647:C647,E647:F647,H647:P647)=0,"",IF(OR(B647="",C647="",E647=""),"Check: date, player, and context required",IF(AND(ISNUMBER(J647),ISNUMBER(I647),J647&gt;I647),"Check: solid contacts &gt; swings",IF(AND(ISNUMBER(L647),ISNUMBER(K647),L647&gt;K647),"Check: correct &gt; assessed decisions",IF(AND(ISNUMBER(N647),ISNUMBER(M647),N647&gt;M647),"Check: intended &gt; assessed landings",IF(AND(ISNUMBER(J647),I647=""),"Check: solid contacts without swings","OK"))))))</f>
        <v/>
      </c>
    </row>
    <row r="648" customFormat="false" ht="15" hidden="false" customHeight="false" outlineLevel="0" collapsed="false">
      <c r="B648" s="26"/>
      <c r="C648" s="27"/>
      <c r="D648" s="28" t="str">
        <f aca="false">IF(C648="","",IFERROR(INDEX(Players!$C$5:$C$104,MATCH(C648,Players!$B$5:$B$104,0)),"ID not found"))</f>
        <v/>
      </c>
      <c r="E648" s="27"/>
      <c r="F648" s="27"/>
      <c r="G648" s="28" t="str">
        <f aca="false">IF(F648="","",IFERROR(INDEX('Hitting Drills'!$D$6:$D$45,MATCH(F648,'Hitting Drills'!$B$6:$B$45,0)),"Not a hitting drill ID"))</f>
        <v/>
      </c>
      <c r="H648" s="27"/>
      <c r="I648" s="27"/>
      <c r="J648" s="27"/>
      <c r="K648" s="27"/>
      <c r="L648" s="27"/>
      <c r="M648" s="27"/>
      <c r="N648" s="27"/>
      <c r="O648" s="27"/>
      <c r="P648" s="27"/>
      <c r="Q648" s="27"/>
      <c r="R648" s="27"/>
      <c r="S648" s="29" t="str">
        <f aca="false">IF(OR(B648="",C648=""),"",IF(COUNTIFS($B$5:B648,B648,$C$5:C648,C648)=1,1,0))</f>
        <v/>
      </c>
      <c r="T648" s="29" t="str">
        <f aca="false">IF(OR(B648="",C648="",E648=""),"",IF(COUNTIFS($B$5:B648,B648,$C$5:C648,C648,$E$5:E648,E648)=1,1,0))</f>
        <v/>
      </c>
      <c r="U648" s="28" t="str">
        <f aca="false">IF(COUNTA(B648:C648,E648:F648,H648:P648)=0,"",IF(OR(B648="",C648="",E648=""),"Check: date, player, and context required",IF(AND(ISNUMBER(J648),ISNUMBER(I648),J648&gt;I648),"Check: solid contacts &gt; swings",IF(AND(ISNUMBER(L648),ISNUMBER(K648),L648&gt;K648),"Check: correct &gt; assessed decisions",IF(AND(ISNUMBER(N648),ISNUMBER(M648),N648&gt;M648),"Check: intended &gt; assessed landings",IF(AND(ISNUMBER(J648),I648=""),"Check: solid contacts without swings","OK"))))))</f>
        <v/>
      </c>
    </row>
    <row r="649" customFormat="false" ht="15" hidden="false" customHeight="false" outlineLevel="0" collapsed="false">
      <c r="B649" s="26"/>
      <c r="C649" s="27"/>
      <c r="D649" s="28" t="str">
        <f aca="false">IF(C649="","",IFERROR(INDEX(Players!$C$5:$C$104,MATCH(C649,Players!$B$5:$B$104,0)),"ID not found"))</f>
        <v/>
      </c>
      <c r="E649" s="27"/>
      <c r="F649" s="27"/>
      <c r="G649" s="28" t="str">
        <f aca="false">IF(F649="","",IFERROR(INDEX('Hitting Drills'!$D$6:$D$45,MATCH(F649,'Hitting Drills'!$B$6:$B$45,0)),"Not a hitting drill ID"))</f>
        <v/>
      </c>
      <c r="H649" s="27"/>
      <c r="I649" s="27"/>
      <c r="J649" s="27"/>
      <c r="K649" s="27"/>
      <c r="L649" s="27"/>
      <c r="M649" s="27"/>
      <c r="N649" s="27"/>
      <c r="O649" s="27"/>
      <c r="P649" s="27"/>
      <c r="Q649" s="27"/>
      <c r="R649" s="27"/>
      <c r="S649" s="29" t="str">
        <f aca="false">IF(OR(B649="",C649=""),"",IF(COUNTIFS($B$5:B649,B649,$C$5:C649,C649)=1,1,0))</f>
        <v/>
      </c>
      <c r="T649" s="29" t="str">
        <f aca="false">IF(OR(B649="",C649="",E649=""),"",IF(COUNTIFS($B$5:B649,B649,$C$5:C649,C649,$E$5:E649,E649)=1,1,0))</f>
        <v/>
      </c>
      <c r="U649" s="28" t="str">
        <f aca="false">IF(COUNTA(B649:C649,E649:F649,H649:P649)=0,"",IF(OR(B649="",C649="",E649=""),"Check: date, player, and context required",IF(AND(ISNUMBER(J649),ISNUMBER(I649),J649&gt;I649),"Check: solid contacts &gt; swings",IF(AND(ISNUMBER(L649),ISNUMBER(K649),L649&gt;K649),"Check: correct &gt; assessed decisions",IF(AND(ISNUMBER(N649),ISNUMBER(M649),N649&gt;M649),"Check: intended &gt; assessed landings",IF(AND(ISNUMBER(J649),I649=""),"Check: solid contacts without swings","OK"))))))</f>
        <v/>
      </c>
    </row>
    <row r="650" customFormat="false" ht="15" hidden="false" customHeight="false" outlineLevel="0" collapsed="false">
      <c r="B650" s="26"/>
      <c r="C650" s="27"/>
      <c r="D650" s="28" t="str">
        <f aca="false">IF(C650="","",IFERROR(INDEX(Players!$C$5:$C$104,MATCH(C650,Players!$B$5:$B$104,0)),"ID not found"))</f>
        <v/>
      </c>
      <c r="E650" s="27"/>
      <c r="F650" s="27"/>
      <c r="G650" s="28" t="str">
        <f aca="false">IF(F650="","",IFERROR(INDEX('Hitting Drills'!$D$6:$D$45,MATCH(F650,'Hitting Drills'!$B$6:$B$45,0)),"Not a hitting drill ID"))</f>
        <v/>
      </c>
      <c r="H650" s="27"/>
      <c r="I650" s="27"/>
      <c r="J650" s="27"/>
      <c r="K650" s="27"/>
      <c r="L650" s="27"/>
      <c r="M650" s="27"/>
      <c r="N650" s="27"/>
      <c r="O650" s="27"/>
      <c r="P650" s="27"/>
      <c r="Q650" s="27"/>
      <c r="R650" s="27"/>
      <c r="S650" s="29" t="str">
        <f aca="false">IF(OR(B650="",C650=""),"",IF(COUNTIFS($B$5:B650,B650,$C$5:C650,C650)=1,1,0))</f>
        <v/>
      </c>
      <c r="T650" s="29" t="str">
        <f aca="false">IF(OR(B650="",C650="",E650=""),"",IF(COUNTIFS($B$5:B650,B650,$C$5:C650,C650,$E$5:E650,E650)=1,1,0))</f>
        <v/>
      </c>
      <c r="U650" s="28" t="str">
        <f aca="false">IF(COUNTA(B650:C650,E650:F650,H650:P650)=0,"",IF(OR(B650="",C650="",E650=""),"Check: date, player, and context required",IF(AND(ISNUMBER(J650),ISNUMBER(I650),J650&gt;I650),"Check: solid contacts &gt; swings",IF(AND(ISNUMBER(L650),ISNUMBER(K650),L650&gt;K650),"Check: correct &gt; assessed decisions",IF(AND(ISNUMBER(N650),ISNUMBER(M650),N650&gt;M650),"Check: intended &gt; assessed landings",IF(AND(ISNUMBER(J650),I650=""),"Check: solid contacts without swings","OK"))))))</f>
        <v/>
      </c>
    </row>
    <row r="651" customFormat="false" ht="15" hidden="false" customHeight="false" outlineLevel="0" collapsed="false">
      <c r="B651" s="26"/>
      <c r="C651" s="27"/>
      <c r="D651" s="28" t="str">
        <f aca="false">IF(C651="","",IFERROR(INDEX(Players!$C$5:$C$104,MATCH(C651,Players!$B$5:$B$104,0)),"ID not found"))</f>
        <v/>
      </c>
      <c r="E651" s="27"/>
      <c r="F651" s="27"/>
      <c r="G651" s="28" t="str">
        <f aca="false">IF(F651="","",IFERROR(INDEX('Hitting Drills'!$D$6:$D$45,MATCH(F651,'Hitting Drills'!$B$6:$B$45,0)),"Not a hitting drill ID"))</f>
        <v/>
      </c>
      <c r="H651" s="27"/>
      <c r="I651" s="27"/>
      <c r="J651" s="27"/>
      <c r="K651" s="27"/>
      <c r="L651" s="27"/>
      <c r="M651" s="27"/>
      <c r="N651" s="27"/>
      <c r="O651" s="27"/>
      <c r="P651" s="27"/>
      <c r="Q651" s="27"/>
      <c r="R651" s="27"/>
      <c r="S651" s="29" t="str">
        <f aca="false">IF(OR(B651="",C651=""),"",IF(COUNTIFS($B$5:B651,B651,$C$5:C651,C651)=1,1,0))</f>
        <v/>
      </c>
      <c r="T651" s="29" t="str">
        <f aca="false">IF(OR(B651="",C651="",E651=""),"",IF(COUNTIFS($B$5:B651,B651,$C$5:C651,C651,$E$5:E651,E651)=1,1,0))</f>
        <v/>
      </c>
      <c r="U651" s="28" t="str">
        <f aca="false">IF(COUNTA(B651:C651,E651:F651,H651:P651)=0,"",IF(OR(B651="",C651="",E651=""),"Check: date, player, and context required",IF(AND(ISNUMBER(J651),ISNUMBER(I651),J651&gt;I651),"Check: solid contacts &gt; swings",IF(AND(ISNUMBER(L651),ISNUMBER(K651),L651&gt;K651),"Check: correct &gt; assessed decisions",IF(AND(ISNUMBER(N651),ISNUMBER(M651),N651&gt;M651),"Check: intended &gt; assessed landings",IF(AND(ISNUMBER(J651),I651=""),"Check: solid contacts without swings","OK"))))))</f>
        <v/>
      </c>
    </row>
    <row r="652" customFormat="false" ht="15" hidden="false" customHeight="false" outlineLevel="0" collapsed="false">
      <c r="B652" s="26"/>
      <c r="C652" s="27"/>
      <c r="D652" s="28" t="str">
        <f aca="false">IF(C652="","",IFERROR(INDEX(Players!$C$5:$C$104,MATCH(C652,Players!$B$5:$B$104,0)),"ID not found"))</f>
        <v/>
      </c>
      <c r="E652" s="27"/>
      <c r="F652" s="27"/>
      <c r="G652" s="28" t="str">
        <f aca="false">IF(F652="","",IFERROR(INDEX('Hitting Drills'!$D$6:$D$45,MATCH(F652,'Hitting Drills'!$B$6:$B$45,0)),"Not a hitting drill ID"))</f>
        <v/>
      </c>
      <c r="H652" s="27"/>
      <c r="I652" s="27"/>
      <c r="J652" s="27"/>
      <c r="K652" s="27"/>
      <c r="L652" s="27"/>
      <c r="M652" s="27"/>
      <c r="N652" s="27"/>
      <c r="O652" s="27"/>
      <c r="P652" s="27"/>
      <c r="Q652" s="27"/>
      <c r="R652" s="27"/>
      <c r="S652" s="29" t="str">
        <f aca="false">IF(OR(B652="",C652=""),"",IF(COUNTIFS($B$5:B652,B652,$C$5:C652,C652)=1,1,0))</f>
        <v/>
      </c>
      <c r="T652" s="29" t="str">
        <f aca="false">IF(OR(B652="",C652="",E652=""),"",IF(COUNTIFS($B$5:B652,B652,$C$5:C652,C652,$E$5:E652,E652)=1,1,0))</f>
        <v/>
      </c>
      <c r="U652" s="28" t="str">
        <f aca="false">IF(COUNTA(B652:C652,E652:F652,H652:P652)=0,"",IF(OR(B652="",C652="",E652=""),"Check: date, player, and context required",IF(AND(ISNUMBER(J652),ISNUMBER(I652),J652&gt;I652),"Check: solid contacts &gt; swings",IF(AND(ISNUMBER(L652),ISNUMBER(K652),L652&gt;K652),"Check: correct &gt; assessed decisions",IF(AND(ISNUMBER(N652),ISNUMBER(M652),N652&gt;M652),"Check: intended &gt; assessed landings",IF(AND(ISNUMBER(J652),I652=""),"Check: solid contacts without swings","OK"))))))</f>
        <v/>
      </c>
    </row>
    <row r="653" customFormat="false" ht="15" hidden="false" customHeight="false" outlineLevel="0" collapsed="false">
      <c r="B653" s="26"/>
      <c r="C653" s="27"/>
      <c r="D653" s="28" t="str">
        <f aca="false">IF(C653="","",IFERROR(INDEX(Players!$C$5:$C$104,MATCH(C653,Players!$B$5:$B$104,0)),"ID not found"))</f>
        <v/>
      </c>
      <c r="E653" s="27"/>
      <c r="F653" s="27"/>
      <c r="G653" s="28" t="str">
        <f aca="false">IF(F653="","",IFERROR(INDEX('Hitting Drills'!$D$6:$D$45,MATCH(F653,'Hitting Drills'!$B$6:$B$45,0)),"Not a hitting drill ID"))</f>
        <v/>
      </c>
      <c r="H653" s="27"/>
      <c r="I653" s="27"/>
      <c r="J653" s="27"/>
      <c r="K653" s="27"/>
      <c r="L653" s="27"/>
      <c r="M653" s="27"/>
      <c r="N653" s="27"/>
      <c r="O653" s="27"/>
      <c r="P653" s="27"/>
      <c r="Q653" s="27"/>
      <c r="R653" s="27"/>
      <c r="S653" s="29" t="str">
        <f aca="false">IF(OR(B653="",C653=""),"",IF(COUNTIFS($B$5:B653,B653,$C$5:C653,C653)=1,1,0))</f>
        <v/>
      </c>
      <c r="T653" s="29" t="str">
        <f aca="false">IF(OR(B653="",C653="",E653=""),"",IF(COUNTIFS($B$5:B653,B653,$C$5:C653,C653,$E$5:E653,E653)=1,1,0))</f>
        <v/>
      </c>
      <c r="U653" s="28" t="str">
        <f aca="false">IF(COUNTA(B653:C653,E653:F653,H653:P653)=0,"",IF(OR(B653="",C653="",E653=""),"Check: date, player, and context required",IF(AND(ISNUMBER(J653),ISNUMBER(I653),J653&gt;I653),"Check: solid contacts &gt; swings",IF(AND(ISNUMBER(L653),ISNUMBER(K653),L653&gt;K653),"Check: correct &gt; assessed decisions",IF(AND(ISNUMBER(N653),ISNUMBER(M653),N653&gt;M653),"Check: intended &gt; assessed landings",IF(AND(ISNUMBER(J653),I653=""),"Check: solid contacts without swings","OK"))))))</f>
        <v/>
      </c>
    </row>
    <row r="654" customFormat="false" ht="15" hidden="false" customHeight="false" outlineLevel="0" collapsed="false">
      <c r="B654" s="26"/>
      <c r="C654" s="27"/>
      <c r="D654" s="28" t="str">
        <f aca="false">IF(C654="","",IFERROR(INDEX(Players!$C$5:$C$104,MATCH(C654,Players!$B$5:$B$104,0)),"ID not found"))</f>
        <v/>
      </c>
      <c r="E654" s="27"/>
      <c r="F654" s="27"/>
      <c r="G654" s="28" t="str">
        <f aca="false">IF(F654="","",IFERROR(INDEX('Hitting Drills'!$D$6:$D$45,MATCH(F654,'Hitting Drills'!$B$6:$B$45,0)),"Not a hitting drill ID"))</f>
        <v/>
      </c>
      <c r="H654" s="27"/>
      <c r="I654" s="27"/>
      <c r="J654" s="27"/>
      <c r="K654" s="27"/>
      <c r="L654" s="27"/>
      <c r="M654" s="27"/>
      <c r="N654" s="27"/>
      <c r="O654" s="27"/>
      <c r="P654" s="27"/>
      <c r="Q654" s="27"/>
      <c r="R654" s="27"/>
      <c r="S654" s="29" t="str">
        <f aca="false">IF(OR(B654="",C654=""),"",IF(COUNTIFS($B$5:B654,B654,$C$5:C654,C654)=1,1,0))</f>
        <v/>
      </c>
      <c r="T654" s="29" t="str">
        <f aca="false">IF(OR(B654="",C654="",E654=""),"",IF(COUNTIFS($B$5:B654,B654,$C$5:C654,C654,$E$5:E654,E654)=1,1,0))</f>
        <v/>
      </c>
      <c r="U654" s="28" t="str">
        <f aca="false">IF(COUNTA(B654:C654,E654:F654,H654:P654)=0,"",IF(OR(B654="",C654="",E654=""),"Check: date, player, and context required",IF(AND(ISNUMBER(J654),ISNUMBER(I654),J654&gt;I654),"Check: solid contacts &gt; swings",IF(AND(ISNUMBER(L654),ISNUMBER(K654),L654&gt;K654),"Check: correct &gt; assessed decisions",IF(AND(ISNUMBER(N654),ISNUMBER(M654),N654&gt;M654),"Check: intended &gt; assessed landings",IF(AND(ISNUMBER(J654),I654=""),"Check: solid contacts without swings","OK"))))))</f>
        <v/>
      </c>
    </row>
    <row r="655" customFormat="false" ht="15" hidden="false" customHeight="false" outlineLevel="0" collapsed="false">
      <c r="B655" s="26"/>
      <c r="C655" s="27"/>
      <c r="D655" s="28" t="str">
        <f aca="false">IF(C655="","",IFERROR(INDEX(Players!$C$5:$C$104,MATCH(C655,Players!$B$5:$B$104,0)),"ID not found"))</f>
        <v/>
      </c>
      <c r="E655" s="27"/>
      <c r="F655" s="27"/>
      <c r="G655" s="28" t="str">
        <f aca="false">IF(F655="","",IFERROR(INDEX('Hitting Drills'!$D$6:$D$45,MATCH(F655,'Hitting Drills'!$B$6:$B$45,0)),"Not a hitting drill ID"))</f>
        <v/>
      </c>
      <c r="H655" s="27"/>
      <c r="I655" s="27"/>
      <c r="J655" s="27"/>
      <c r="K655" s="27"/>
      <c r="L655" s="27"/>
      <c r="M655" s="27"/>
      <c r="N655" s="27"/>
      <c r="O655" s="27"/>
      <c r="P655" s="27"/>
      <c r="Q655" s="27"/>
      <c r="R655" s="27"/>
      <c r="S655" s="29" t="str">
        <f aca="false">IF(OR(B655="",C655=""),"",IF(COUNTIFS($B$5:B655,B655,$C$5:C655,C655)=1,1,0))</f>
        <v/>
      </c>
      <c r="T655" s="29" t="str">
        <f aca="false">IF(OR(B655="",C655="",E655=""),"",IF(COUNTIFS($B$5:B655,B655,$C$5:C655,C655,$E$5:E655,E655)=1,1,0))</f>
        <v/>
      </c>
      <c r="U655" s="28" t="str">
        <f aca="false">IF(COUNTA(B655:C655,E655:F655,H655:P655)=0,"",IF(OR(B655="",C655="",E655=""),"Check: date, player, and context required",IF(AND(ISNUMBER(J655),ISNUMBER(I655),J655&gt;I655),"Check: solid contacts &gt; swings",IF(AND(ISNUMBER(L655),ISNUMBER(K655),L655&gt;K655),"Check: correct &gt; assessed decisions",IF(AND(ISNUMBER(N655),ISNUMBER(M655),N655&gt;M655),"Check: intended &gt; assessed landings",IF(AND(ISNUMBER(J655),I655=""),"Check: solid contacts without swings","OK"))))))</f>
        <v/>
      </c>
    </row>
    <row r="656" customFormat="false" ht="15" hidden="false" customHeight="false" outlineLevel="0" collapsed="false">
      <c r="B656" s="26"/>
      <c r="C656" s="27"/>
      <c r="D656" s="28" t="str">
        <f aca="false">IF(C656="","",IFERROR(INDEX(Players!$C$5:$C$104,MATCH(C656,Players!$B$5:$B$104,0)),"ID not found"))</f>
        <v/>
      </c>
      <c r="E656" s="27"/>
      <c r="F656" s="27"/>
      <c r="G656" s="28" t="str">
        <f aca="false">IF(F656="","",IFERROR(INDEX('Hitting Drills'!$D$6:$D$45,MATCH(F656,'Hitting Drills'!$B$6:$B$45,0)),"Not a hitting drill ID"))</f>
        <v/>
      </c>
      <c r="H656" s="27"/>
      <c r="I656" s="27"/>
      <c r="J656" s="27"/>
      <c r="K656" s="27"/>
      <c r="L656" s="27"/>
      <c r="M656" s="27"/>
      <c r="N656" s="27"/>
      <c r="O656" s="27"/>
      <c r="P656" s="27"/>
      <c r="Q656" s="27"/>
      <c r="R656" s="27"/>
      <c r="S656" s="29" t="str">
        <f aca="false">IF(OR(B656="",C656=""),"",IF(COUNTIFS($B$5:B656,B656,$C$5:C656,C656)=1,1,0))</f>
        <v/>
      </c>
      <c r="T656" s="29" t="str">
        <f aca="false">IF(OR(B656="",C656="",E656=""),"",IF(COUNTIFS($B$5:B656,B656,$C$5:C656,C656,$E$5:E656,E656)=1,1,0))</f>
        <v/>
      </c>
      <c r="U656" s="28" t="str">
        <f aca="false">IF(COUNTA(B656:C656,E656:F656,H656:P656)=0,"",IF(OR(B656="",C656="",E656=""),"Check: date, player, and context required",IF(AND(ISNUMBER(J656),ISNUMBER(I656),J656&gt;I656),"Check: solid contacts &gt; swings",IF(AND(ISNUMBER(L656),ISNUMBER(K656),L656&gt;K656),"Check: correct &gt; assessed decisions",IF(AND(ISNUMBER(N656),ISNUMBER(M656),N656&gt;M656),"Check: intended &gt; assessed landings",IF(AND(ISNUMBER(J656),I656=""),"Check: solid contacts without swings","OK"))))))</f>
        <v/>
      </c>
    </row>
    <row r="657" customFormat="false" ht="15" hidden="false" customHeight="false" outlineLevel="0" collapsed="false">
      <c r="B657" s="26"/>
      <c r="C657" s="27"/>
      <c r="D657" s="28" t="str">
        <f aca="false">IF(C657="","",IFERROR(INDEX(Players!$C$5:$C$104,MATCH(C657,Players!$B$5:$B$104,0)),"ID not found"))</f>
        <v/>
      </c>
      <c r="E657" s="27"/>
      <c r="F657" s="27"/>
      <c r="G657" s="28" t="str">
        <f aca="false">IF(F657="","",IFERROR(INDEX('Hitting Drills'!$D$6:$D$45,MATCH(F657,'Hitting Drills'!$B$6:$B$45,0)),"Not a hitting drill ID"))</f>
        <v/>
      </c>
      <c r="H657" s="27"/>
      <c r="I657" s="27"/>
      <c r="J657" s="27"/>
      <c r="K657" s="27"/>
      <c r="L657" s="27"/>
      <c r="M657" s="27"/>
      <c r="N657" s="27"/>
      <c r="O657" s="27"/>
      <c r="P657" s="27"/>
      <c r="Q657" s="27"/>
      <c r="R657" s="27"/>
      <c r="S657" s="29" t="str">
        <f aca="false">IF(OR(B657="",C657=""),"",IF(COUNTIFS($B$5:B657,B657,$C$5:C657,C657)=1,1,0))</f>
        <v/>
      </c>
      <c r="T657" s="29" t="str">
        <f aca="false">IF(OR(B657="",C657="",E657=""),"",IF(COUNTIFS($B$5:B657,B657,$C$5:C657,C657,$E$5:E657,E657)=1,1,0))</f>
        <v/>
      </c>
      <c r="U657" s="28" t="str">
        <f aca="false">IF(COUNTA(B657:C657,E657:F657,H657:P657)=0,"",IF(OR(B657="",C657="",E657=""),"Check: date, player, and context required",IF(AND(ISNUMBER(J657),ISNUMBER(I657),J657&gt;I657),"Check: solid contacts &gt; swings",IF(AND(ISNUMBER(L657),ISNUMBER(K657),L657&gt;K657),"Check: correct &gt; assessed decisions",IF(AND(ISNUMBER(N657),ISNUMBER(M657),N657&gt;M657),"Check: intended &gt; assessed landings",IF(AND(ISNUMBER(J657),I657=""),"Check: solid contacts without swings","OK"))))))</f>
        <v/>
      </c>
    </row>
    <row r="658" customFormat="false" ht="15" hidden="false" customHeight="false" outlineLevel="0" collapsed="false">
      <c r="B658" s="26"/>
      <c r="C658" s="27"/>
      <c r="D658" s="28" t="str">
        <f aca="false">IF(C658="","",IFERROR(INDEX(Players!$C$5:$C$104,MATCH(C658,Players!$B$5:$B$104,0)),"ID not found"))</f>
        <v/>
      </c>
      <c r="E658" s="27"/>
      <c r="F658" s="27"/>
      <c r="G658" s="28" t="str">
        <f aca="false">IF(F658="","",IFERROR(INDEX('Hitting Drills'!$D$6:$D$45,MATCH(F658,'Hitting Drills'!$B$6:$B$45,0)),"Not a hitting drill ID"))</f>
        <v/>
      </c>
      <c r="H658" s="27"/>
      <c r="I658" s="27"/>
      <c r="J658" s="27"/>
      <c r="K658" s="27"/>
      <c r="L658" s="27"/>
      <c r="M658" s="27"/>
      <c r="N658" s="27"/>
      <c r="O658" s="27"/>
      <c r="P658" s="27"/>
      <c r="Q658" s="27"/>
      <c r="R658" s="27"/>
      <c r="S658" s="29" t="str">
        <f aca="false">IF(OR(B658="",C658=""),"",IF(COUNTIFS($B$5:B658,B658,$C$5:C658,C658)=1,1,0))</f>
        <v/>
      </c>
      <c r="T658" s="29" t="str">
        <f aca="false">IF(OR(B658="",C658="",E658=""),"",IF(COUNTIFS($B$5:B658,B658,$C$5:C658,C658,$E$5:E658,E658)=1,1,0))</f>
        <v/>
      </c>
      <c r="U658" s="28" t="str">
        <f aca="false">IF(COUNTA(B658:C658,E658:F658,H658:P658)=0,"",IF(OR(B658="",C658="",E658=""),"Check: date, player, and context required",IF(AND(ISNUMBER(J658),ISNUMBER(I658),J658&gt;I658),"Check: solid contacts &gt; swings",IF(AND(ISNUMBER(L658),ISNUMBER(K658),L658&gt;K658),"Check: correct &gt; assessed decisions",IF(AND(ISNUMBER(N658),ISNUMBER(M658),N658&gt;M658),"Check: intended &gt; assessed landings",IF(AND(ISNUMBER(J658),I658=""),"Check: solid contacts without swings","OK"))))))</f>
        <v/>
      </c>
    </row>
    <row r="659" customFormat="false" ht="15" hidden="false" customHeight="false" outlineLevel="0" collapsed="false">
      <c r="B659" s="26"/>
      <c r="C659" s="27"/>
      <c r="D659" s="28" t="str">
        <f aca="false">IF(C659="","",IFERROR(INDEX(Players!$C$5:$C$104,MATCH(C659,Players!$B$5:$B$104,0)),"ID not found"))</f>
        <v/>
      </c>
      <c r="E659" s="27"/>
      <c r="F659" s="27"/>
      <c r="G659" s="28" t="str">
        <f aca="false">IF(F659="","",IFERROR(INDEX('Hitting Drills'!$D$6:$D$45,MATCH(F659,'Hitting Drills'!$B$6:$B$45,0)),"Not a hitting drill ID"))</f>
        <v/>
      </c>
      <c r="H659" s="27"/>
      <c r="I659" s="27"/>
      <c r="J659" s="27"/>
      <c r="K659" s="27"/>
      <c r="L659" s="27"/>
      <c r="M659" s="27"/>
      <c r="N659" s="27"/>
      <c r="O659" s="27"/>
      <c r="P659" s="27"/>
      <c r="Q659" s="27"/>
      <c r="R659" s="27"/>
      <c r="S659" s="29" t="str">
        <f aca="false">IF(OR(B659="",C659=""),"",IF(COUNTIFS($B$5:B659,B659,$C$5:C659,C659)=1,1,0))</f>
        <v/>
      </c>
      <c r="T659" s="29" t="str">
        <f aca="false">IF(OR(B659="",C659="",E659=""),"",IF(COUNTIFS($B$5:B659,B659,$C$5:C659,C659,$E$5:E659,E659)=1,1,0))</f>
        <v/>
      </c>
      <c r="U659" s="28" t="str">
        <f aca="false">IF(COUNTA(B659:C659,E659:F659,H659:P659)=0,"",IF(OR(B659="",C659="",E659=""),"Check: date, player, and context required",IF(AND(ISNUMBER(J659),ISNUMBER(I659),J659&gt;I659),"Check: solid contacts &gt; swings",IF(AND(ISNUMBER(L659),ISNUMBER(K659),L659&gt;K659),"Check: correct &gt; assessed decisions",IF(AND(ISNUMBER(N659),ISNUMBER(M659),N659&gt;M659),"Check: intended &gt; assessed landings",IF(AND(ISNUMBER(J659),I659=""),"Check: solid contacts without swings","OK"))))))</f>
        <v/>
      </c>
    </row>
    <row r="660" customFormat="false" ht="15" hidden="false" customHeight="false" outlineLevel="0" collapsed="false">
      <c r="B660" s="26"/>
      <c r="C660" s="27"/>
      <c r="D660" s="28" t="str">
        <f aca="false">IF(C660="","",IFERROR(INDEX(Players!$C$5:$C$104,MATCH(C660,Players!$B$5:$B$104,0)),"ID not found"))</f>
        <v/>
      </c>
      <c r="E660" s="27"/>
      <c r="F660" s="27"/>
      <c r="G660" s="28" t="str">
        <f aca="false">IF(F660="","",IFERROR(INDEX('Hitting Drills'!$D$6:$D$45,MATCH(F660,'Hitting Drills'!$B$6:$B$45,0)),"Not a hitting drill ID"))</f>
        <v/>
      </c>
      <c r="H660" s="27"/>
      <c r="I660" s="27"/>
      <c r="J660" s="27"/>
      <c r="K660" s="27"/>
      <c r="L660" s="27"/>
      <c r="M660" s="27"/>
      <c r="N660" s="27"/>
      <c r="O660" s="27"/>
      <c r="P660" s="27"/>
      <c r="Q660" s="27"/>
      <c r="R660" s="27"/>
      <c r="S660" s="29" t="str">
        <f aca="false">IF(OR(B660="",C660=""),"",IF(COUNTIFS($B$5:B660,B660,$C$5:C660,C660)=1,1,0))</f>
        <v/>
      </c>
      <c r="T660" s="29" t="str">
        <f aca="false">IF(OR(B660="",C660="",E660=""),"",IF(COUNTIFS($B$5:B660,B660,$C$5:C660,C660,$E$5:E660,E660)=1,1,0))</f>
        <v/>
      </c>
      <c r="U660" s="28" t="str">
        <f aca="false">IF(COUNTA(B660:C660,E660:F660,H660:P660)=0,"",IF(OR(B660="",C660="",E660=""),"Check: date, player, and context required",IF(AND(ISNUMBER(J660),ISNUMBER(I660),J660&gt;I660),"Check: solid contacts &gt; swings",IF(AND(ISNUMBER(L660),ISNUMBER(K660),L660&gt;K660),"Check: correct &gt; assessed decisions",IF(AND(ISNUMBER(N660),ISNUMBER(M660),N660&gt;M660),"Check: intended &gt; assessed landings",IF(AND(ISNUMBER(J660),I660=""),"Check: solid contacts without swings","OK"))))))</f>
        <v/>
      </c>
    </row>
    <row r="661" customFormat="false" ht="15" hidden="false" customHeight="false" outlineLevel="0" collapsed="false">
      <c r="B661" s="26"/>
      <c r="C661" s="27"/>
      <c r="D661" s="28" t="str">
        <f aca="false">IF(C661="","",IFERROR(INDEX(Players!$C$5:$C$104,MATCH(C661,Players!$B$5:$B$104,0)),"ID not found"))</f>
        <v/>
      </c>
      <c r="E661" s="27"/>
      <c r="F661" s="27"/>
      <c r="G661" s="28" t="str">
        <f aca="false">IF(F661="","",IFERROR(INDEX('Hitting Drills'!$D$6:$D$45,MATCH(F661,'Hitting Drills'!$B$6:$B$45,0)),"Not a hitting drill ID"))</f>
        <v/>
      </c>
      <c r="H661" s="27"/>
      <c r="I661" s="27"/>
      <c r="J661" s="27"/>
      <c r="K661" s="27"/>
      <c r="L661" s="27"/>
      <c r="M661" s="27"/>
      <c r="N661" s="27"/>
      <c r="O661" s="27"/>
      <c r="P661" s="27"/>
      <c r="Q661" s="27"/>
      <c r="R661" s="27"/>
      <c r="S661" s="29" t="str">
        <f aca="false">IF(OR(B661="",C661=""),"",IF(COUNTIFS($B$5:B661,B661,$C$5:C661,C661)=1,1,0))</f>
        <v/>
      </c>
      <c r="T661" s="29" t="str">
        <f aca="false">IF(OR(B661="",C661="",E661=""),"",IF(COUNTIFS($B$5:B661,B661,$C$5:C661,C661,$E$5:E661,E661)=1,1,0))</f>
        <v/>
      </c>
      <c r="U661" s="28" t="str">
        <f aca="false">IF(COUNTA(B661:C661,E661:F661,H661:P661)=0,"",IF(OR(B661="",C661="",E661=""),"Check: date, player, and context required",IF(AND(ISNUMBER(J661),ISNUMBER(I661),J661&gt;I661),"Check: solid contacts &gt; swings",IF(AND(ISNUMBER(L661),ISNUMBER(K661),L661&gt;K661),"Check: correct &gt; assessed decisions",IF(AND(ISNUMBER(N661),ISNUMBER(M661),N661&gt;M661),"Check: intended &gt; assessed landings",IF(AND(ISNUMBER(J661),I661=""),"Check: solid contacts without swings","OK"))))))</f>
        <v/>
      </c>
    </row>
    <row r="662" customFormat="false" ht="15" hidden="false" customHeight="false" outlineLevel="0" collapsed="false">
      <c r="B662" s="26"/>
      <c r="C662" s="27"/>
      <c r="D662" s="28" t="str">
        <f aca="false">IF(C662="","",IFERROR(INDEX(Players!$C$5:$C$104,MATCH(C662,Players!$B$5:$B$104,0)),"ID not found"))</f>
        <v/>
      </c>
      <c r="E662" s="27"/>
      <c r="F662" s="27"/>
      <c r="G662" s="28" t="str">
        <f aca="false">IF(F662="","",IFERROR(INDEX('Hitting Drills'!$D$6:$D$45,MATCH(F662,'Hitting Drills'!$B$6:$B$45,0)),"Not a hitting drill ID"))</f>
        <v/>
      </c>
      <c r="H662" s="27"/>
      <c r="I662" s="27"/>
      <c r="J662" s="27"/>
      <c r="K662" s="27"/>
      <c r="L662" s="27"/>
      <c r="M662" s="27"/>
      <c r="N662" s="27"/>
      <c r="O662" s="27"/>
      <c r="P662" s="27"/>
      <c r="Q662" s="27"/>
      <c r="R662" s="27"/>
      <c r="S662" s="29" t="str">
        <f aca="false">IF(OR(B662="",C662=""),"",IF(COUNTIFS($B$5:B662,B662,$C$5:C662,C662)=1,1,0))</f>
        <v/>
      </c>
      <c r="T662" s="29" t="str">
        <f aca="false">IF(OR(B662="",C662="",E662=""),"",IF(COUNTIFS($B$5:B662,B662,$C$5:C662,C662,$E$5:E662,E662)=1,1,0))</f>
        <v/>
      </c>
      <c r="U662" s="28" t="str">
        <f aca="false">IF(COUNTA(B662:C662,E662:F662,H662:P662)=0,"",IF(OR(B662="",C662="",E662=""),"Check: date, player, and context required",IF(AND(ISNUMBER(J662),ISNUMBER(I662),J662&gt;I662),"Check: solid contacts &gt; swings",IF(AND(ISNUMBER(L662),ISNUMBER(K662),L662&gt;K662),"Check: correct &gt; assessed decisions",IF(AND(ISNUMBER(N662),ISNUMBER(M662),N662&gt;M662),"Check: intended &gt; assessed landings",IF(AND(ISNUMBER(J662),I662=""),"Check: solid contacts without swings","OK"))))))</f>
        <v/>
      </c>
    </row>
    <row r="663" customFormat="false" ht="15" hidden="false" customHeight="false" outlineLevel="0" collapsed="false">
      <c r="B663" s="26"/>
      <c r="C663" s="27"/>
      <c r="D663" s="28" t="str">
        <f aca="false">IF(C663="","",IFERROR(INDEX(Players!$C$5:$C$104,MATCH(C663,Players!$B$5:$B$104,0)),"ID not found"))</f>
        <v/>
      </c>
      <c r="E663" s="27"/>
      <c r="F663" s="27"/>
      <c r="G663" s="28" t="str">
        <f aca="false">IF(F663="","",IFERROR(INDEX('Hitting Drills'!$D$6:$D$45,MATCH(F663,'Hitting Drills'!$B$6:$B$45,0)),"Not a hitting drill ID"))</f>
        <v/>
      </c>
      <c r="H663" s="27"/>
      <c r="I663" s="27"/>
      <c r="J663" s="27"/>
      <c r="K663" s="27"/>
      <c r="L663" s="27"/>
      <c r="M663" s="27"/>
      <c r="N663" s="27"/>
      <c r="O663" s="27"/>
      <c r="P663" s="27"/>
      <c r="Q663" s="27"/>
      <c r="R663" s="27"/>
      <c r="S663" s="29" t="str">
        <f aca="false">IF(OR(B663="",C663=""),"",IF(COUNTIFS($B$5:B663,B663,$C$5:C663,C663)=1,1,0))</f>
        <v/>
      </c>
      <c r="T663" s="29" t="str">
        <f aca="false">IF(OR(B663="",C663="",E663=""),"",IF(COUNTIFS($B$5:B663,B663,$C$5:C663,C663,$E$5:E663,E663)=1,1,0))</f>
        <v/>
      </c>
      <c r="U663" s="28" t="str">
        <f aca="false">IF(COUNTA(B663:C663,E663:F663,H663:P663)=0,"",IF(OR(B663="",C663="",E663=""),"Check: date, player, and context required",IF(AND(ISNUMBER(J663),ISNUMBER(I663),J663&gt;I663),"Check: solid contacts &gt; swings",IF(AND(ISNUMBER(L663),ISNUMBER(K663),L663&gt;K663),"Check: correct &gt; assessed decisions",IF(AND(ISNUMBER(N663),ISNUMBER(M663),N663&gt;M663),"Check: intended &gt; assessed landings",IF(AND(ISNUMBER(J663),I663=""),"Check: solid contacts without swings","OK"))))))</f>
        <v/>
      </c>
    </row>
    <row r="664" customFormat="false" ht="15" hidden="false" customHeight="false" outlineLevel="0" collapsed="false">
      <c r="B664" s="26"/>
      <c r="C664" s="27"/>
      <c r="D664" s="28" t="str">
        <f aca="false">IF(C664="","",IFERROR(INDEX(Players!$C$5:$C$104,MATCH(C664,Players!$B$5:$B$104,0)),"ID not found"))</f>
        <v/>
      </c>
      <c r="E664" s="27"/>
      <c r="F664" s="27"/>
      <c r="G664" s="28" t="str">
        <f aca="false">IF(F664="","",IFERROR(INDEX('Hitting Drills'!$D$6:$D$45,MATCH(F664,'Hitting Drills'!$B$6:$B$45,0)),"Not a hitting drill ID"))</f>
        <v/>
      </c>
      <c r="H664" s="27"/>
      <c r="I664" s="27"/>
      <c r="J664" s="27"/>
      <c r="K664" s="27"/>
      <c r="L664" s="27"/>
      <c r="M664" s="27"/>
      <c r="N664" s="27"/>
      <c r="O664" s="27"/>
      <c r="P664" s="27"/>
      <c r="Q664" s="27"/>
      <c r="R664" s="27"/>
      <c r="S664" s="29" t="str">
        <f aca="false">IF(OR(B664="",C664=""),"",IF(COUNTIFS($B$5:B664,B664,$C$5:C664,C664)=1,1,0))</f>
        <v/>
      </c>
      <c r="T664" s="29" t="str">
        <f aca="false">IF(OR(B664="",C664="",E664=""),"",IF(COUNTIFS($B$5:B664,B664,$C$5:C664,C664,$E$5:E664,E664)=1,1,0))</f>
        <v/>
      </c>
      <c r="U664" s="28" t="str">
        <f aca="false">IF(COUNTA(B664:C664,E664:F664,H664:P664)=0,"",IF(OR(B664="",C664="",E664=""),"Check: date, player, and context required",IF(AND(ISNUMBER(J664),ISNUMBER(I664),J664&gt;I664),"Check: solid contacts &gt; swings",IF(AND(ISNUMBER(L664),ISNUMBER(K664),L664&gt;K664),"Check: correct &gt; assessed decisions",IF(AND(ISNUMBER(N664),ISNUMBER(M664),N664&gt;M664),"Check: intended &gt; assessed landings",IF(AND(ISNUMBER(J664),I664=""),"Check: solid contacts without swings","OK"))))))</f>
        <v/>
      </c>
    </row>
    <row r="665" customFormat="false" ht="15" hidden="false" customHeight="false" outlineLevel="0" collapsed="false">
      <c r="B665" s="26"/>
      <c r="C665" s="27"/>
      <c r="D665" s="28" t="str">
        <f aca="false">IF(C665="","",IFERROR(INDEX(Players!$C$5:$C$104,MATCH(C665,Players!$B$5:$B$104,0)),"ID not found"))</f>
        <v/>
      </c>
      <c r="E665" s="27"/>
      <c r="F665" s="27"/>
      <c r="G665" s="28" t="str">
        <f aca="false">IF(F665="","",IFERROR(INDEX('Hitting Drills'!$D$6:$D$45,MATCH(F665,'Hitting Drills'!$B$6:$B$45,0)),"Not a hitting drill ID"))</f>
        <v/>
      </c>
      <c r="H665" s="27"/>
      <c r="I665" s="27"/>
      <c r="J665" s="27"/>
      <c r="K665" s="27"/>
      <c r="L665" s="27"/>
      <c r="M665" s="27"/>
      <c r="N665" s="27"/>
      <c r="O665" s="27"/>
      <c r="P665" s="27"/>
      <c r="Q665" s="27"/>
      <c r="R665" s="27"/>
      <c r="S665" s="29" t="str">
        <f aca="false">IF(OR(B665="",C665=""),"",IF(COUNTIFS($B$5:B665,B665,$C$5:C665,C665)=1,1,0))</f>
        <v/>
      </c>
      <c r="T665" s="29" t="str">
        <f aca="false">IF(OR(B665="",C665="",E665=""),"",IF(COUNTIFS($B$5:B665,B665,$C$5:C665,C665,$E$5:E665,E665)=1,1,0))</f>
        <v/>
      </c>
      <c r="U665" s="28" t="str">
        <f aca="false">IF(COUNTA(B665:C665,E665:F665,H665:P665)=0,"",IF(OR(B665="",C665="",E665=""),"Check: date, player, and context required",IF(AND(ISNUMBER(J665),ISNUMBER(I665),J665&gt;I665),"Check: solid contacts &gt; swings",IF(AND(ISNUMBER(L665),ISNUMBER(K665),L665&gt;K665),"Check: correct &gt; assessed decisions",IF(AND(ISNUMBER(N665),ISNUMBER(M665),N665&gt;M665),"Check: intended &gt; assessed landings",IF(AND(ISNUMBER(J665),I665=""),"Check: solid contacts without swings","OK"))))))</f>
        <v/>
      </c>
    </row>
    <row r="666" customFormat="false" ht="15" hidden="false" customHeight="false" outlineLevel="0" collapsed="false">
      <c r="B666" s="26"/>
      <c r="C666" s="27"/>
      <c r="D666" s="28" t="str">
        <f aca="false">IF(C666="","",IFERROR(INDEX(Players!$C$5:$C$104,MATCH(C666,Players!$B$5:$B$104,0)),"ID not found"))</f>
        <v/>
      </c>
      <c r="E666" s="27"/>
      <c r="F666" s="27"/>
      <c r="G666" s="28" t="str">
        <f aca="false">IF(F666="","",IFERROR(INDEX('Hitting Drills'!$D$6:$D$45,MATCH(F666,'Hitting Drills'!$B$6:$B$45,0)),"Not a hitting drill ID"))</f>
        <v/>
      </c>
      <c r="H666" s="27"/>
      <c r="I666" s="27"/>
      <c r="J666" s="27"/>
      <c r="K666" s="27"/>
      <c r="L666" s="27"/>
      <c r="M666" s="27"/>
      <c r="N666" s="27"/>
      <c r="O666" s="27"/>
      <c r="P666" s="27"/>
      <c r="Q666" s="27"/>
      <c r="R666" s="27"/>
      <c r="S666" s="29" t="str">
        <f aca="false">IF(OR(B666="",C666=""),"",IF(COUNTIFS($B$5:B666,B666,$C$5:C666,C666)=1,1,0))</f>
        <v/>
      </c>
      <c r="T666" s="29" t="str">
        <f aca="false">IF(OR(B666="",C666="",E666=""),"",IF(COUNTIFS($B$5:B666,B666,$C$5:C666,C666,$E$5:E666,E666)=1,1,0))</f>
        <v/>
      </c>
      <c r="U666" s="28" t="str">
        <f aca="false">IF(COUNTA(B666:C666,E666:F666,H666:P666)=0,"",IF(OR(B666="",C666="",E666=""),"Check: date, player, and context required",IF(AND(ISNUMBER(J666),ISNUMBER(I666),J666&gt;I666),"Check: solid contacts &gt; swings",IF(AND(ISNUMBER(L666),ISNUMBER(K666),L666&gt;K666),"Check: correct &gt; assessed decisions",IF(AND(ISNUMBER(N666),ISNUMBER(M666),N666&gt;M666),"Check: intended &gt; assessed landings",IF(AND(ISNUMBER(J666),I666=""),"Check: solid contacts without swings","OK"))))))</f>
        <v/>
      </c>
    </row>
    <row r="667" customFormat="false" ht="15" hidden="false" customHeight="false" outlineLevel="0" collapsed="false">
      <c r="B667" s="26"/>
      <c r="C667" s="27"/>
      <c r="D667" s="28" t="str">
        <f aca="false">IF(C667="","",IFERROR(INDEX(Players!$C$5:$C$104,MATCH(C667,Players!$B$5:$B$104,0)),"ID not found"))</f>
        <v/>
      </c>
      <c r="E667" s="27"/>
      <c r="F667" s="27"/>
      <c r="G667" s="28" t="str">
        <f aca="false">IF(F667="","",IFERROR(INDEX('Hitting Drills'!$D$6:$D$45,MATCH(F667,'Hitting Drills'!$B$6:$B$45,0)),"Not a hitting drill ID"))</f>
        <v/>
      </c>
      <c r="H667" s="27"/>
      <c r="I667" s="27"/>
      <c r="J667" s="27"/>
      <c r="K667" s="27"/>
      <c r="L667" s="27"/>
      <c r="M667" s="27"/>
      <c r="N667" s="27"/>
      <c r="O667" s="27"/>
      <c r="P667" s="27"/>
      <c r="Q667" s="27"/>
      <c r="R667" s="27"/>
      <c r="S667" s="29" t="str">
        <f aca="false">IF(OR(B667="",C667=""),"",IF(COUNTIFS($B$5:B667,B667,$C$5:C667,C667)=1,1,0))</f>
        <v/>
      </c>
      <c r="T667" s="29" t="str">
        <f aca="false">IF(OR(B667="",C667="",E667=""),"",IF(COUNTIFS($B$5:B667,B667,$C$5:C667,C667,$E$5:E667,E667)=1,1,0))</f>
        <v/>
      </c>
      <c r="U667" s="28" t="str">
        <f aca="false">IF(COUNTA(B667:C667,E667:F667,H667:P667)=0,"",IF(OR(B667="",C667="",E667=""),"Check: date, player, and context required",IF(AND(ISNUMBER(J667),ISNUMBER(I667),J667&gt;I667),"Check: solid contacts &gt; swings",IF(AND(ISNUMBER(L667),ISNUMBER(K667),L667&gt;K667),"Check: correct &gt; assessed decisions",IF(AND(ISNUMBER(N667),ISNUMBER(M667),N667&gt;M667),"Check: intended &gt; assessed landings",IF(AND(ISNUMBER(J667),I667=""),"Check: solid contacts without swings","OK"))))))</f>
        <v/>
      </c>
    </row>
    <row r="668" customFormat="false" ht="15" hidden="false" customHeight="false" outlineLevel="0" collapsed="false">
      <c r="B668" s="26"/>
      <c r="C668" s="27"/>
      <c r="D668" s="28" t="str">
        <f aca="false">IF(C668="","",IFERROR(INDEX(Players!$C$5:$C$104,MATCH(C668,Players!$B$5:$B$104,0)),"ID not found"))</f>
        <v/>
      </c>
      <c r="E668" s="27"/>
      <c r="F668" s="27"/>
      <c r="G668" s="28" t="str">
        <f aca="false">IF(F668="","",IFERROR(INDEX('Hitting Drills'!$D$6:$D$45,MATCH(F668,'Hitting Drills'!$B$6:$B$45,0)),"Not a hitting drill ID"))</f>
        <v/>
      </c>
      <c r="H668" s="27"/>
      <c r="I668" s="27"/>
      <c r="J668" s="27"/>
      <c r="K668" s="27"/>
      <c r="L668" s="27"/>
      <c r="M668" s="27"/>
      <c r="N668" s="27"/>
      <c r="O668" s="27"/>
      <c r="P668" s="27"/>
      <c r="Q668" s="27"/>
      <c r="R668" s="27"/>
      <c r="S668" s="29" t="str">
        <f aca="false">IF(OR(B668="",C668=""),"",IF(COUNTIFS($B$5:B668,B668,$C$5:C668,C668)=1,1,0))</f>
        <v/>
      </c>
      <c r="T668" s="29" t="str">
        <f aca="false">IF(OR(B668="",C668="",E668=""),"",IF(COUNTIFS($B$5:B668,B668,$C$5:C668,C668,$E$5:E668,E668)=1,1,0))</f>
        <v/>
      </c>
      <c r="U668" s="28" t="str">
        <f aca="false">IF(COUNTA(B668:C668,E668:F668,H668:P668)=0,"",IF(OR(B668="",C668="",E668=""),"Check: date, player, and context required",IF(AND(ISNUMBER(J668),ISNUMBER(I668),J668&gt;I668),"Check: solid contacts &gt; swings",IF(AND(ISNUMBER(L668),ISNUMBER(K668),L668&gt;K668),"Check: correct &gt; assessed decisions",IF(AND(ISNUMBER(N668),ISNUMBER(M668),N668&gt;M668),"Check: intended &gt; assessed landings",IF(AND(ISNUMBER(J668),I668=""),"Check: solid contacts without swings","OK"))))))</f>
        <v/>
      </c>
    </row>
    <row r="669" customFormat="false" ht="15" hidden="false" customHeight="false" outlineLevel="0" collapsed="false">
      <c r="B669" s="26"/>
      <c r="C669" s="27"/>
      <c r="D669" s="28" t="str">
        <f aca="false">IF(C669="","",IFERROR(INDEX(Players!$C$5:$C$104,MATCH(C669,Players!$B$5:$B$104,0)),"ID not found"))</f>
        <v/>
      </c>
      <c r="E669" s="27"/>
      <c r="F669" s="27"/>
      <c r="G669" s="28" t="str">
        <f aca="false">IF(F669="","",IFERROR(INDEX('Hitting Drills'!$D$6:$D$45,MATCH(F669,'Hitting Drills'!$B$6:$B$45,0)),"Not a hitting drill ID"))</f>
        <v/>
      </c>
      <c r="H669" s="27"/>
      <c r="I669" s="27"/>
      <c r="J669" s="27"/>
      <c r="K669" s="27"/>
      <c r="L669" s="27"/>
      <c r="M669" s="27"/>
      <c r="N669" s="27"/>
      <c r="O669" s="27"/>
      <c r="P669" s="27"/>
      <c r="Q669" s="27"/>
      <c r="R669" s="27"/>
      <c r="S669" s="29" t="str">
        <f aca="false">IF(OR(B669="",C669=""),"",IF(COUNTIFS($B$5:B669,B669,$C$5:C669,C669)=1,1,0))</f>
        <v/>
      </c>
      <c r="T669" s="29" t="str">
        <f aca="false">IF(OR(B669="",C669="",E669=""),"",IF(COUNTIFS($B$5:B669,B669,$C$5:C669,C669,$E$5:E669,E669)=1,1,0))</f>
        <v/>
      </c>
      <c r="U669" s="28" t="str">
        <f aca="false">IF(COUNTA(B669:C669,E669:F669,H669:P669)=0,"",IF(OR(B669="",C669="",E669=""),"Check: date, player, and context required",IF(AND(ISNUMBER(J669),ISNUMBER(I669),J669&gt;I669),"Check: solid contacts &gt; swings",IF(AND(ISNUMBER(L669),ISNUMBER(K669),L669&gt;K669),"Check: correct &gt; assessed decisions",IF(AND(ISNUMBER(N669),ISNUMBER(M669),N669&gt;M669),"Check: intended &gt; assessed landings",IF(AND(ISNUMBER(J669),I669=""),"Check: solid contacts without swings","OK"))))))</f>
        <v/>
      </c>
    </row>
    <row r="670" customFormat="false" ht="15" hidden="false" customHeight="false" outlineLevel="0" collapsed="false">
      <c r="B670" s="26"/>
      <c r="C670" s="27"/>
      <c r="D670" s="28" t="str">
        <f aca="false">IF(C670="","",IFERROR(INDEX(Players!$C$5:$C$104,MATCH(C670,Players!$B$5:$B$104,0)),"ID not found"))</f>
        <v/>
      </c>
      <c r="E670" s="27"/>
      <c r="F670" s="27"/>
      <c r="G670" s="28" t="str">
        <f aca="false">IF(F670="","",IFERROR(INDEX('Hitting Drills'!$D$6:$D$45,MATCH(F670,'Hitting Drills'!$B$6:$B$45,0)),"Not a hitting drill ID"))</f>
        <v/>
      </c>
      <c r="H670" s="27"/>
      <c r="I670" s="27"/>
      <c r="J670" s="27"/>
      <c r="K670" s="27"/>
      <c r="L670" s="27"/>
      <c r="M670" s="27"/>
      <c r="N670" s="27"/>
      <c r="O670" s="27"/>
      <c r="P670" s="27"/>
      <c r="Q670" s="27"/>
      <c r="R670" s="27"/>
      <c r="S670" s="29" t="str">
        <f aca="false">IF(OR(B670="",C670=""),"",IF(COUNTIFS($B$5:B670,B670,$C$5:C670,C670)=1,1,0))</f>
        <v/>
      </c>
      <c r="T670" s="29" t="str">
        <f aca="false">IF(OR(B670="",C670="",E670=""),"",IF(COUNTIFS($B$5:B670,B670,$C$5:C670,C670,$E$5:E670,E670)=1,1,0))</f>
        <v/>
      </c>
      <c r="U670" s="28" t="str">
        <f aca="false">IF(COUNTA(B670:C670,E670:F670,H670:P670)=0,"",IF(OR(B670="",C670="",E670=""),"Check: date, player, and context required",IF(AND(ISNUMBER(J670),ISNUMBER(I670),J670&gt;I670),"Check: solid contacts &gt; swings",IF(AND(ISNUMBER(L670),ISNUMBER(K670),L670&gt;K670),"Check: correct &gt; assessed decisions",IF(AND(ISNUMBER(N670),ISNUMBER(M670),N670&gt;M670),"Check: intended &gt; assessed landings",IF(AND(ISNUMBER(J670),I670=""),"Check: solid contacts without swings","OK"))))))</f>
        <v/>
      </c>
    </row>
    <row r="671" customFormat="false" ht="15" hidden="false" customHeight="false" outlineLevel="0" collapsed="false">
      <c r="B671" s="26"/>
      <c r="C671" s="27"/>
      <c r="D671" s="28" t="str">
        <f aca="false">IF(C671="","",IFERROR(INDEX(Players!$C$5:$C$104,MATCH(C671,Players!$B$5:$B$104,0)),"ID not found"))</f>
        <v/>
      </c>
      <c r="E671" s="27"/>
      <c r="F671" s="27"/>
      <c r="G671" s="28" t="str">
        <f aca="false">IF(F671="","",IFERROR(INDEX('Hitting Drills'!$D$6:$D$45,MATCH(F671,'Hitting Drills'!$B$6:$B$45,0)),"Not a hitting drill ID"))</f>
        <v/>
      </c>
      <c r="H671" s="27"/>
      <c r="I671" s="27"/>
      <c r="J671" s="27"/>
      <c r="K671" s="27"/>
      <c r="L671" s="27"/>
      <c r="M671" s="27"/>
      <c r="N671" s="27"/>
      <c r="O671" s="27"/>
      <c r="P671" s="27"/>
      <c r="Q671" s="27"/>
      <c r="R671" s="27"/>
      <c r="S671" s="29" t="str">
        <f aca="false">IF(OR(B671="",C671=""),"",IF(COUNTIFS($B$5:B671,B671,$C$5:C671,C671)=1,1,0))</f>
        <v/>
      </c>
      <c r="T671" s="29" t="str">
        <f aca="false">IF(OR(B671="",C671="",E671=""),"",IF(COUNTIFS($B$5:B671,B671,$C$5:C671,C671,$E$5:E671,E671)=1,1,0))</f>
        <v/>
      </c>
      <c r="U671" s="28" t="str">
        <f aca="false">IF(COUNTA(B671:C671,E671:F671,H671:P671)=0,"",IF(OR(B671="",C671="",E671=""),"Check: date, player, and context required",IF(AND(ISNUMBER(J671),ISNUMBER(I671),J671&gt;I671),"Check: solid contacts &gt; swings",IF(AND(ISNUMBER(L671),ISNUMBER(K671),L671&gt;K671),"Check: correct &gt; assessed decisions",IF(AND(ISNUMBER(N671),ISNUMBER(M671),N671&gt;M671),"Check: intended &gt; assessed landings",IF(AND(ISNUMBER(J671),I671=""),"Check: solid contacts without swings","OK"))))))</f>
        <v/>
      </c>
    </row>
    <row r="672" customFormat="false" ht="15" hidden="false" customHeight="false" outlineLevel="0" collapsed="false">
      <c r="B672" s="26"/>
      <c r="C672" s="27"/>
      <c r="D672" s="28" t="str">
        <f aca="false">IF(C672="","",IFERROR(INDEX(Players!$C$5:$C$104,MATCH(C672,Players!$B$5:$B$104,0)),"ID not found"))</f>
        <v/>
      </c>
      <c r="E672" s="27"/>
      <c r="F672" s="27"/>
      <c r="G672" s="28" t="str">
        <f aca="false">IF(F672="","",IFERROR(INDEX('Hitting Drills'!$D$6:$D$45,MATCH(F672,'Hitting Drills'!$B$6:$B$45,0)),"Not a hitting drill ID"))</f>
        <v/>
      </c>
      <c r="H672" s="27"/>
      <c r="I672" s="27"/>
      <c r="J672" s="27"/>
      <c r="K672" s="27"/>
      <c r="L672" s="27"/>
      <c r="M672" s="27"/>
      <c r="N672" s="27"/>
      <c r="O672" s="27"/>
      <c r="P672" s="27"/>
      <c r="Q672" s="27"/>
      <c r="R672" s="27"/>
      <c r="S672" s="29" t="str">
        <f aca="false">IF(OR(B672="",C672=""),"",IF(COUNTIFS($B$5:B672,B672,$C$5:C672,C672)=1,1,0))</f>
        <v/>
      </c>
      <c r="T672" s="29" t="str">
        <f aca="false">IF(OR(B672="",C672="",E672=""),"",IF(COUNTIFS($B$5:B672,B672,$C$5:C672,C672,$E$5:E672,E672)=1,1,0))</f>
        <v/>
      </c>
      <c r="U672" s="28" t="str">
        <f aca="false">IF(COUNTA(B672:C672,E672:F672,H672:P672)=0,"",IF(OR(B672="",C672="",E672=""),"Check: date, player, and context required",IF(AND(ISNUMBER(J672),ISNUMBER(I672),J672&gt;I672),"Check: solid contacts &gt; swings",IF(AND(ISNUMBER(L672),ISNUMBER(K672),L672&gt;K672),"Check: correct &gt; assessed decisions",IF(AND(ISNUMBER(N672),ISNUMBER(M672),N672&gt;M672),"Check: intended &gt; assessed landings",IF(AND(ISNUMBER(J672),I672=""),"Check: solid contacts without swings","OK"))))))</f>
        <v/>
      </c>
    </row>
    <row r="673" customFormat="false" ht="15" hidden="false" customHeight="false" outlineLevel="0" collapsed="false">
      <c r="B673" s="26"/>
      <c r="C673" s="27"/>
      <c r="D673" s="28" t="str">
        <f aca="false">IF(C673="","",IFERROR(INDEX(Players!$C$5:$C$104,MATCH(C673,Players!$B$5:$B$104,0)),"ID not found"))</f>
        <v/>
      </c>
      <c r="E673" s="27"/>
      <c r="F673" s="27"/>
      <c r="G673" s="28" t="str">
        <f aca="false">IF(F673="","",IFERROR(INDEX('Hitting Drills'!$D$6:$D$45,MATCH(F673,'Hitting Drills'!$B$6:$B$45,0)),"Not a hitting drill ID"))</f>
        <v/>
      </c>
      <c r="H673" s="27"/>
      <c r="I673" s="27"/>
      <c r="J673" s="27"/>
      <c r="K673" s="27"/>
      <c r="L673" s="27"/>
      <c r="M673" s="27"/>
      <c r="N673" s="27"/>
      <c r="O673" s="27"/>
      <c r="P673" s="27"/>
      <c r="Q673" s="27"/>
      <c r="R673" s="27"/>
      <c r="S673" s="29" t="str">
        <f aca="false">IF(OR(B673="",C673=""),"",IF(COUNTIFS($B$5:B673,B673,$C$5:C673,C673)=1,1,0))</f>
        <v/>
      </c>
      <c r="T673" s="29" t="str">
        <f aca="false">IF(OR(B673="",C673="",E673=""),"",IF(COUNTIFS($B$5:B673,B673,$C$5:C673,C673,$E$5:E673,E673)=1,1,0))</f>
        <v/>
      </c>
      <c r="U673" s="28" t="str">
        <f aca="false">IF(COUNTA(B673:C673,E673:F673,H673:P673)=0,"",IF(OR(B673="",C673="",E673=""),"Check: date, player, and context required",IF(AND(ISNUMBER(J673),ISNUMBER(I673),J673&gt;I673),"Check: solid contacts &gt; swings",IF(AND(ISNUMBER(L673),ISNUMBER(K673),L673&gt;K673),"Check: correct &gt; assessed decisions",IF(AND(ISNUMBER(N673),ISNUMBER(M673),N673&gt;M673),"Check: intended &gt; assessed landings",IF(AND(ISNUMBER(J673),I673=""),"Check: solid contacts without swings","OK"))))))</f>
        <v/>
      </c>
    </row>
    <row r="674" customFormat="false" ht="15" hidden="false" customHeight="false" outlineLevel="0" collapsed="false">
      <c r="B674" s="26"/>
      <c r="C674" s="27"/>
      <c r="D674" s="28" t="str">
        <f aca="false">IF(C674="","",IFERROR(INDEX(Players!$C$5:$C$104,MATCH(C674,Players!$B$5:$B$104,0)),"ID not found"))</f>
        <v/>
      </c>
      <c r="E674" s="27"/>
      <c r="F674" s="27"/>
      <c r="G674" s="28" t="str">
        <f aca="false">IF(F674="","",IFERROR(INDEX('Hitting Drills'!$D$6:$D$45,MATCH(F674,'Hitting Drills'!$B$6:$B$45,0)),"Not a hitting drill ID"))</f>
        <v/>
      </c>
      <c r="H674" s="27"/>
      <c r="I674" s="27"/>
      <c r="J674" s="27"/>
      <c r="K674" s="27"/>
      <c r="L674" s="27"/>
      <c r="M674" s="27"/>
      <c r="N674" s="27"/>
      <c r="O674" s="27"/>
      <c r="P674" s="27"/>
      <c r="Q674" s="27"/>
      <c r="R674" s="27"/>
      <c r="S674" s="29" t="str">
        <f aca="false">IF(OR(B674="",C674=""),"",IF(COUNTIFS($B$5:B674,B674,$C$5:C674,C674)=1,1,0))</f>
        <v/>
      </c>
      <c r="T674" s="29" t="str">
        <f aca="false">IF(OR(B674="",C674="",E674=""),"",IF(COUNTIFS($B$5:B674,B674,$C$5:C674,C674,$E$5:E674,E674)=1,1,0))</f>
        <v/>
      </c>
      <c r="U674" s="28" t="str">
        <f aca="false">IF(COUNTA(B674:C674,E674:F674,H674:P674)=0,"",IF(OR(B674="",C674="",E674=""),"Check: date, player, and context required",IF(AND(ISNUMBER(J674),ISNUMBER(I674),J674&gt;I674),"Check: solid contacts &gt; swings",IF(AND(ISNUMBER(L674),ISNUMBER(K674),L674&gt;K674),"Check: correct &gt; assessed decisions",IF(AND(ISNUMBER(N674),ISNUMBER(M674),N674&gt;M674),"Check: intended &gt; assessed landings",IF(AND(ISNUMBER(J674),I674=""),"Check: solid contacts without swings","OK"))))))</f>
        <v/>
      </c>
    </row>
    <row r="675" customFormat="false" ht="15" hidden="false" customHeight="false" outlineLevel="0" collapsed="false">
      <c r="B675" s="26"/>
      <c r="C675" s="27"/>
      <c r="D675" s="28" t="str">
        <f aca="false">IF(C675="","",IFERROR(INDEX(Players!$C$5:$C$104,MATCH(C675,Players!$B$5:$B$104,0)),"ID not found"))</f>
        <v/>
      </c>
      <c r="E675" s="27"/>
      <c r="F675" s="27"/>
      <c r="G675" s="28" t="str">
        <f aca="false">IF(F675="","",IFERROR(INDEX('Hitting Drills'!$D$6:$D$45,MATCH(F675,'Hitting Drills'!$B$6:$B$45,0)),"Not a hitting drill ID"))</f>
        <v/>
      </c>
      <c r="H675" s="27"/>
      <c r="I675" s="27"/>
      <c r="J675" s="27"/>
      <c r="K675" s="27"/>
      <c r="L675" s="27"/>
      <c r="M675" s="27"/>
      <c r="N675" s="27"/>
      <c r="O675" s="27"/>
      <c r="P675" s="27"/>
      <c r="Q675" s="27"/>
      <c r="R675" s="27"/>
      <c r="S675" s="29" t="str">
        <f aca="false">IF(OR(B675="",C675=""),"",IF(COUNTIFS($B$5:B675,B675,$C$5:C675,C675)=1,1,0))</f>
        <v/>
      </c>
      <c r="T675" s="29" t="str">
        <f aca="false">IF(OR(B675="",C675="",E675=""),"",IF(COUNTIFS($B$5:B675,B675,$C$5:C675,C675,$E$5:E675,E675)=1,1,0))</f>
        <v/>
      </c>
      <c r="U675" s="28" t="str">
        <f aca="false">IF(COUNTA(B675:C675,E675:F675,H675:P675)=0,"",IF(OR(B675="",C675="",E675=""),"Check: date, player, and context required",IF(AND(ISNUMBER(J675),ISNUMBER(I675),J675&gt;I675),"Check: solid contacts &gt; swings",IF(AND(ISNUMBER(L675),ISNUMBER(K675),L675&gt;K675),"Check: correct &gt; assessed decisions",IF(AND(ISNUMBER(N675),ISNUMBER(M675),N675&gt;M675),"Check: intended &gt; assessed landings",IF(AND(ISNUMBER(J675),I675=""),"Check: solid contacts without swings","OK"))))))</f>
        <v/>
      </c>
    </row>
    <row r="676" customFormat="false" ht="15" hidden="false" customHeight="false" outlineLevel="0" collapsed="false">
      <c r="B676" s="26"/>
      <c r="C676" s="27"/>
      <c r="D676" s="28" t="str">
        <f aca="false">IF(C676="","",IFERROR(INDEX(Players!$C$5:$C$104,MATCH(C676,Players!$B$5:$B$104,0)),"ID not found"))</f>
        <v/>
      </c>
      <c r="E676" s="27"/>
      <c r="F676" s="27"/>
      <c r="G676" s="28" t="str">
        <f aca="false">IF(F676="","",IFERROR(INDEX('Hitting Drills'!$D$6:$D$45,MATCH(F676,'Hitting Drills'!$B$6:$B$45,0)),"Not a hitting drill ID"))</f>
        <v/>
      </c>
      <c r="H676" s="27"/>
      <c r="I676" s="27"/>
      <c r="J676" s="27"/>
      <c r="K676" s="27"/>
      <c r="L676" s="27"/>
      <c r="M676" s="27"/>
      <c r="N676" s="27"/>
      <c r="O676" s="27"/>
      <c r="P676" s="27"/>
      <c r="Q676" s="27"/>
      <c r="R676" s="27"/>
      <c r="S676" s="29" t="str">
        <f aca="false">IF(OR(B676="",C676=""),"",IF(COUNTIFS($B$5:B676,B676,$C$5:C676,C676)=1,1,0))</f>
        <v/>
      </c>
      <c r="T676" s="29" t="str">
        <f aca="false">IF(OR(B676="",C676="",E676=""),"",IF(COUNTIFS($B$5:B676,B676,$C$5:C676,C676,$E$5:E676,E676)=1,1,0))</f>
        <v/>
      </c>
      <c r="U676" s="28" t="str">
        <f aca="false">IF(COUNTA(B676:C676,E676:F676,H676:P676)=0,"",IF(OR(B676="",C676="",E676=""),"Check: date, player, and context required",IF(AND(ISNUMBER(J676),ISNUMBER(I676),J676&gt;I676),"Check: solid contacts &gt; swings",IF(AND(ISNUMBER(L676),ISNUMBER(K676),L676&gt;K676),"Check: correct &gt; assessed decisions",IF(AND(ISNUMBER(N676),ISNUMBER(M676),N676&gt;M676),"Check: intended &gt; assessed landings",IF(AND(ISNUMBER(J676),I676=""),"Check: solid contacts without swings","OK"))))))</f>
        <v/>
      </c>
    </row>
    <row r="677" customFormat="false" ht="15" hidden="false" customHeight="false" outlineLevel="0" collapsed="false">
      <c r="B677" s="26"/>
      <c r="C677" s="27"/>
      <c r="D677" s="28" t="str">
        <f aca="false">IF(C677="","",IFERROR(INDEX(Players!$C$5:$C$104,MATCH(C677,Players!$B$5:$B$104,0)),"ID not found"))</f>
        <v/>
      </c>
      <c r="E677" s="27"/>
      <c r="F677" s="27"/>
      <c r="G677" s="28" t="str">
        <f aca="false">IF(F677="","",IFERROR(INDEX('Hitting Drills'!$D$6:$D$45,MATCH(F677,'Hitting Drills'!$B$6:$B$45,0)),"Not a hitting drill ID"))</f>
        <v/>
      </c>
      <c r="H677" s="27"/>
      <c r="I677" s="27"/>
      <c r="J677" s="27"/>
      <c r="K677" s="27"/>
      <c r="L677" s="27"/>
      <c r="M677" s="27"/>
      <c r="N677" s="27"/>
      <c r="O677" s="27"/>
      <c r="P677" s="27"/>
      <c r="Q677" s="27"/>
      <c r="R677" s="27"/>
      <c r="S677" s="29" t="str">
        <f aca="false">IF(OR(B677="",C677=""),"",IF(COUNTIFS($B$5:B677,B677,$C$5:C677,C677)=1,1,0))</f>
        <v/>
      </c>
      <c r="T677" s="29" t="str">
        <f aca="false">IF(OR(B677="",C677="",E677=""),"",IF(COUNTIFS($B$5:B677,B677,$C$5:C677,C677,$E$5:E677,E677)=1,1,0))</f>
        <v/>
      </c>
      <c r="U677" s="28" t="str">
        <f aca="false">IF(COUNTA(B677:C677,E677:F677,H677:P677)=0,"",IF(OR(B677="",C677="",E677=""),"Check: date, player, and context required",IF(AND(ISNUMBER(J677),ISNUMBER(I677),J677&gt;I677),"Check: solid contacts &gt; swings",IF(AND(ISNUMBER(L677),ISNUMBER(K677),L677&gt;K677),"Check: correct &gt; assessed decisions",IF(AND(ISNUMBER(N677),ISNUMBER(M677),N677&gt;M677),"Check: intended &gt; assessed landings",IF(AND(ISNUMBER(J677),I677=""),"Check: solid contacts without swings","OK"))))))</f>
        <v/>
      </c>
    </row>
    <row r="678" customFormat="false" ht="15" hidden="false" customHeight="false" outlineLevel="0" collapsed="false">
      <c r="B678" s="26"/>
      <c r="C678" s="27"/>
      <c r="D678" s="28" t="str">
        <f aca="false">IF(C678="","",IFERROR(INDEX(Players!$C$5:$C$104,MATCH(C678,Players!$B$5:$B$104,0)),"ID not found"))</f>
        <v/>
      </c>
      <c r="E678" s="27"/>
      <c r="F678" s="27"/>
      <c r="G678" s="28" t="str">
        <f aca="false">IF(F678="","",IFERROR(INDEX('Hitting Drills'!$D$6:$D$45,MATCH(F678,'Hitting Drills'!$B$6:$B$45,0)),"Not a hitting drill ID"))</f>
        <v/>
      </c>
      <c r="H678" s="27"/>
      <c r="I678" s="27"/>
      <c r="J678" s="27"/>
      <c r="K678" s="27"/>
      <c r="L678" s="27"/>
      <c r="M678" s="27"/>
      <c r="N678" s="27"/>
      <c r="O678" s="27"/>
      <c r="P678" s="27"/>
      <c r="Q678" s="27"/>
      <c r="R678" s="27"/>
      <c r="S678" s="29" t="str">
        <f aca="false">IF(OR(B678="",C678=""),"",IF(COUNTIFS($B$5:B678,B678,$C$5:C678,C678)=1,1,0))</f>
        <v/>
      </c>
      <c r="T678" s="29" t="str">
        <f aca="false">IF(OR(B678="",C678="",E678=""),"",IF(COUNTIFS($B$5:B678,B678,$C$5:C678,C678,$E$5:E678,E678)=1,1,0))</f>
        <v/>
      </c>
      <c r="U678" s="28" t="str">
        <f aca="false">IF(COUNTA(B678:C678,E678:F678,H678:P678)=0,"",IF(OR(B678="",C678="",E678=""),"Check: date, player, and context required",IF(AND(ISNUMBER(J678),ISNUMBER(I678),J678&gt;I678),"Check: solid contacts &gt; swings",IF(AND(ISNUMBER(L678),ISNUMBER(K678),L678&gt;K678),"Check: correct &gt; assessed decisions",IF(AND(ISNUMBER(N678),ISNUMBER(M678),N678&gt;M678),"Check: intended &gt; assessed landings",IF(AND(ISNUMBER(J678),I678=""),"Check: solid contacts without swings","OK"))))))</f>
        <v/>
      </c>
    </row>
    <row r="679" customFormat="false" ht="15" hidden="false" customHeight="false" outlineLevel="0" collapsed="false">
      <c r="B679" s="26"/>
      <c r="C679" s="27"/>
      <c r="D679" s="28" t="str">
        <f aca="false">IF(C679="","",IFERROR(INDEX(Players!$C$5:$C$104,MATCH(C679,Players!$B$5:$B$104,0)),"ID not found"))</f>
        <v/>
      </c>
      <c r="E679" s="27"/>
      <c r="F679" s="27"/>
      <c r="G679" s="28" t="str">
        <f aca="false">IF(F679="","",IFERROR(INDEX('Hitting Drills'!$D$6:$D$45,MATCH(F679,'Hitting Drills'!$B$6:$B$45,0)),"Not a hitting drill ID"))</f>
        <v/>
      </c>
      <c r="H679" s="27"/>
      <c r="I679" s="27"/>
      <c r="J679" s="27"/>
      <c r="K679" s="27"/>
      <c r="L679" s="27"/>
      <c r="M679" s="27"/>
      <c r="N679" s="27"/>
      <c r="O679" s="27"/>
      <c r="P679" s="27"/>
      <c r="Q679" s="27"/>
      <c r="R679" s="27"/>
      <c r="S679" s="29" t="str">
        <f aca="false">IF(OR(B679="",C679=""),"",IF(COUNTIFS($B$5:B679,B679,$C$5:C679,C679)=1,1,0))</f>
        <v/>
      </c>
      <c r="T679" s="29" t="str">
        <f aca="false">IF(OR(B679="",C679="",E679=""),"",IF(COUNTIFS($B$5:B679,B679,$C$5:C679,C679,$E$5:E679,E679)=1,1,0))</f>
        <v/>
      </c>
      <c r="U679" s="28" t="str">
        <f aca="false">IF(COUNTA(B679:C679,E679:F679,H679:P679)=0,"",IF(OR(B679="",C679="",E679=""),"Check: date, player, and context required",IF(AND(ISNUMBER(J679),ISNUMBER(I679),J679&gt;I679),"Check: solid contacts &gt; swings",IF(AND(ISNUMBER(L679),ISNUMBER(K679),L679&gt;K679),"Check: correct &gt; assessed decisions",IF(AND(ISNUMBER(N679),ISNUMBER(M679),N679&gt;M679),"Check: intended &gt; assessed landings",IF(AND(ISNUMBER(J679),I679=""),"Check: solid contacts without swings","OK"))))))</f>
        <v/>
      </c>
    </row>
    <row r="680" customFormat="false" ht="15" hidden="false" customHeight="false" outlineLevel="0" collapsed="false">
      <c r="B680" s="26"/>
      <c r="C680" s="27"/>
      <c r="D680" s="28" t="str">
        <f aca="false">IF(C680="","",IFERROR(INDEX(Players!$C$5:$C$104,MATCH(C680,Players!$B$5:$B$104,0)),"ID not found"))</f>
        <v/>
      </c>
      <c r="E680" s="27"/>
      <c r="F680" s="27"/>
      <c r="G680" s="28" t="str">
        <f aca="false">IF(F680="","",IFERROR(INDEX('Hitting Drills'!$D$6:$D$45,MATCH(F680,'Hitting Drills'!$B$6:$B$45,0)),"Not a hitting drill ID"))</f>
        <v/>
      </c>
      <c r="H680" s="27"/>
      <c r="I680" s="27"/>
      <c r="J680" s="27"/>
      <c r="K680" s="27"/>
      <c r="L680" s="27"/>
      <c r="M680" s="27"/>
      <c r="N680" s="27"/>
      <c r="O680" s="27"/>
      <c r="P680" s="27"/>
      <c r="Q680" s="27"/>
      <c r="R680" s="27"/>
      <c r="S680" s="29" t="str">
        <f aca="false">IF(OR(B680="",C680=""),"",IF(COUNTIFS($B$5:B680,B680,$C$5:C680,C680)=1,1,0))</f>
        <v/>
      </c>
      <c r="T680" s="29" t="str">
        <f aca="false">IF(OR(B680="",C680="",E680=""),"",IF(COUNTIFS($B$5:B680,B680,$C$5:C680,C680,$E$5:E680,E680)=1,1,0))</f>
        <v/>
      </c>
      <c r="U680" s="28" t="str">
        <f aca="false">IF(COUNTA(B680:C680,E680:F680,H680:P680)=0,"",IF(OR(B680="",C680="",E680=""),"Check: date, player, and context required",IF(AND(ISNUMBER(J680),ISNUMBER(I680),J680&gt;I680),"Check: solid contacts &gt; swings",IF(AND(ISNUMBER(L680),ISNUMBER(K680),L680&gt;K680),"Check: correct &gt; assessed decisions",IF(AND(ISNUMBER(N680),ISNUMBER(M680),N680&gt;M680),"Check: intended &gt; assessed landings",IF(AND(ISNUMBER(J680),I680=""),"Check: solid contacts without swings","OK"))))))</f>
        <v/>
      </c>
    </row>
    <row r="681" customFormat="false" ht="15" hidden="false" customHeight="false" outlineLevel="0" collapsed="false">
      <c r="B681" s="26"/>
      <c r="C681" s="27"/>
      <c r="D681" s="28" t="str">
        <f aca="false">IF(C681="","",IFERROR(INDEX(Players!$C$5:$C$104,MATCH(C681,Players!$B$5:$B$104,0)),"ID not found"))</f>
        <v/>
      </c>
      <c r="E681" s="27"/>
      <c r="F681" s="27"/>
      <c r="G681" s="28" t="str">
        <f aca="false">IF(F681="","",IFERROR(INDEX('Hitting Drills'!$D$6:$D$45,MATCH(F681,'Hitting Drills'!$B$6:$B$45,0)),"Not a hitting drill ID"))</f>
        <v/>
      </c>
      <c r="H681" s="27"/>
      <c r="I681" s="27"/>
      <c r="J681" s="27"/>
      <c r="K681" s="27"/>
      <c r="L681" s="27"/>
      <c r="M681" s="27"/>
      <c r="N681" s="27"/>
      <c r="O681" s="27"/>
      <c r="P681" s="27"/>
      <c r="Q681" s="27"/>
      <c r="R681" s="27"/>
      <c r="S681" s="29" t="str">
        <f aca="false">IF(OR(B681="",C681=""),"",IF(COUNTIFS($B$5:B681,B681,$C$5:C681,C681)=1,1,0))</f>
        <v/>
      </c>
      <c r="T681" s="29" t="str">
        <f aca="false">IF(OR(B681="",C681="",E681=""),"",IF(COUNTIFS($B$5:B681,B681,$C$5:C681,C681,$E$5:E681,E681)=1,1,0))</f>
        <v/>
      </c>
      <c r="U681" s="28" t="str">
        <f aca="false">IF(COUNTA(B681:C681,E681:F681,H681:P681)=0,"",IF(OR(B681="",C681="",E681=""),"Check: date, player, and context required",IF(AND(ISNUMBER(J681),ISNUMBER(I681),J681&gt;I681),"Check: solid contacts &gt; swings",IF(AND(ISNUMBER(L681),ISNUMBER(K681),L681&gt;K681),"Check: correct &gt; assessed decisions",IF(AND(ISNUMBER(N681),ISNUMBER(M681),N681&gt;M681),"Check: intended &gt; assessed landings",IF(AND(ISNUMBER(J681),I681=""),"Check: solid contacts without swings","OK"))))))</f>
        <v/>
      </c>
    </row>
    <row r="682" customFormat="false" ht="15" hidden="false" customHeight="false" outlineLevel="0" collapsed="false">
      <c r="B682" s="26"/>
      <c r="C682" s="27"/>
      <c r="D682" s="28" t="str">
        <f aca="false">IF(C682="","",IFERROR(INDEX(Players!$C$5:$C$104,MATCH(C682,Players!$B$5:$B$104,0)),"ID not found"))</f>
        <v/>
      </c>
      <c r="E682" s="27"/>
      <c r="F682" s="27"/>
      <c r="G682" s="28" t="str">
        <f aca="false">IF(F682="","",IFERROR(INDEX('Hitting Drills'!$D$6:$D$45,MATCH(F682,'Hitting Drills'!$B$6:$B$45,0)),"Not a hitting drill ID"))</f>
        <v/>
      </c>
      <c r="H682" s="27"/>
      <c r="I682" s="27"/>
      <c r="J682" s="27"/>
      <c r="K682" s="27"/>
      <c r="L682" s="27"/>
      <c r="M682" s="27"/>
      <c r="N682" s="27"/>
      <c r="O682" s="27"/>
      <c r="P682" s="27"/>
      <c r="Q682" s="27"/>
      <c r="R682" s="27"/>
      <c r="S682" s="29" t="str">
        <f aca="false">IF(OR(B682="",C682=""),"",IF(COUNTIFS($B$5:B682,B682,$C$5:C682,C682)=1,1,0))</f>
        <v/>
      </c>
      <c r="T682" s="29" t="str">
        <f aca="false">IF(OR(B682="",C682="",E682=""),"",IF(COUNTIFS($B$5:B682,B682,$C$5:C682,C682,$E$5:E682,E682)=1,1,0))</f>
        <v/>
      </c>
      <c r="U682" s="28" t="str">
        <f aca="false">IF(COUNTA(B682:C682,E682:F682,H682:P682)=0,"",IF(OR(B682="",C682="",E682=""),"Check: date, player, and context required",IF(AND(ISNUMBER(J682),ISNUMBER(I682),J682&gt;I682),"Check: solid contacts &gt; swings",IF(AND(ISNUMBER(L682),ISNUMBER(K682),L682&gt;K682),"Check: correct &gt; assessed decisions",IF(AND(ISNUMBER(N682),ISNUMBER(M682),N682&gt;M682),"Check: intended &gt; assessed landings",IF(AND(ISNUMBER(J682),I682=""),"Check: solid contacts without swings","OK"))))))</f>
        <v/>
      </c>
    </row>
    <row r="683" customFormat="false" ht="15" hidden="false" customHeight="false" outlineLevel="0" collapsed="false">
      <c r="B683" s="26"/>
      <c r="C683" s="27"/>
      <c r="D683" s="28" t="str">
        <f aca="false">IF(C683="","",IFERROR(INDEX(Players!$C$5:$C$104,MATCH(C683,Players!$B$5:$B$104,0)),"ID not found"))</f>
        <v/>
      </c>
      <c r="E683" s="27"/>
      <c r="F683" s="27"/>
      <c r="G683" s="28" t="str">
        <f aca="false">IF(F683="","",IFERROR(INDEX('Hitting Drills'!$D$6:$D$45,MATCH(F683,'Hitting Drills'!$B$6:$B$45,0)),"Not a hitting drill ID"))</f>
        <v/>
      </c>
      <c r="H683" s="27"/>
      <c r="I683" s="27"/>
      <c r="J683" s="27"/>
      <c r="K683" s="27"/>
      <c r="L683" s="27"/>
      <c r="M683" s="27"/>
      <c r="N683" s="27"/>
      <c r="O683" s="27"/>
      <c r="P683" s="27"/>
      <c r="Q683" s="27"/>
      <c r="R683" s="27"/>
      <c r="S683" s="29" t="str">
        <f aca="false">IF(OR(B683="",C683=""),"",IF(COUNTIFS($B$5:B683,B683,$C$5:C683,C683)=1,1,0))</f>
        <v/>
      </c>
      <c r="T683" s="29" t="str">
        <f aca="false">IF(OR(B683="",C683="",E683=""),"",IF(COUNTIFS($B$5:B683,B683,$C$5:C683,C683,$E$5:E683,E683)=1,1,0))</f>
        <v/>
      </c>
      <c r="U683" s="28" t="str">
        <f aca="false">IF(COUNTA(B683:C683,E683:F683,H683:P683)=0,"",IF(OR(B683="",C683="",E683=""),"Check: date, player, and context required",IF(AND(ISNUMBER(J683),ISNUMBER(I683),J683&gt;I683),"Check: solid contacts &gt; swings",IF(AND(ISNUMBER(L683),ISNUMBER(K683),L683&gt;K683),"Check: correct &gt; assessed decisions",IF(AND(ISNUMBER(N683),ISNUMBER(M683),N683&gt;M683),"Check: intended &gt; assessed landings",IF(AND(ISNUMBER(J683),I683=""),"Check: solid contacts without swings","OK"))))))</f>
        <v/>
      </c>
    </row>
    <row r="684" customFormat="false" ht="15" hidden="false" customHeight="false" outlineLevel="0" collapsed="false">
      <c r="B684" s="26"/>
      <c r="C684" s="27"/>
      <c r="D684" s="28" t="str">
        <f aca="false">IF(C684="","",IFERROR(INDEX(Players!$C$5:$C$104,MATCH(C684,Players!$B$5:$B$104,0)),"ID not found"))</f>
        <v/>
      </c>
      <c r="E684" s="27"/>
      <c r="F684" s="27"/>
      <c r="G684" s="28" t="str">
        <f aca="false">IF(F684="","",IFERROR(INDEX('Hitting Drills'!$D$6:$D$45,MATCH(F684,'Hitting Drills'!$B$6:$B$45,0)),"Not a hitting drill ID"))</f>
        <v/>
      </c>
      <c r="H684" s="27"/>
      <c r="I684" s="27"/>
      <c r="J684" s="27"/>
      <c r="K684" s="27"/>
      <c r="L684" s="27"/>
      <c r="M684" s="27"/>
      <c r="N684" s="27"/>
      <c r="O684" s="27"/>
      <c r="P684" s="27"/>
      <c r="Q684" s="27"/>
      <c r="R684" s="27"/>
      <c r="S684" s="29" t="str">
        <f aca="false">IF(OR(B684="",C684=""),"",IF(COUNTIFS($B$5:B684,B684,$C$5:C684,C684)=1,1,0))</f>
        <v/>
      </c>
      <c r="T684" s="29" t="str">
        <f aca="false">IF(OR(B684="",C684="",E684=""),"",IF(COUNTIFS($B$5:B684,B684,$C$5:C684,C684,$E$5:E684,E684)=1,1,0))</f>
        <v/>
      </c>
      <c r="U684" s="28" t="str">
        <f aca="false">IF(COUNTA(B684:C684,E684:F684,H684:P684)=0,"",IF(OR(B684="",C684="",E684=""),"Check: date, player, and context required",IF(AND(ISNUMBER(J684),ISNUMBER(I684),J684&gt;I684),"Check: solid contacts &gt; swings",IF(AND(ISNUMBER(L684),ISNUMBER(K684),L684&gt;K684),"Check: correct &gt; assessed decisions",IF(AND(ISNUMBER(N684),ISNUMBER(M684),N684&gt;M684),"Check: intended &gt; assessed landings",IF(AND(ISNUMBER(J684),I684=""),"Check: solid contacts without swings","OK"))))))</f>
        <v/>
      </c>
    </row>
    <row r="685" customFormat="false" ht="15" hidden="false" customHeight="false" outlineLevel="0" collapsed="false">
      <c r="B685" s="26"/>
      <c r="C685" s="27"/>
      <c r="D685" s="28" t="str">
        <f aca="false">IF(C685="","",IFERROR(INDEX(Players!$C$5:$C$104,MATCH(C685,Players!$B$5:$B$104,0)),"ID not found"))</f>
        <v/>
      </c>
      <c r="E685" s="27"/>
      <c r="F685" s="27"/>
      <c r="G685" s="28" t="str">
        <f aca="false">IF(F685="","",IFERROR(INDEX('Hitting Drills'!$D$6:$D$45,MATCH(F685,'Hitting Drills'!$B$6:$B$45,0)),"Not a hitting drill ID"))</f>
        <v/>
      </c>
      <c r="H685" s="27"/>
      <c r="I685" s="27"/>
      <c r="J685" s="27"/>
      <c r="K685" s="27"/>
      <c r="L685" s="27"/>
      <c r="M685" s="27"/>
      <c r="N685" s="27"/>
      <c r="O685" s="27"/>
      <c r="P685" s="27"/>
      <c r="Q685" s="27"/>
      <c r="R685" s="27"/>
      <c r="S685" s="29" t="str">
        <f aca="false">IF(OR(B685="",C685=""),"",IF(COUNTIFS($B$5:B685,B685,$C$5:C685,C685)=1,1,0))</f>
        <v/>
      </c>
      <c r="T685" s="29" t="str">
        <f aca="false">IF(OR(B685="",C685="",E685=""),"",IF(COUNTIFS($B$5:B685,B685,$C$5:C685,C685,$E$5:E685,E685)=1,1,0))</f>
        <v/>
      </c>
      <c r="U685" s="28" t="str">
        <f aca="false">IF(COUNTA(B685:C685,E685:F685,H685:P685)=0,"",IF(OR(B685="",C685="",E685=""),"Check: date, player, and context required",IF(AND(ISNUMBER(J685),ISNUMBER(I685),J685&gt;I685),"Check: solid contacts &gt; swings",IF(AND(ISNUMBER(L685),ISNUMBER(K685),L685&gt;K685),"Check: correct &gt; assessed decisions",IF(AND(ISNUMBER(N685),ISNUMBER(M685),N685&gt;M685),"Check: intended &gt; assessed landings",IF(AND(ISNUMBER(J685),I685=""),"Check: solid contacts without swings","OK"))))))</f>
        <v/>
      </c>
    </row>
    <row r="686" customFormat="false" ht="15" hidden="false" customHeight="false" outlineLevel="0" collapsed="false">
      <c r="B686" s="26"/>
      <c r="C686" s="27"/>
      <c r="D686" s="28" t="str">
        <f aca="false">IF(C686="","",IFERROR(INDEX(Players!$C$5:$C$104,MATCH(C686,Players!$B$5:$B$104,0)),"ID not found"))</f>
        <v/>
      </c>
      <c r="E686" s="27"/>
      <c r="F686" s="27"/>
      <c r="G686" s="28" t="str">
        <f aca="false">IF(F686="","",IFERROR(INDEX('Hitting Drills'!$D$6:$D$45,MATCH(F686,'Hitting Drills'!$B$6:$B$45,0)),"Not a hitting drill ID"))</f>
        <v/>
      </c>
      <c r="H686" s="27"/>
      <c r="I686" s="27"/>
      <c r="J686" s="27"/>
      <c r="K686" s="27"/>
      <c r="L686" s="27"/>
      <c r="M686" s="27"/>
      <c r="N686" s="27"/>
      <c r="O686" s="27"/>
      <c r="P686" s="27"/>
      <c r="Q686" s="27"/>
      <c r="R686" s="27"/>
      <c r="S686" s="29" t="str">
        <f aca="false">IF(OR(B686="",C686=""),"",IF(COUNTIFS($B$5:B686,B686,$C$5:C686,C686)=1,1,0))</f>
        <v/>
      </c>
      <c r="T686" s="29" t="str">
        <f aca="false">IF(OR(B686="",C686="",E686=""),"",IF(COUNTIFS($B$5:B686,B686,$C$5:C686,C686,$E$5:E686,E686)=1,1,0))</f>
        <v/>
      </c>
      <c r="U686" s="28" t="str">
        <f aca="false">IF(COUNTA(B686:C686,E686:F686,H686:P686)=0,"",IF(OR(B686="",C686="",E686=""),"Check: date, player, and context required",IF(AND(ISNUMBER(J686),ISNUMBER(I686),J686&gt;I686),"Check: solid contacts &gt; swings",IF(AND(ISNUMBER(L686),ISNUMBER(K686),L686&gt;K686),"Check: correct &gt; assessed decisions",IF(AND(ISNUMBER(N686),ISNUMBER(M686),N686&gt;M686),"Check: intended &gt; assessed landings",IF(AND(ISNUMBER(J686),I686=""),"Check: solid contacts without swings","OK"))))))</f>
        <v/>
      </c>
    </row>
    <row r="687" customFormat="false" ht="15" hidden="false" customHeight="false" outlineLevel="0" collapsed="false">
      <c r="B687" s="26"/>
      <c r="C687" s="27"/>
      <c r="D687" s="28" t="str">
        <f aca="false">IF(C687="","",IFERROR(INDEX(Players!$C$5:$C$104,MATCH(C687,Players!$B$5:$B$104,0)),"ID not found"))</f>
        <v/>
      </c>
      <c r="E687" s="27"/>
      <c r="F687" s="27"/>
      <c r="G687" s="28" t="str">
        <f aca="false">IF(F687="","",IFERROR(INDEX('Hitting Drills'!$D$6:$D$45,MATCH(F687,'Hitting Drills'!$B$6:$B$45,0)),"Not a hitting drill ID"))</f>
        <v/>
      </c>
      <c r="H687" s="27"/>
      <c r="I687" s="27"/>
      <c r="J687" s="27"/>
      <c r="K687" s="27"/>
      <c r="L687" s="27"/>
      <c r="M687" s="27"/>
      <c r="N687" s="27"/>
      <c r="O687" s="27"/>
      <c r="P687" s="27"/>
      <c r="Q687" s="27"/>
      <c r="R687" s="27"/>
      <c r="S687" s="29" t="str">
        <f aca="false">IF(OR(B687="",C687=""),"",IF(COUNTIFS($B$5:B687,B687,$C$5:C687,C687)=1,1,0))</f>
        <v/>
      </c>
      <c r="T687" s="29" t="str">
        <f aca="false">IF(OR(B687="",C687="",E687=""),"",IF(COUNTIFS($B$5:B687,B687,$C$5:C687,C687,$E$5:E687,E687)=1,1,0))</f>
        <v/>
      </c>
      <c r="U687" s="28" t="str">
        <f aca="false">IF(COUNTA(B687:C687,E687:F687,H687:P687)=0,"",IF(OR(B687="",C687="",E687=""),"Check: date, player, and context required",IF(AND(ISNUMBER(J687),ISNUMBER(I687),J687&gt;I687),"Check: solid contacts &gt; swings",IF(AND(ISNUMBER(L687),ISNUMBER(K687),L687&gt;K687),"Check: correct &gt; assessed decisions",IF(AND(ISNUMBER(N687),ISNUMBER(M687),N687&gt;M687),"Check: intended &gt; assessed landings",IF(AND(ISNUMBER(J687),I687=""),"Check: solid contacts without swings","OK"))))))</f>
        <v/>
      </c>
    </row>
    <row r="688" customFormat="false" ht="15" hidden="false" customHeight="false" outlineLevel="0" collapsed="false">
      <c r="B688" s="26"/>
      <c r="C688" s="27"/>
      <c r="D688" s="28" t="str">
        <f aca="false">IF(C688="","",IFERROR(INDEX(Players!$C$5:$C$104,MATCH(C688,Players!$B$5:$B$104,0)),"ID not found"))</f>
        <v/>
      </c>
      <c r="E688" s="27"/>
      <c r="F688" s="27"/>
      <c r="G688" s="28" t="str">
        <f aca="false">IF(F688="","",IFERROR(INDEX('Hitting Drills'!$D$6:$D$45,MATCH(F688,'Hitting Drills'!$B$6:$B$45,0)),"Not a hitting drill ID"))</f>
        <v/>
      </c>
      <c r="H688" s="27"/>
      <c r="I688" s="27"/>
      <c r="J688" s="27"/>
      <c r="K688" s="27"/>
      <c r="L688" s="27"/>
      <c r="M688" s="27"/>
      <c r="N688" s="27"/>
      <c r="O688" s="27"/>
      <c r="P688" s="27"/>
      <c r="Q688" s="27"/>
      <c r="R688" s="27"/>
      <c r="S688" s="29" t="str">
        <f aca="false">IF(OR(B688="",C688=""),"",IF(COUNTIFS($B$5:B688,B688,$C$5:C688,C688)=1,1,0))</f>
        <v/>
      </c>
      <c r="T688" s="29" t="str">
        <f aca="false">IF(OR(B688="",C688="",E688=""),"",IF(COUNTIFS($B$5:B688,B688,$C$5:C688,C688,$E$5:E688,E688)=1,1,0))</f>
        <v/>
      </c>
      <c r="U688" s="28" t="str">
        <f aca="false">IF(COUNTA(B688:C688,E688:F688,H688:P688)=0,"",IF(OR(B688="",C688="",E688=""),"Check: date, player, and context required",IF(AND(ISNUMBER(J688),ISNUMBER(I688),J688&gt;I688),"Check: solid contacts &gt; swings",IF(AND(ISNUMBER(L688),ISNUMBER(K688),L688&gt;K688),"Check: correct &gt; assessed decisions",IF(AND(ISNUMBER(N688),ISNUMBER(M688),N688&gt;M688),"Check: intended &gt; assessed landings",IF(AND(ISNUMBER(J688),I688=""),"Check: solid contacts without swings","OK"))))))</f>
        <v/>
      </c>
    </row>
    <row r="689" customFormat="false" ht="15" hidden="false" customHeight="false" outlineLevel="0" collapsed="false">
      <c r="B689" s="26"/>
      <c r="C689" s="27"/>
      <c r="D689" s="28" t="str">
        <f aca="false">IF(C689="","",IFERROR(INDEX(Players!$C$5:$C$104,MATCH(C689,Players!$B$5:$B$104,0)),"ID not found"))</f>
        <v/>
      </c>
      <c r="E689" s="27"/>
      <c r="F689" s="27"/>
      <c r="G689" s="28" t="str">
        <f aca="false">IF(F689="","",IFERROR(INDEX('Hitting Drills'!$D$6:$D$45,MATCH(F689,'Hitting Drills'!$B$6:$B$45,0)),"Not a hitting drill ID"))</f>
        <v/>
      </c>
      <c r="H689" s="27"/>
      <c r="I689" s="27"/>
      <c r="J689" s="27"/>
      <c r="K689" s="27"/>
      <c r="L689" s="27"/>
      <c r="M689" s="27"/>
      <c r="N689" s="27"/>
      <c r="O689" s="27"/>
      <c r="P689" s="27"/>
      <c r="Q689" s="27"/>
      <c r="R689" s="27"/>
      <c r="S689" s="29" t="str">
        <f aca="false">IF(OR(B689="",C689=""),"",IF(COUNTIFS($B$5:B689,B689,$C$5:C689,C689)=1,1,0))</f>
        <v/>
      </c>
      <c r="T689" s="29" t="str">
        <f aca="false">IF(OR(B689="",C689="",E689=""),"",IF(COUNTIFS($B$5:B689,B689,$C$5:C689,C689,$E$5:E689,E689)=1,1,0))</f>
        <v/>
      </c>
      <c r="U689" s="28" t="str">
        <f aca="false">IF(COUNTA(B689:C689,E689:F689,H689:P689)=0,"",IF(OR(B689="",C689="",E689=""),"Check: date, player, and context required",IF(AND(ISNUMBER(J689),ISNUMBER(I689),J689&gt;I689),"Check: solid contacts &gt; swings",IF(AND(ISNUMBER(L689),ISNUMBER(K689),L689&gt;K689),"Check: correct &gt; assessed decisions",IF(AND(ISNUMBER(N689),ISNUMBER(M689),N689&gt;M689),"Check: intended &gt; assessed landings",IF(AND(ISNUMBER(J689),I689=""),"Check: solid contacts without swings","OK"))))))</f>
        <v/>
      </c>
    </row>
    <row r="690" customFormat="false" ht="15" hidden="false" customHeight="false" outlineLevel="0" collapsed="false">
      <c r="B690" s="26"/>
      <c r="C690" s="27"/>
      <c r="D690" s="28" t="str">
        <f aca="false">IF(C690="","",IFERROR(INDEX(Players!$C$5:$C$104,MATCH(C690,Players!$B$5:$B$104,0)),"ID not found"))</f>
        <v/>
      </c>
      <c r="E690" s="27"/>
      <c r="F690" s="27"/>
      <c r="G690" s="28" t="str">
        <f aca="false">IF(F690="","",IFERROR(INDEX('Hitting Drills'!$D$6:$D$45,MATCH(F690,'Hitting Drills'!$B$6:$B$45,0)),"Not a hitting drill ID"))</f>
        <v/>
      </c>
      <c r="H690" s="27"/>
      <c r="I690" s="27"/>
      <c r="J690" s="27"/>
      <c r="K690" s="27"/>
      <c r="L690" s="27"/>
      <c r="M690" s="27"/>
      <c r="N690" s="27"/>
      <c r="O690" s="27"/>
      <c r="P690" s="27"/>
      <c r="Q690" s="27"/>
      <c r="R690" s="27"/>
      <c r="S690" s="29" t="str">
        <f aca="false">IF(OR(B690="",C690=""),"",IF(COUNTIFS($B$5:B690,B690,$C$5:C690,C690)=1,1,0))</f>
        <v/>
      </c>
      <c r="T690" s="29" t="str">
        <f aca="false">IF(OR(B690="",C690="",E690=""),"",IF(COUNTIFS($B$5:B690,B690,$C$5:C690,C690,$E$5:E690,E690)=1,1,0))</f>
        <v/>
      </c>
      <c r="U690" s="28" t="str">
        <f aca="false">IF(COUNTA(B690:C690,E690:F690,H690:P690)=0,"",IF(OR(B690="",C690="",E690=""),"Check: date, player, and context required",IF(AND(ISNUMBER(J690),ISNUMBER(I690),J690&gt;I690),"Check: solid contacts &gt; swings",IF(AND(ISNUMBER(L690),ISNUMBER(K690),L690&gt;K690),"Check: correct &gt; assessed decisions",IF(AND(ISNUMBER(N690),ISNUMBER(M690),N690&gt;M690),"Check: intended &gt; assessed landings",IF(AND(ISNUMBER(J690),I690=""),"Check: solid contacts without swings","OK"))))))</f>
        <v/>
      </c>
    </row>
    <row r="691" customFormat="false" ht="15" hidden="false" customHeight="false" outlineLevel="0" collapsed="false">
      <c r="B691" s="26"/>
      <c r="C691" s="27"/>
      <c r="D691" s="28" t="str">
        <f aca="false">IF(C691="","",IFERROR(INDEX(Players!$C$5:$C$104,MATCH(C691,Players!$B$5:$B$104,0)),"ID not found"))</f>
        <v/>
      </c>
      <c r="E691" s="27"/>
      <c r="F691" s="27"/>
      <c r="G691" s="28" t="str">
        <f aca="false">IF(F691="","",IFERROR(INDEX('Hitting Drills'!$D$6:$D$45,MATCH(F691,'Hitting Drills'!$B$6:$B$45,0)),"Not a hitting drill ID"))</f>
        <v/>
      </c>
      <c r="H691" s="27"/>
      <c r="I691" s="27"/>
      <c r="J691" s="27"/>
      <c r="K691" s="27"/>
      <c r="L691" s="27"/>
      <c r="M691" s="27"/>
      <c r="N691" s="27"/>
      <c r="O691" s="27"/>
      <c r="P691" s="27"/>
      <c r="Q691" s="27"/>
      <c r="R691" s="27"/>
      <c r="S691" s="29" t="str">
        <f aca="false">IF(OR(B691="",C691=""),"",IF(COUNTIFS($B$5:B691,B691,$C$5:C691,C691)=1,1,0))</f>
        <v/>
      </c>
      <c r="T691" s="29" t="str">
        <f aca="false">IF(OR(B691="",C691="",E691=""),"",IF(COUNTIFS($B$5:B691,B691,$C$5:C691,C691,$E$5:E691,E691)=1,1,0))</f>
        <v/>
      </c>
      <c r="U691" s="28" t="str">
        <f aca="false">IF(COUNTA(B691:C691,E691:F691,H691:P691)=0,"",IF(OR(B691="",C691="",E691=""),"Check: date, player, and context required",IF(AND(ISNUMBER(J691),ISNUMBER(I691),J691&gt;I691),"Check: solid contacts &gt; swings",IF(AND(ISNUMBER(L691),ISNUMBER(K691),L691&gt;K691),"Check: correct &gt; assessed decisions",IF(AND(ISNUMBER(N691),ISNUMBER(M691),N691&gt;M691),"Check: intended &gt; assessed landings",IF(AND(ISNUMBER(J691),I691=""),"Check: solid contacts without swings","OK"))))))</f>
        <v/>
      </c>
    </row>
    <row r="692" customFormat="false" ht="15" hidden="false" customHeight="false" outlineLevel="0" collapsed="false">
      <c r="B692" s="26"/>
      <c r="C692" s="27"/>
      <c r="D692" s="28" t="str">
        <f aca="false">IF(C692="","",IFERROR(INDEX(Players!$C$5:$C$104,MATCH(C692,Players!$B$5:$B$104,0)),"ID not found"))</f>
        <v/>
      </c>
      <c r="E692" s="27"/>
      <c r="F692" s="27"/>
      <c r="G692" s="28" t="str">
        <f aca="false">IF(F692="","",IFERROR(INDEX('Hitting Drills'!$D$6:$D$45,MATCH(F692,'Hitting Drills'!$B$6:$B$45,0)),"Not a hitting drill ID"))</f>
        <v/>
      </c>
      <c r="H692" s="27"/>
      <c r="I692" s="27"/>
      <c r="J692" s="27"/>
      <c r="K692" s="27"/>
      <c r="L692" s="27"/>
      <c r="M692" s="27"/>
      <c r="N692" s="27"/>
      <c r="O692" s="27"/>
      <c r="P692" s="27"/>
      <c r="Q692" s="27"/>
      <c r="R692" s="27"/>
      <c r="S692" s="29" t="str">
        <f aca="false">IF(OR(B692="",C692=""),"",IF(COUNTIFS($B$5:B692,B692,$C$5:C692,C692)=1,1,0))</f>
        <v/>
      </c>
      <c r="T692" s="29" t="str">
        <f aca="false">IF(OR(B692="",C692="",E692=""),"",IF(COUNTIFS($B$5:B692,B692,$C$5:C692,C692,$E$5:E692,E692)=1,1,0))</f>
        <v/>
      </c>
      <c r="U692" s="28" t="str">
        <f aca="false">IF(COUNTA(B692:C692,E692:F692,H692:P692)=0,"",IF(OR(B692="",C692="",E692=""),"Check: date, player, and context required",IF(AND(ISNUMBER(J692),ISNUMBER(I692),J692&gt;I692),"Check: solid contacts &gt; swings",IF(AND(ISNUMBER(L692),ISNUMBER(K692),L692&gt;K692),"Check: correct &gt; assessed decisions",IF(AND(ISNUMBER(N692),ISNUMBER(M692),N692&gt;M692),"Check: intended &gt; assessed landings",IF(AND(ISNUMBER(J692),I692=""),"Check: solid contacts without swings","OK"))))))</f>
        <v/>
      </c>
    </row>
    <row r="693" customFormat="false" ht="15" hidden="false" customHeight="false" outlineLevel="0" collapsed="false">
      <c r="B693" s="26"/>
      <c r="C693" s="27"/>
      <c r="D693" s="28" t="str">
        <f aca="false">IF(C693="","",IFERROR(INDEX(Players!$C$5:$C$104,MATCH(C693,Players!$B$5:$B$104,0)),"ID not found"))</f>
        <v/>
      </c>
      <c r="E693" s="27"/>
      <c r="F693" s="27"/>
      <c r="G693" s="28" t="str">
        <f aca="false">IF(F693="","",IFERROR(INDEX('Hitting Drills'!$D$6:$D$45,MATCH(F693,'Hitting Drills'!$B$6:$B$45,0)),"Not a hitting drill ID"))</f>
        <v/>
      </c>
      <c r="H693" s="27"/>
      <c r="I693" s="27"/>
      <c r="J693" s="27"/>
      <c r="K693" s="27"/>
      <c r="L693" s="27"/>
      <c r="M693" s="27"/>
      <c r="N693" s="27"/>
      <c r="O693" s="27"/>
      <c r="P693" s="27"/>
      <c r="Q693" s="27"/>
      <c r="R693" s="27"/>
      <c r="S693" s="29" t="str">
        <f aca="false">IF(OR(B693="",C693=""),"",IF(COUNTIFS($B$5:B693,B693,$C$5:C693,C693)=1,1,0))</f>
        <v/>
      </c>
      <c r="T693" s="29" t="str">
        <f aca="false">IF(OR(B693="",C693="",E693=""),"",IF(COUNTIFS($B$5:B693,B693,$C$5:C693,C693,$E$5:E693,E693)=1,1,0))</f>
        <v/>
      </c>
      <c r="U693" s="28" t="str">
        <f aca="false">IF(COUNTA(B693:C693,E693:F693,H693:P693)=0,"",IF(OR(B693="",C693="",E693=""),"Check: date, player, and context required",IF(AND(ISNUMBER(J693),ISNUMBER(I693),J693&gt;I693),"Check: solid contacts &gt; swings",IF(AND(ISNUMBER(L693),ISNUMBER(K693),L693&gt;K693),"Check: correct &gt; assessed decisions",IF(AND(ISNUMBER(N693),ISNUMBER(M693),N693&gt;M693),"Check: intended &gt; assessed landings",IF(AND(ISNUMBER(J693),I693=""),"Check: solid contacts without swings","OK"))))))</f>
        <v/>
      </c>
    </row>
    <row r="694" customFormat="false" ht="15" hidden="false" customHeight="false" outlineLevel="0" collapsed="false">
      <c r="B694" s="26"/>
      <c r="C694" s="27"/>
      <c r="D694" s="28" t="str">
        <f aca="false">IF(C694="","",IFERROR(INDEX(Players!$C$5:$C$104,MATCH(C694,Players!$B$5:$B$104,0)),"ID not found"))</f>
        <v/>
      </c>
      <c r="E694" s="27"/>
      <c r="F694" s="27"/>
      <c r="G694" s="28" t="str">
        <f aca="false">IF(F694="","",IFERROR(INDEX('Hitting Drills'!$D$6:$D$45,MATCH(F694,'Hitting Drills'!$B$6:$B$45,0)),"Not a hitting drill ID"))</f>
        <v/>
      </c>
      <c r="H694" s="27"/>
      <c r="I694" s="27"/>
      <c r="J694" s="27"/>
      <c r="K694" s="27"/>
      <c r="L694" s="27"/>
      <c r="M694" s="27"/>
      <c r="N694" s="27"/>
      <c r="O694" s="27"/>
      <c r="P694" s="27"/>
      <c r="Q694" s="27"/>
      <c r="R694" s="27"/>
      <c r="S694" s="29" t="str">
        <f aca="false">IF(OR(B694="",C694=""),"",IF(COUNTIFS($B$5:B694,B694,$C$5:C694,C694)=1,1,0))</f>
        <v/>
      </c>
      <c r="T694" s="29" t="str">
        <f aca="false">IF(OR(B694="",C694="",E694=""),"",IF(COUNTIFS($B$5:B694,B694,$C$5:C694,C694,$E$5:E694,E694)=1,1,0))</f>
        <v/>
      </c>
      <c r="U694" s="28" t="str">
        <f aca="false">IF(COUNTA(B694:C694,E694:F694,H694:P694)=0,"",IF(OR(B694="",C694="",E694=""),"Check: date, player, and context required",IF(AND(ISNUMBER(J694),ISNUMBER(I694),J694&gt;I694),"Check: solid contacts &gt; swings",IF(AND(ISNUMBER(L694),ISNUMBER(K694),L694&gt;K694),"Check: correct &gt; assessed decisions",IF(AND(ISNUMBER(N694),ISNUMBER(M694),N694&gt;M694),"Check: intended &gt; assessed landings",IF(AND(ISNUMBER(J694),I694=""),"Check: solid contacts without swings","OK"))))))</f>
        <v/>
      </c>
    </row>
    <row r="695" customFormat="false" ht="15" hidden="false" customHeight="false" outlineLevel="0" collapsed="false">
      <c r="B695" s="26"/>
      <c r="C695" s="27"/>
      <c r="D695" s="28" t="str">
        <f aca="false">IF(C695="","",IFERROR(INDEX(Players!$C$5:$C$104,MATCH(C695,Players!$B$5:$B$104,0)),"ID not found"))</f>
        <v/>
      </c>
      <c r="E695" s="27"/>
      <c r="F695" s="27"/>
      <c r="G695" s="28" t="str">
        <f aca="false">IF(F695="","",IFERROR(INDEX('Hitting Drills'!$D$6:$D$45,MATCH(F695,'Hitting Drills'!$B$6:$B$45,0)),"Not a hitting drill ID"))</f>
        <v/>
      </c>
      <c r="H695" s="27"/>
      <c r="I695" s="27"/>
      <c r="J695" s="27"/>
      <c r="K695" s="27"/>
      <c r="L695" s="27"/>
      <c r="M695" s="27"/>
      <c r="N695" s="27"/>
      <c r="O695" s="27"/>
      <c r="P695" s="27"/>
      <c r="Q695" s="27"/>
      <c r="R695" s="27"/>
      <c r="S695" s="29" t="str">
        <f aca="false">IF(OR(B695="",C695=""),"",IF(COUNTIFS($B$5:B695,B695,$C$5:C695,C695)=1,1,0))</f>
        <v/>
      </c>
      <c r="T695" s="29" t="str">
        <f aca="false">IF(OR(B695="",C695="",E695=""),"",IF(COUNTIFS($B$5:B695,B695,$C$5:C695,C695,$E$5:E695,E695)=1,1,0))</f>
        <v/>
      </c>
      <c r="U695" s="28" t="str">
        <f aca="false">IF(COUNTA(B695:C695,E695:F695,H695:P695)=0,"",IF(OR(B695="",C695="",E695=""),"Check: date, player, and context required",IF(AND(ISNUMBER(J695),ISNUMBER(I695),J695&gt;I695),"Check: solid contacts &gt; swings",IF(AND(ISNUMBER(L695),ISNUMBER(K695),L695&gt;K695),"Check: correct &gt; assessed decisions",IF(AND(ISNUMBER(N695),ISNUMBER(M695),N695&gt;M695),"Check: intended &gt; assessed landings",IF(AND(ISNUMBER(J695),I695=""),"Check: solid contacts without swings","OK"))))))</f>
        <v/>
      </c>
    </row>
    <row r="696" customFormat="false" ht="15" hidden="false" customHeight="false" outlineLevel="0" collapsed="false">
      <c r="B696" s="26"/>
      <c r="C696" s="27"/>
      <c r="D696" s="28" t="str">
        <f aca="false">IF(C696="","",IFERROR(INDEX(Players!$C$5:$C$104,MATCH(C696,Players!$B$5:$B$104,0)),"ID not found"))</f>
        <v/>
      </c>
      <c r="E696" s="27"/>
      <c r="F696" s="27"/>
      <c r="G696" s="28" t="str">
        <f aca="false">IF(F696="","",IFERROR(INDEX('Hitting Drills'!$D$6:$D$45,MATCH(F696,'Hitting Drills'!$B$6:$B$45,0)),"Not a hitting drill ID"))</f>
        <v/>
      </c>
      <c r="H696" s="27"/>
      <c r="I696" s="27"/>
      <c r="J696" s="27"/>
      <c r="K696" s="27"/>
      <c r="L696" s="27"/>
      <c r="M696" s="27"/>
      <c r="N696" s="27"/>
      <c r="O696" s="27"/>
      <c r="P696" s="27"/>
      <c r="Q696" s="27"/>
      <c r="R696" s="27"/>
      <c r="S696" s="29" t="str">
        <f aca="false">IF(OR(B696="",C696=""),"",IF(COUNTIFS($B$5:B696,B696,$C$5:C696,C696)=1,1,0))</f>
        <v/>
      </c>
      <c r="T696" s="29" t="str">
        <f aca="false">IF(OR(B696="",C696="",E696=""),"",IF(COUNTIFS($B$5:B696,B696,$C$5:C696,C696,$E$5:E696,E696)=1,1,0))</f>
        <v/>
      </c>
      <c r="U696" s="28" t="str">
        <f aca="false">IF(COUNTA(B696:C696,E696:F696,H696:P696)=0,"",IF(OR(B696="",C696="",E696=""),"Check: date, player, and context required",IF(AND(ISNUMBER(J696),ISNUMBER(I696),J696&gt;I696),"Check: solid contacts &gt; swings",IF(AND(ISNUMBER(L696),ISNUMBER(K696),L696&gt;K696),"Check: correct &gt; assessed decisions",IF(AND(ISNUMBER(N696),ISNUMBER(M696),N696&gt;M696),"Check: intended &gt; assessed landings",IF(AND(ISNUMBER(J696),I696=""),"Check: solid contacts without swings","OK"))))))</f>
        <v/>
      </c>
    </row>
    <row r="697" customFormat="false" ht="15" hidden="false" customHeight="false" outlineLevel="0" collapsed="false">
      <c r="B697" s="26"/>
      <c r="C697" s="27"/>
      <c r="D697" s="28" t="str">
        <f aca="false">IF(C697="","",IFERROR(INDEX(Players!$C$5:$C$104,MATCH(C697,Players!$B$5:$B$104,0)),"ID not found"))</f>
        <v/>
      </c>
      <c r="E697" s="27"/>
      <c r="F697" s="27"/>
      <c r="G697" s="28" t="str">
        <f aca="false">IF(F697="","",IFERROR(INDEX('Hitting Drills'!$D$6:$D$45,MATCH(F697,'Hitting Drills'!$B$6:$B$45,0)),"Not a hitting drill ID"))</f>
        <v/>
      </c>
      <c r="H697" s="27"/>
      <c r="I697" s="27"/>
      <c r="J697" s="27"/>
      <c r="K697" s="27"/>
      <c r="L697" s="27"/>
      <c r="M697" s="27"/>
      <c r="N697" s="27"/>
      <c r="O697" s="27"/>
      <c r="P697" s="27"/>
      <c r="Q697" s="27"/>
      <c r="R697" s="27"/>
      <c r="S697" s="29" t="str">
        <f aca="false">IF(OR(B697="",C697=""),"",IF(COUNTIFS($B$5:B697,B697,$C$5:C697,C697)=1,1,0))</f>
        <v/>
      </c>
      <c r="T697" s="29" t="str">
        <f aca="false">IF(OR(B697="",C697="",E697=""),"",IF(COUNTIFS($B$5:B697,B697,$C$5:C697,C697,$E$5:E697,E697)=1,1,0))</f>
        <v/>
      </c>
      <c r="U697" s="28" t="str">
        <f aca="false">IF(COUNTA(B697:C697,E697:F697,H697:P697)=0,"",IF(OR(B697="",C697="",E697=""),"Check: date, player, and context required",IF(AND(ISNUMBER(J697),ISNUMBER(I697),J697&gt;I697),"Check: solid contacts &gt; swings",IF(AND(ISNUMBER(L697),ISNUMBER(K697),L697&gt;K697),"Check: correct &gt; assessed decisions",IF(AND(ISNUMBER(N697),ISNUMBER(M697),N697&gt;M697),"Check: intended &gt; assessed landings",IF(AND(ISNUMBER(J697),I697=""),"Check: solid contacts without swings","OK"))))))</f>
        <v/>
      </c>
    </row>
    <row r="698" customFormat="false" ht="15" hidden="false" customHeight="false" outlineLevel="0" collapsed="false">
      <c r="B698" s="26"/>
      <c r="C698" s="27"/>
      <c r="D698" s="28" t="str">
        <f aca="false">IF(C698="","",IFERROR(INDEX(Players!$C$5:$C$104,MATCH(C698,Players!$B$5:$B$104,0)),"ID not found"))</f>
        <v/>
      </c>
      <c r="E698" s="27"/>
      <c r="F698" s="27"/>
      <c r="G698" s="28" t="str">
        <f aca="false">IF(F698="","",IFERROR(INDEX('Hitting Drills'!$D$6:$D$45,MATCH(F698,'Hitting Drills'!$B$6:$B$45,0)),"Not a hitting drill ID"))</f>
        <v/>
      </c>
      <c r="H698" s="27"/>
      <c r="I698" s="27"/>
      <c r="J698" s="27"/>
      <c r="K698" s="27"/>
      <c r="L698" s="27"/>
      <c r="M698" s="27"/>
      <c r="N698" s="27"/>
      <c r="O698" s="27"/>
      <c r="P698" s="27"/>
      <c r="Q698" s="27"/>
      <c r="R698" s="27"/>
      <c r="S698" s="29" t="str">
        <f aca="false">IF(OR(B698="",C698=""),"",IF(COUNTIFS($B$5:B698,B698,$C$5:C698,C698)=1,1,0))</f>
        <v/>
      </c>
      <c r="T698" s="29" t="str">
        <f aca="false">IF(OR(B698="",C698="",E698=""),"",IF(COUNTIFS($B$5:B698,B698,$C$5:C698,C698,$E$5:E698,E698)=1,1,0))</f>
        <v/>
      </c>
      <c r="U698" s="28" t="str">
        <f aca="false">IF(COUNTA(B698:C698,E698:F698,H698:P698)=0,"",IF(OR(B698="",C698="",E698=""),"Check: date, player, and context required",IF(AND(ISNUMBER(J698),ISNUMBER(I698),J698&gt;I698),"Check: solid contacts &gt; swings",IF(AND(ISNUMBER(L698),ISNUMBER(K698),L698&gt;K698),"Check: correct &gt; assessed decisions",IF(AND(ISNUMBER(N698),ISNUMBER(M698),N698&gt;M698),"Check: intended &gt; assessed landings",IF(AND(ISNUMBER(J698),I698=""),"Check: solid contacts without swings","OK"))))))</f>
        <v/>
      </c>
    </row>
    <row r="699" customFormat="false" ht="15" hidden="false" customHeight="false" outlineLevel="0" collapsed="false">
      <c r="B699" s="26"/>
      <c r="C699" s="27"/>
      <c r="D699" s="28" t="str">
        <f aca="false">IF(C699="","",IFERROR(INDEX(Players!$C$5:$C$104,MATCH(C699,Players!$B$5:$B$104,0)),"ID not found"))</f>
        <v/>
      </c>
      <c r="E699" s="27"/>
      <c r="F699" s="27"/>
      <c r="G699" s="28" t="str">
        <f aca="false">IF(F699="","",IFERROR(INDEX('Hitting Drills'!$D$6:$D$45,MATCH(F699,'Hitting Drills'!$B$6:$B$45,0)),"Not a hitting drill ID"))</f>
        <v/>
      </c>
      <c r="H699" s="27"/>
      <c r="I699" s="27"/>
      <c r="J699" s="27"/>
      <c r="K699" s="27"/>
      <c r="L699" s="27"/>
      <c r="M699" s="27"/>
      <c r="N699" s="27"/>
      <c r="O699" s="27"/>
      <c r="P699" s="27"/>
      <c r="Q699" s="27"/>
      <c r="R699" s="27"/>
      <c r="S699" s="29" t="str">
        <f aca="false">IF(OR(B699="",C699=""),"",IF(COUNTIFS($B$5:B699,B699,$C$5:C699,C699)=1,1,0))</f>
        <v/>
      </c>
      <c r="T699" s="29" t="str">
        <f aca="false">IF(OR(B699="",C699="",E699=""),"",IF(COUNTIFS($B$5:B699,B699,$C$5:C699,C699,$E$5:E699,E699)=1,1,0))</f>
        <v/>
      </c>
      <c r="U699" s="28" t="str">
        <f aca="false">IF(COUNTA(B699:C699,E699:F699,H699:P699)=0,"",IF(OR(B699="",C699="",E699=""),"Check: date, player, and context required",IF(AND(ISNUMBER(J699),ISNUMBER(I699),J699&gt;I699),"Check: solid contacts &gt; swings",IF(AND(ISNUMBER(L699),ISNUMBER(K699),L699&gt;K699),"Check: correct &gt; assessed decisions",IF(AND(ISNUMBER(N699),ISNUMBER(M699),N699&gt;M699),"Check: intended &gt; assessed landings",IF(AND(ISNUMBER(J699),I699=""),"Check: solid contacts without swings","OK"))))))</f>
        <v/>
      </c>
    </row>
    <row r="700" customFormat="false" ht="15" hidden="false" customHeight="false" outlineLevel="0" collapsed="false">
      <c r="B700" s="26"/>
      <c r="C700" s="27"/>
      <c r="D700" s="28" t="str">
        <f aca="false">IF(C700="","",IFERROR(INDEX(Players!$C$5:$C$104,MATCH(C700,Players!$B$5:$B$104,0)),"ID not found"))</f>
        <v/>
      </c>
      <c r="E700" s="27"/>
      <c r="F700" s="27"/>
      <c r="G700" s="28" t="str">
        <f aca="false">IF(F700="","",IFERROR(INDEX('Hitting Drills'!$D$6:$D$45,MATCH(F700,'Hitting Drills'!$B$6:$B$45,0)),"Not a hitting drill ID"))</f>
        <v/>
      </c>
      <c r="H700" s="27"/>
      <c r="I700" s="27"/>
      <c r="J700" s="27"/>
      <c r="K700" s="27"/>
      <c r="L700" s="27"/>
      <c r="M700" s="27"/>
      <c r="N700" s="27"/>
      <c r="O700" s="27"/>
      <c r="P700" s="27"/>
      <c r="Q700" s="27"/>
      <c r="R700" s="27"/>
      <c r="S700" s="29" t="str">
        <f aca="false">IF(OR(B700="",C700=""),"",IF(COUNTIFS($B$5:B700,B700,$C$5:C700,C700)=1,1,0))</f>
        <v/>
      </c>
      <c r="T700" s="29" t="str">
        <f aca="false">IF(OR(B700="",C700="",E700=""),"",IF(COUNTIFS($B$5:B700,B700,$C$5:C700,C700,$E$5:E700,E700)=1,1,0))</f>
        <v/>
      </c>
      <c r="U700" s="28" t="str">
        <f aca="false">IF(COUNTA(B700:C700,E700:F700,H700:P700)=0,"",IF(OR(B700="",C700="",E700=""),"Check: date, player, and context required",IF(AND(ISNUMBER(J700),ISNUMBER(I700),J700&gt;I700),"Check: solid contacts &gt; swings",IF(AND(ISNUMBER(L700),ISNUMBER(K700),L700&gt;K700),"Check: correct &gt; assessed decisions",IF(AND(ISNUMBER(N700),ISNUMBER(M700),N700&gt;M700),"Check: intended &gt; assessed landings",IF(AND(ISNUMBER(J700),I700=""),"Check: solid contacts without swings","OK"))))))</f>
        <v/>
      </c>
    </row>
    <row r="701" customFormat="false" ht="15" hidden="false" customHeight="false" outlineLevel="0" collapsed="false">
      <c r="B701" s="26"/>
      <c r="C701" s="27"/>
      <c r="D701" s="28" t="str">
        <f aca="false">IF(C701="","",IFERROR(INDEX(Players!$C$5:$C$104,MATCH(C701,Players!$B$5:$B$104,0)),"ID not found"))</f>
        <v/>
      </c>
      <c r="E701" s="27"/>
      <c r="F701" s="27"/>
      <c r="G701" s="28" t="str">
        <f aca="false">IF(F701="","",IFERROR(INDEX('Hitting Drills'!$D$6:$D$45,MATCH(F701,'Hitting Drills'!$B$6:$B$45,0)),"Not a hitting drill ID"))</f>
        <v/>
      </c>
      <c r="H701" s="27"/>
      <c r="I701" s="27"/>
      <c r="J701" s="27"/>
      <c r="K701" s="27"/>
      <c r="L701" s="27"/>
      <c r="M701" s="27"/>
      <c r="N701" s="27"/>
      <c r="O701" s="27"/>
      <c r="P701" s="27"/>
      <c r="Q701" s="27"/>
      <c r="R701" s="27"/>
      <c r="S701" s="29" t="str">
        <f aca="false">IF(OR(B701="",C701=""),"",IF(COUNTIFS($B$5:B701,B701,$C$5:C701,C701)=1,1,0))</f>
        <v/>
      </c>
      <c r="T701" s="29" t="str">
        <f aca="false">IF(OR(B701="",C701="",E701=""),"",IF(COUNTIFS($B$5:B701,B701,$C$5:C701,C701,$E$5:E701,E701)=1,1,0))</f>
        <v/>
      </c>
      <c r="U701" s="28" t="str">
        <f aca="false">IF(COUNTA(B701:C701,E701:F701,H701:P701)=0,"",IF(OR(B701="",C701="",E701=""),"Check: date, player, and context required",IF(AND(ISNUMBER(J701),ISNUMBER(I701),J701&gt;I701),"Check: solid contacts &gt; swings",IF(AND(ISNUMBER(L701),ISNUMBER(K701),L701&gt;K701),"Check: correct &gt; assessed decisions",IF(AND(ISNUMBER(N701),ISNUMBER(M701),N701&gt;M701),"Check: intended &gt; assessed landings",IF(AND(ISNUMBER(J701),I701=""),"Check: solid contacts without swings","OK"))))))</f>
        <v/>
      </c>
    </row>
    <row r="702" customFormat="false" ht="15" hidden="false" customHeight="false" outlineLevel="0" collapsed="false">
      <c r="B702" s="26"/>
      <c r="C702" s="27"/>
      <c r="D702" s="28" t="str">
        <f aca="false">IF(C702="","",IFERROR(INDEX(Players!$C$5:$C$104,MATCH(C702,Players!$B$5:$B$104,0)),"ID not found"))</f>
        <v/>
      </c>
      <c r="E702" s="27"/>
      <c r="F702" s="27"/>
      <c r="G702" s="28" t="str">
        <f aca="false">IF(F702="","",IFERROR(INDEX('Hitting Drills'!$D$6:$D$45,MATCH(F702,'Hitting Drills'!$B$6:$B$45,0)),"Not a hitting drill ID"))</f>
        <v/>
      </c>
      <c r="H702" s="27"/>
      <c r="I702" s="27"/>
      <c r="J702" s="27"/>
      <c r="K702" s="27"/>
      <c r="L702" s="27"/>
      <c r="M702" s="27"/>
      <c r="N702" s="27"/>
      <c r="O702" s="27"/>
      <c r="P702" s="27"/>
      <c r="Q702" s="27"/>
      <c r="R702" s="27"/>
      <c r="S702" s="29" t="str">
        <f aca="false">IF(OR(B702="",C702=""),"",IF(COUNTIFS($B$5:B702,B702,$C$5:C702,C702)=1,1,0))</f>
        <v/>
      </c>
      <c r="T702" s="29" t="str">
        <f aca="false">IF(OR(B702="",C702="",E702=""),"",IF(COUNTIFS($B$5:B702,B702,$C$5:C702,C702,$E$5:E702,E702)=1,1,0))</f>
        <v/>
      </c>
      <c r="U702" s="28" t="str">
        <f aca="false">IF(COUNTA(B702:C702,E702:F702,H702:P702)=0,"",IF(OR(B702="",C702="",E702=""),"Check: date, player, and context required",IF(AND(ISNUMBER(J702),ISNUMBER(I702),J702&gt;I702),"Check: solid contacts &gt; swings",IF(AND(ISNUMBER(L702),ISNUMBER(K702),L702&gt;K702),"Check: correct &gt; assessed decisions",IF(AND(ISNUMBER(N702),ISNUMBER(M702),N702&gt;M702),"Check: intended &gt; assessed landings",IF(AND(ISNUMBER(J702),I702=""),"Check: solid contacts without swings","OK"))))))</f>
        <v/>
      </c>
    </row>
    <row r="703" customFormat="false" ht="15" hidden="false" customHeight="false" outlineLevel="0" collapsed="false">
      <c r="B703" s="26"/>
      <c r="C703" s="27"/>
      <c r="D703" s="28" t="str">
        <f aca="false">IF(C703="","",IFERROR(INDEX(Players!$C$5:$C$104,MATCH(C703,Players!$B$5:$B$104,0)),"ID not found"))</f>
        <v/>
      </c>
      <c r="E703" s="27"/>
      <c r="F703" s="27"/>
      <c r="G703" s="28" t="str">
        <f aca="false">IF(F703="","",IFERROR(INDEX('Hitting Drills'!$D$6:$D$45,MATCH(F703,'Hitting Drills'!$B$6:$B$45,0)),"Not a hitting drill ID"))</f>
        <v/>
      </c>
      <c r="H703" s="27"/>
      <c r="I703" s="27"/>
      <c r="J703" s="27"/>
      <c r="K703" s="27"/>
      <c r="L703" s="27"/>
      <c r="M703" s="27"/>
      <c r="N703" s="27"/>
      <c r="O703" s="27"/>
      <c r="P703" s="27"/>
      <c r="Q703" s="27"/>
      <c r="R703" s="27"/>
      <c r="S703" s="29" t="str">
        <f aca="false">IF(OR(B703="",C703=""),"",IF(COUNTIFS($B$5:B703,B703,$C$5:C703,C703)=1,1,0))</f>
        <v/>
      </c>
      <c r="T703" s="29" t="str">
        <f aca="false">IF(OR(B703="",C703="",E703=""),"",IF(COUNTIFS($B$5:B703,B703,$C$5:C703,C703,$E$5:E703,E703)=1,1,0))</f>
        <v/>
      </c>
      <c r="U703" s="28" t="str">
        <f aca="false">IF(COUNTA(B703:C703,E703:F703,H703:P703)=0,"",IF(OR(B703="",C703="",E703=""),"Check: date, player, and context required",IF(AND(ISNUMBER(J703),ISNUMBER(I703),J703&gt;I703),"Check: solid contacts &gt; swings",IF(AND(ISNUMBER(L703),ISNUMBER(K703),L703&gt;K703),"Check: correct &gt; assessed decisions",IF(AND(ISNUMBER(N703),ISNUMBER(M703),N703&gt;M703),"Check: intended &gt; assessed landings",IF(AND(ISNUMBER(J703),I703=""),"Check: solid contacts without swings","OK"))))))</f>
        <v/>
      </c>
    </row>
    <row r="704" customFormat="false" ht="15" hidden="false" customHeight="false" outlineLevel="0" collapsed="false">
      <c r="B704" s="26"/>
      <c r="C704" s="27"/>
      <c r="D704" s="28" t="str">
        <f aca="false">IF(C704="","",IFERROR(INDEX(Players!$C$5:$C$104,MATCH(C704,Players!$B$5:$B$104,0)),"ID not found"))</f>
        <v/>
      </c>
      <c r="E704" s="27"/>
      <c r="F704" s="27"/>
      <c r="G704" s="28" t="str">
        <f aca="false">IF(F704="","",IFERROR(INDEX('Hitting Drills'!$D$6:$D$45,MATCH(F704,'Hitting Drills'!$B$6:$B$45,0)),"Not a hitting drill ID"))</f>
        <v/>
      </c>
      <c r="H704" s="27"/>
      <c r="I704" s="27"/>
      <c r="J704" s="27"/>
      <c r="K704" s="27"/>
      <c r="L704" s="27"/>
      <c r="M704" s="27"/>
      <c r="N704" s="27"/>
      <c r="O704" s="27"/>
      <c r="P704" s="27"/>
      <c r="Q704" s="27"/>
      <c r="R704" s="27"/>
      <c r="S704" s="29" t="str">
        <f aca="false">IF(OR(B704="",C704=""),"",IF(COUNTIFS($B$5:B704,B704,$C$5:C704,C704)=1,1,0))</f>
        <v/>
      </c>
      <c r="T704" s="29" t="str">
        <f aca="false">IF(OR(B704="",C704="",E704=""),"",IF(COUNTIFS($B$5:B704,B704,$C$5:C704,C704,$E$5:E704,E704)=1,1,0))</f>
        <v/>
      </c>
      <c r="U704" s="28" t="str">
        <f aca="false">IF(COUNTA(B704:C704,E704:F704,H704:P704)=0,"",IF(OR(B704="",C704="",E704=""),"Check: date, player, and context required",IF(AND(ISNUMBER(J704),ISNUMBER(I704),J704&gt;I704),"Check: solid contacts &gt; swings",IF(AND(ISNUMBER(L704),ISNUMBER(K704),L704&gt;K704),"Check: correct &gt; assessed decisions",IF(AND(ISNUMBER(N704),ISNUMBER(M704),N704&gt;M704),"Check: intended &gt; assessed landings",IF(AND(ISNUMBER(J704),I704=""),"Check: solid contacts without swings","OK"))))))</f>
        <v/>
      </c>
    </row>
    <row r="705" customFormat="false" ht="15" hidden="false" customHeight="false" outlineLevel="0" collapsed="false">
      <c r="B705" s="26"/>
      <c r="C705" s="27"/>
      <c r="D705" s="28" t="str">
        <f aca="false">IF(C705="","",IFERROR(INDEX(Players!$C$5:$C$104,MATCH(C705,Players!$B$5:$B$104,0)),"ID not found"))</f>
        <v/>
      </c>
      <c r="E705" s="27"/>
      <c r="F705" s="27"/>
      <c r="G705" s="28" t="str">
        <f aca="false">IF(F705="","",IFERROR(INDEX('Hitting Drills'!$D$6:$D$45,MATCH(F705,'Hitting Drills'!$B$6:$B$45,0)),"Not a hitting drill ID"))</f>
        <v/>
      </c>
      <c r="H705" s="27"/>
      <c r="I705" s="27"/>
      <c r="J705" s="27"/>
      <c r="K705" s="27"/>
      <c r="L705" s="27"/>
      <c r="M705" s="27"/>
      <c r="N705" s="27"/>
      <c r="O705" s="27"/>
      <c r="P705" s="27"/>
      <c r="Q705" s="27"/>
      <c r="R705" s="27"/>
      <c r="S705" s="29" t="str">
        <f aca="false">IF(OR(B705="",C705=""),"",IF(COUNTIFS($B$5:B705,B705,$C$5:C705,C705)=1,1,0))</f>
        <v/>
      </c>
      <c r="T705" s="29" t="str">
        <f aca="false">IF(OR(B705="",C705="",E705=""),"",IF(COUNTIFS($B$5:B705,B705,$C$5:C705,C705,$E$5:E705,E705)=1,1,0))</f>
        <v/>
      </c>
      <c r="U705" s="28" t="str">
        <f aca="false">IF(COUNTA(B705:C705,E705:F705,H705:P705)=0,"",IF(OR(B705="",C705="",E705=""),"Check: date, player, and context required",IF(AND(ISNUMBER(J705),ISNUMBER(I705),J705&gt;I705),"Check: solid contacts &gt; swings",IF(AND(ISNUMBER(L705),ISNUMBER(K705),L705&gt;K705),"Check: correct &gt; assessed decisions",IF(AND(ISNUMBER(N705),ISNUMBER(M705),N705&gt;M705),"Check: intended &gt; assessed landings",IF(AND(ISNUMBER(J705),I705=""),"Check: solid contacts without swings","OK"))))))</f>
        <v/>
      </c>
    </row>
    <row r="706" customFormat="false" ht="15" hidden="false" customHeight="false" outlineLevel="0" collapsed="false">
      <c r="B706" s="26"/>
      <c r="C706" s="27"/>
      <c r="D706" s="28" t="str">
        <f aca="false">IF(C706="","",IFERROR(INDEX(Players!$C$5:$C$104,MATCH(C706,Players!$B$5:$B$104,0)),"ID not found"))</f>
        <v/>
      </c>
      <c r="E706" s="27"/>
      <c r="F706" s="27"/>
      <c r="G706" s="28" t="str">
        <f aca="false">IF(F706="","",IFERROR(INDEX('Hitting Drills'!$D$6:$D$45,MATCH(F706,'Hitting Drills'!$B$6:$B$45,0)),"Not a hitting drill ID"))</f>
        <v/>
      </c>
      <c r="H706" s="27"/>
      <c r="I706" s="27"/>
      <c r="J706" s="27"/>
      <c r="K706" s="27"/>
      <c r="L706" s="27"/>
      <c r="M706" s="27"/>
      <c r="N706" s="27"/>
      <c r="O706" s="27"/>
      <c r="P706" s="27"/>
      <c r="Q706" s="27"/>
      <c r="R706" s="27"/>
      <c r="S706" s="29" t="str">
        <f aca="false">IF(OR(B706="",C706=""),"",IF(COUNTIFS($B$5:B706,B706,$C$5:C706,C706)=1,1,0))</f>
        <v/>
      </c>
      <c r="T706" s="29" t="str">
        <f aca="false">IF(OR(B706="",C706="",E706=""),"",IF(COUNTIFS($B$5:B706,B706,$C$5:C706,C706,$E$5:E706,E706)=1,1,0))</f>
        <v/>
      </c>
      <c r="U706" s="28" t="str">
        <f aca="false">IF(COUNTA(B706:C706,E706:F706,H706:P706)=0,"",IF(OR(B706="",C706="",E706=""),"Check: date, player, and context required",IF(AND(ISNUMBER(J706),ISNUMBER(I706),J706&gt;I706),"Check: solid contacts &gt; swings",IF(AND(ISNUMBER(L706),ISNUMBER(K706),L706&gt;K706),"Check: correct &gt; assessed decisions",IF(AND(ISNUMBER(N706),ISNUMBER(M706),N706&gt;M706),"Check: intended &gt; assessed landings",IF(AND(ISNUMBER(J706),I706=""),"Check: solid contacts without swings","OK"))))))</f>
        <v/>
      </c>
    </row>
    <row r="707" customFormat="false" ht="15" hidden="false" customHeight="false" outlineLevel="0" collapsed="false">
      <c r="B707" s="26"/>
      <c r="C707" s="27"/>
      <c r="D707" s="28" t="str">
        <f aca="false">IF(C707="","",IFERROR(INDEX(Players!$C$5:$C$104,MATCH(C707,Players!$B$5:$B$104,0)),"ID not found"))</f>
        <v/>
      </c>
      <c r="E707" s="27"/>
      <c r="F707" s="27"/>
      <c r="G707" s="28" t="str">
        <f aca="false">IF(F707="","",IFERROR(INDEX('Hitting Drills'!$D$6:$D$45,MATCH(F707,'Hitting Drills'!$B$6:$B$45,0)),"Not a hitting drill ID"))</f>
        <v/>
      </c>
      <c r="H707" s="27"/>
      <c r="I707" s="27"/>
      <c r="J707" s="27"/>
      <c r="K707" s="27"/>
      <c r="L707" s="27"/>
      <c r="M707" s="27"/>
      <c r="N707" s="27"/>
      <c r="O707" s="27"/>
      <c r="P707" s="27"/>
      <c r="Q707" s="27"/>
      <c r="R707" s="27"/>
      <c r="S707" s="29" t="str">
        <f aca="false">IF(OR(B707="",C707=""),"",IF(COUNTIFS($B$5:B707,B707,$C$5:C707,C707)=1,1,0))</f>
        <v/>
      </c>
      <c r="T707" s="29" t="str">
        <f aca="false">IF(OR(B707="",C707="",E707=""),"",IF(COUNTIFS($B$5:B707,B707,$C$5:C707,C707,$E$5:E707,E707)=1,1,0))</f>
        <v/>
      </c>
      <c r="U707" s="28" t="str">
        <f aca="false">IF(COUNTA(B707:C707,E707:F707,H707:P707)=0,"",IF(OR(B707="",C707="",E707=""),"Check: date, player, and context required",IF(AND(ISNUMBER(J707),ISNUMBER(I707),J707&gt;I707),"Check: solid contacts &gt; swings",IF(AND(ISNUMBER(L707),ISNUMBER(K707),L707&gt;K707),"Check: correct &gt; assessed decisions",IF(AND(ISNUMBER(N707),ISNUMBER(M707),N707&gt;M707),"Check: intended &gt; assessed landings",IF(AND(ISNUMBER(J707),I707=""),"Check: solid contacts without swings","OK"))))))</f>
        <v/>
      </c>
    </row>
    <row r="708" customFormat="false" ht="15" hidden="false" customHeight="false" outlineLevel="0" collapsed="false">
      <c r="B708" s="26"/>
      <c r="C708" s="27"/>
      <c r="D708" s="28" t="str">
        <f aca="false">IF(C708="","",IFERROR(INDEX(Players!$C$5:$C$104,MATCH(C708,Players!$B$5:$B$104,0)),"ID not found"))</f>
        <v/>
      </c>
      <c r="E708" s="27"/>
      <c r="F708" s="27"/>
      <c r="G708" s="28" t="str">
        <f aca="false">IF(F708="","",IFERROR(INDEX('Hitting Drills'!$D$6:$D$45,MATCH(F708,'Hitting Drills'!$B$6:$B$45,0)),"Not a hitting drill ID"))</f>
        <v/>
      </c>
      <c r="H708" s="27"/>
      <c r="I708" s="27"/>
      <c r="J708" s="27"/>
      <c r="K708" s="27"/>
      <c r="L708" s="27"/>
      <c r="M708" s="27"/>
      <c r="N708" s="27"/>
      <c r="O708" s="27"/>
      <c r="P708" s="27"/>
      <c r="Q708" s="27"/>
      <c r="R708" s="27"/>
      <c r="S708" s="29" t="str">
        <f aca="false">IF(OR(B708="",C708=""),"",IF(COUNTIFS($B$5:B708,B708,$C$5:C708,C708)=1,1,0))</f>
        <v/>
      </c>
      <c r="T708" s="29" t="str">
        <f aca="false">IF(OR(B708="",C708="",E708=""),"",IF(COUNTIFS($B$5:B708,B708,$C$5:C708,C708,$E$5:E708,E708)=1,1,0))</f>
        <v/>
      </c>
      <c r="U708" s="28" t="str">
        <f aca="false">IF(COUNTA(B708:C708,E708:F708,H708:P708)=0,"",IF(OR(B708="",C708="",E708=""),"Check: date, player, and context required",IF(AND(ISNUMBER(J708),ISNUMBER(I708),J708&gt;I708),"Check: solid contacts &gt; swings",IF(AND(ISNUMBER(L708),ISNUMBER(K708),L708&gt;K708),"Check: correct &gt; assessed decisions",IF(AND(ISNUMBER(N708),ISNUMBER(M708),N708&gt;M708),"Check: intended &gt; assessed landings",IF(AND(ISNUMBER(J708),I708=""),"Check: solid contacts without swings","OK"))))))</f>
        <v/>
      </c>
    </row>
    <row r="709" customFormat="false" ht="15" hidden="false" customHeight="false" outlineLevel="0" collapsed="false">
      <c r="B709" s="26"/>
      <c r="C709" s="27"/>
      <c r="D709" s="28" t="str">
        <f aca="false">IF(C709="","",IFERROR(INDEX(Players!$C$5:$C$104,MATCH(C709,Players!$B$5:$B$104,0)),"ID not found"))</f>
        <v/>
      </c>
      <c r="E709" s="27"/>
      <c r="F709" s="27"/>
      <c r="G709" s="28" t="str">
        <f aca="false">IF(F709="","",IFERROR(INDEX('Hitting Drills'!$D$6:$D$45,MATCH(F709,'Hitting Drills'!$B$6:$B$45,0)),"Not a hitting drill ID"))</f>
        <v/>
      </c>
      <c r="H709" s="27"/>
      <c r="I709" s="27"/>
      <c r="J709" s="27"/>
      <c r="K709" s="27"/>
      <c r="L709" s="27"/>
      <c r="M709" s="27"/>
      <c r="N709" s="27"/>
      <c r="O709" s="27"/>
      <c r="P709" s="27"/>
      <c r="Q709" s="27"/>
      <c r="R709" s="27"/>
      <c r="S709" s="29" t="str">
        <f aca="false">IF(OR(B709="",C709=""),"",IF(COUNTIFS($B$5:B709,B709,$C$5:C709,C709)=1,1,0))</f>
        <v/>
      </c>
      <c r="T709" s="29" t="str">
        <f aca="false">IF(OR(B709="",C709="",E709=""),"",IF(COUNTIFS($B$5:B709,B709,$C$5:C709,C709,$E$5:E709,E709)=1,1,0))</f>
        <v/>
      </c>
      <c r="U709" s="28" t="str">
        <f aca="false">IF(COUNTA(B709:C709,E709:F709,H709:P709)=0,"",IF(OR(B709="",C709="",E709=""),"Check: date, player, and context required",IF(AND(ISNUMBER(J709),ISNUMBER(I709),J709&gt;I709),"Check: solid contacts &gt; swings",IF(AND(ISNUMBER(L709),ISNUMBER(K709),L709&gt;K709),"Check: correct &gt; assessed decisions",IF(AND(ISNUMBER(N709),ISNUMBER(M709),N709&gt;M709),"Check: intended &gt; assessed landings",IF(AND(ISNUMBER(J709),I709=""),"Check: solid contacts without swings","OK"))))))</f>
        <v/>
      </c>
    </row>
    <row r="710" customFormat="false" ht="15" hidden="false" customHeight="false" outlineLevel="0" collapsed="false">
      <c r="B710" s="26"/>
      <c r="C710" s="27"/>
      <c r="D710" s="28" t="str">
        <f aca="false">IF(C710="","",IFERROR(INDEX(Players!$C$5:$C$104,MATCH(C710,Players!$B$5:$B$104,0)),"ID not found"))</f>
        <v/>
      </c>
      <c r="E710" s="27"/>
      <c r="F710" s="27"/>
      <c r="G710" s="28" t="str">
        <f aca="false">IF(F710="","",IFERROR(INDEX('Hitting Drills'!$D$6:$D$45,MATCH(F710,'Hitting Drills'!$B$6:$B$45,0)),"Not a hitting drill ID"))</f>
        <v/>
      </c>
      <c r="H710" s="27"/>
      <c r="I710" s="27"/>
      <c r="J710" s="27"/>
      <c r="K710" s="27"/>
      <c r="L710" s="27"/>
      <c r="M710" s="27"/>
      <c r="N710" s="27"/>
      <c r="O710" s="27"/>
      <c r="P710" s="27"/>
      <c r="Q710" s="27"/>
      <c r="R710" s="27"/>
      <c r="S710" s="29" t="str">
        <f aca="false">IF(OR(B710="",C710=""),"",IF(COUNTIFS($B$5:B710,B710,$C$5:C710,C710)=1,1,0))</f>
        <v/>
      </c>
      <c r="T710" s="29" t="str">
        <f aca="false">IF(OR(B710="",C710="",E710=""),"",IF(COUNTIFS($B$5:B710,B710,$C$5:C710,C710,$E$5:E710,E710)=1,1,0))</f>
        <v/>
      </c>
      <c r="U710" s="28" t="str">
        <f aca="false">IF(COUNTA(B710:C710,E710:F710,H710:P710)=0,"",IF(OR(B710="",C710="",E710=""),"Check: date, player, and context required",IF(AND(ISNUMBER(J710),ISNUMBER(I710),J710&gt;I710),"Check: solid contacts &gt; swings",IF(AND(ISNUMBER(L710),ISNUMBER(K710),L710&gt;K710),"Check: correct &gt; assessed decisions",IF(AND(ISNUMBER(N710),ISNUMBER(M710),N710&gt;M710),"Check: intended &gt; assessed landings",IF(AND(ISNUMBER(J710),I710=""),"Check: solid contacts without swings","OK"))))))</f>
        <v/>
      </c>
    </row>
    <row r="711" customFormat="false" ht="15" hidden="false" customHeight="false" outlineLevel="0" collapsed="false">
      <c r="B711" s="26"/>
      <c r="C711" s="27"/>
      <c r="D711" s="28" t="str">
        <f aca="false">IF(C711="","",IFERROR(INDEX(Players!$C$5:$C$104,MATCH(C711,Players!$B$5:$B$104,0)),"ID not found"))</f>
        <v/>
      </c>
      <c r="E711" s="27"/>
      <c r="F711" s="27"/>
      <c r="G711" s="28" t="str">
        <f aca="false">IF(F711="","",IFERROR(INDEX('Hitting Drills'!$D$6:$D$45,MATCH(F711,'Hitting Drills'!$B$6:$B$45,0)),"Not a hitting drill ID"))</f>
        <v/>
      </c>
      <c r="H711" s="27"/>
      <c r="I711" s="27"/>
      <c r="J711" s="27"/>
      <c r="K711" s="27"/>
      <c r="L711" s="27"/>
      <c r="M711" s="27"/>
      <c r="N711" s="27"/>
      <c r="O711" s="27"/>
      <c r="P711" s="27"/>
      <c r="Q711" s="27"/>
      <c r="R711" s="27"/>
      <c r="S711" s="29" t="str">
        <f aca="false">IF(OR(B711="",C711=""),"",IF(COUNTIFS($B$5:B711,B711,$C$5:C711,C711)=1,1,0))</f>
        <v/>
      </c>
      <c r="T711" s="29" t="str">
        <f aca="false">IF(OR(B711="",C711="",E711=""),"",IF(COUNTIFS($B$5:B711,B711,$C$5:C711,C711,$E$5:E711,E711)=1,1,0))</f>
        <v/>
      </c>
      <c r="U711" s="28" t="str">
        <f aca="false">IF(COUNTA(B711:C711,E711:F711,H711:P711)=0,"",IF(OR(B711="",C711="",E711=""),"Check: date, player, and context required",IF(AND(ISNUMBER(J711),ISNUMBER(I711),J711&gt;I711),"Check: solid contacts &gt; swings",IF(AND(ISNUMBER(L711),ISNUMBER(K711),L711&gt;K711),"Check: correct &gt; assessed decisions",IF(AND(ISNUMBER(N711),ISNUMBER(M711),N711&gt;M711),"Check: intended &gt; assessed landings",IF(AND(ISNUMBER(J711),I711=""),"Check: solid contacts without swings","OK"))))))</f>
        <v/>
      </c>
    </row>
    <row r="712" customFormat="false" ht="15" hidden="false" customHeight="false" outlineLevel="0" collapsed="false">
      <c r="B712" s="26"/>
      <c r="C712" s="27"/>
      <c r="D712" s="28" t="str">
        <f aca="false">IF(C712="","",IFERROR(INDEX(Players!$C$5:$C$104,MATCH(C712,Players!$B$5:$B$104,0)),"ID not found"))</f>
        <v/>
      </c>
      <c r="E712" s="27"/>
      <c r="F712" s="27"/>
      <c r="G712" s="28" t="str">
        <f aca="false">IF(F712="","",IFERROR(INDEX('Hitting Drills'!$D$6:$D$45,MATCH(F712,'Hitting Drills'!$B$6:$B$45,0)),"Not a hitting drill ID"))</f>
        <v/>
      </c>
      <c r="H712" s="27"/>
      <c r="I712" s="27"/>
      <c r="J712" s="27"/>
      <c r="K712" s="27"/>
      <c r="L712" s="27"/>
      <c r="M712" s="27"/>
      <c r="N712" s="27"/>
      <c r="O712" s="27"/>
      <c r="P712" s="27"/>
      <c r="Q712" s="27"/>
      <c r="R712" s="27"/>
      <c r="S712" s="29" t="str">
        <f aca="false">IF(OR(B712="",C712=""),"",IF(COUNTIFS($B$5:B712,B712,$C$5:C712,C712)=1,1,0))</f>
        <v/>
      </c>
      <c r="T712" s="29" t="str">
        <f aca="false">IF(OR(B712="",C712="",E712=""),"",IF(COUNTIFS($B$5:B712,B712,$C$5:C712,C712,$E$5:E712,E712)=1,1,0))</f>
        <v/>
      </c>
      <c r="U712" s="28" t="str">
        <f aca="false">IF(COUNTA(B712:C712,E712:F712,H712:P712)=0,"",IF(OR(B712="",C712="",E712=""),"Check: date, player, and context required",IF(AND(ISNUMBER(J712),ISNUMBER(I712),J712&gt;I712),"Check: solid contacts &gt; swings",IF(AND(ISNUMBER(L712),ISNUMBER(K712),L712&gt;K712),"Check: correct &gt; assessed decisions",IF(AND(ISNUMBER(N712),ISNUMBER(M712),N712&gt;M712),"Check: intended &gt; assessed landings",IF(AND(ISNUMBER(J712),I712=""),"Check: solid contacts without swings","OK"))))))</f>
        <v/>
      </c>
    </row>
    <row r="713" customFormat="false" ht="15" hidden="false" customHeight="false" outlineLevel="0" collapsed="false">
      <c r="B713" s="26"/>
      <c r="C713" s="27"/>
      <c r="D713" s="28" t="str">
        <f aca="false">IF(C713="","",IFERROR(INDEX(Players!$C$5:$C$104,MATCH(C713,Players!$B$5:$B$104,0)),"ID not found"))</f>
        <v/>
      </c>
      <c r="E713" s="27"/>
      <c r="F713" s="27"/>
      <c r="G713" s="28" t="str">
        <f aca="false">IF(F713="","",IFERROR(INDEX('Hitting Drills'!$D$6:$D$45,MATCH(F713,'Hitting Drills'!$B$6:$B$45,0)),"Not a hitting drill ID"))</f>
        <v/>
      </c>
      <c r="H713" s="27"/>
      <c r="I713" s="27"/>
      <c r="J713" s="27"/>
      <c r="K713" s="27"/>
      <c r="L713" s="27"/>
      <c r="M713" s="27"/>
      <c r="N713" s="27"/>
      <c r="O713" s="27"/>
      <c r="P713" s="27"/>
      <c r="Q713" s="27"/>
      <c r="R713" s="27"/>
      <c r="S713" s="29" t="str">
        <f aca="false">IF(OR(B713="",C713=""),"",IF(COUNTIFS($B$5:B713,B713,$C$5:C713,C713)=1,1,0))</f>
        <v/>
      </c>
      <c r="T713" s="29" t="str">
        <f aca="false">IF(OR(B713="",C713="",E713=""),"",IF(COUNTIFS($B$5:B713,B713,$C$5:C713,C713,$E$5:E713,E713)=1,1,0))</f>
        <v/>
      </c>
      <c r="U713" s="28" t="str">
        <f aca="false">IF(COUNTA(B713:C713,E713:F713,H713:P713)=0,"",IF(OR(B713="",C713="",E713=""),"Check: date, player, and context required",IF(AND(ISNUMBER(J713),ISNUMBER(I713),J713&gt;I713),"Check: solid contacts &gt; swings",IF(AND(ISNUMBER(L713),ISNUMBER(K713),L713&gt;K713),"Check: correct &gt; assessed decisions",IF(AND(ISNUMBER(N713),ISNUMBER(M713),N713&gt;M713),"Check: intended &gt; assessed landings",IF(AND(ISNUMBER(J713),I713=""),"Check: solid contacts without swings","OK"))))))</f>
        <v/>
      </c>
    </row>
    <row r="714" customFormat="false" ht="15" hidden="false" customHeight="false" outlineLevel="0" collapsed="false">
      <c r="B714" s="26"/>
      <c r="C714" s="27"/>
      <c r="D714" s="28" t="str">
        <f aca="false">IF(C714="","",IFERROR(INDEX(Players!$C$5:$C$104,MATCH(C714,Players!$B$5:$B$104,0)),"ID not found"))</f>
        <v/>
      </c>
      <c r="E714" s="27"/>
      <c r="F714" s="27"/>
      <c r="G714" s="28" t="str">
        <f aca="false">IF(F714="","",IFERROR(INDEX('Hitting Drills'!$D$6:$D$45,MATCH(F714,'Hitting Drills'!$B$6:$B$45,0)),"Not a hitting drill ID"))</f>
        <v/>
      </c>
      <c r="H714" s="27"/>
      <c r="I714" s="27"/>
      <c r="J714" s="27"/>
      <c r="K714" s="27"/>
      <c r="L714" s="27"/>
      <c r="M714" s="27"/>
      <c r="N714" s="27"/>
      <c r="O714" s="27"/>
      <c r="P714" s="27"/>
      <c r="Q714" s="27"/>
      <c r="R714" s="27"/>
      <c r="S714" s="29" t="str">
        <f aca="false">IF(OR(B714="",C714=""),"",IF(COUNTIFS($B$5:B714,B714,$C$5:C714,C714)=1,1,0))</f>
        <v/>
      </c>
      <c r="T714" s="29" t="str">
        <f aca="false">IF(OR(B714="",C714="",E714=""),"",IF(COUNTIFS($B$5:B714,B714,$C$5:C714,C714,$E$5:E714,E714)=1,1,0))</f>
        <v/>
      </c>
      <c r="U714" s="28" t="str">
        <f aca="false">IF(COUNTA(B714:C714,E714:F714,H714:P714)=0,"",IF(OR(B714="",C714="",E714=""),"Check: date, player, and context required",IF(AND(ISNUMBER(J714),ISNUMBER(I714),J714&gt;I714),"Check: solid contacts &gt; swings",IF(AND(ISNUMBER(L714),ISNUMBER(K714),L714&gt;K714),"Check: correct &gt; assessed decisions",IF(AND(ISNUMBER(N714),ISNUMBER(M714),N714&gt;M714),"Check: intended &gt; assessed landings",IF(AND(ISNUMBER(J714),I714=""),"Check: solid contacts without swings","OK"))))))</f>
        <v/>
      </c>
    </row>
    <row r="715" customFormat="false" ht="15" hidden="false" customHeight="false" outlineLevel="0" collapsed="false">
      <c r="B715" s="26"/>
      <c r="C715" s="27"/>
      <c r="D715" s="28" t="str">
        <f aca="false">IF(C715="","",IFERROR(INDEX(Players!$C$5:$C$104,MATCH(C715,Players!$B$5:$B$104,0)),"ID not found"))</f>
        <v/>
      </c>
      <c r="E715" s="27"/>
      <c r="F715" s="27"/>
      <c r="G715" s="28" t="str">
        <f aca="false">IF(F715="","",IFERROR(INDEX('Hitting Drills'!$D$6:$D$45,MATCH(F715,'Hitting Drills'!$B$6:$B$45,0)),"Not a hitting drill ID"))</f>
        <v/>
      </c>
      <c r="H715" s="27"/>
      <c r="I715" s="27"/>
      <c r="J715" s="27"/>
      <c r="K715" s="27"/>
      <c r="L715" s="27"/>
      <c r="M715" s="27"/>
      <c r="N715" s="27"/>
      <c r="O715" s="27"/>
      <c r="P715" s="27"/>
      <c r="Q715" s="27"/>
      <c r="R715" s="27"/>
      <c r="S715" s="29" t="str">
        <f aca="false">IF(OR(B715="",C715=""),"",IF(COUNTIFS($B$5:B715,B715,$C$5:C715,C715)=1,1,0))</f>
        <v/>
      </c>
      <c r="T715" s="29" t="str">
        <f aca="false">IF(OR(B715="",C715="",E715=""),"",IF(COUNTIFS($B$5:B715,B715,$C$5:C715,C715,$E$5:E715,E715)=1,1,0))</f>
        <v/>
      </c>
      <c r="U715" s="28" t="str">
        <f aca="false">IF(COUNTA(B715:C715,E715:F715,H715:P715)=0,"",IF(OR(B715="",C715="",E715=""),"Check: date, player, and context required",IF(AND(ISNUMBER(J715),ISNUMBER(I715),J715&gt;I715),"Check: solid contacts &gt; swings",IF(AND(ISNUMBER(L715),ISNUMBER(K715),L715&gt;K715),"Check: correct &gt; assessed decisions",IF(AND(ISNUMBER(N715),ISNUMBER(M715),N715&gt;M715),"Check: intended &gt; assessed landings",IF(AND(ISNUMBER(J715),I715=""),"Check: solid contacts without swings","OK"))))))</f>
        <v/>
      </c>
    </row>
    <row r="716" customFormat="false" ht="15" hidden="false" customHeight="false" outlineLevel="0" collapsed="false">
      <c r="B716" s="26"/>
      <c r="C716" s="27"/>
      <c r="D716" s="28" t="str">
        <f aca="false">IF(C716="","",IFERROR(INDEX(Players!$C$5:$C$104,MATCH(C716,Players!$B$5:$B$104,0)),"ID not found"))</f>
        <v/>
      </c>
      <c r="E716" s="27"/>
      <c r="F716" s="27"/>
      <c r="G716" s="28" t="str">
        <f aca="false">IF(F716="","",IFERROR(INDEX('Hitting Drills'!$D$6:$D$45,MATCH(F716,'Hitting Drills'!$B$6:$B$45,0)),"Not a hitting drill ID"))</f>
        <v/>
      </c>
      <c r="H716" s="27"/>
      <c r="I716" s="27"/>
      <c r="J716" s="27"/>
      <c r="K716" s="27"/>
      <c r="L716" s="27"/>
      <c r="M716" s="27"/>
      <c r="N716" s="27"/>
      <c r="O716" s="27"/>
      <c r="P716" s="27"/>
      <c r="Q716" s="27"/>
      <c r="R716" s="27"/>
      <c r="S716" s="29" t="str">
        <f aca="false">IF(OR(B716="",C716=""),"",IF(COUNTIFS($B$5:B716,B716,$C$5:C716,C716)=1,1,0))</f>
        <v/>
      </c>
      <c r="T716" s="29" t="str">
        <f aca="false">IF(OR(B716="",C716="",E716=""),"",IF(COUNTIFS($B$5:B716,B716,$C$5:C716,C716,$E$5:E716,E716)=1,1,0))</f>
        <v/>
      </c>
      <c r="U716" s="28" t="str">
        <f aca="false">IF(COUNTA(B716:C716,E716:F716,H716:P716)=0,"",IF(OR(B716="",C716="",E716=""),"Check: date, player, and context required",IF(AND(ISNUMBER(J716),ISNUMBER(I716),J716&gt;I716),"Check: solid contacts &gt; swings",IF(AND(ISNUMBER(L716),ISNUMBER(K716),L716&gt;K716),"Check: correct &gt; assessed decisions",IF(AND(ISNUMBER(N716),ISNUMBER(M716),N716&gt;M716),"Check: intended &gt; assessed landings",IF(AND(ISNUMBER(J716),I716=""),"Check: solid contacts without swings","OK"))))))</f>
        <v/>
      </c>
    </row>
    <row r="717" customFormat="false" ht="15" hidden="false" customHeight="false" outlineLevel="0" collapsed="false">
      <c r="B717" s="26"/>
      <c r="C717" s="27"/>
      <c r="D717" s="28" t="str">
        <f aca="false">IF(C717="","",IFERROR(INDEX(Players!$C$5:$C$104,MATCH(C717,Players!$B$5:$B$104,0)),"ID not found"))</f>
        <v/>
      </c>
      <c r="E717" s="27"/>
      <c r="F717" s="27"/>
      <c r="G717" s="28" t="str">
        <f aca="false">IF(F717="","",IFERROR(INDEX('Hitting Drills'!$D$6:$D$45,MATCH(F717,'Hitting Drills'!$B$6:$B$45,0)),"Not a hitting drill ID"))</f>
        <v/>
      </c>
      <c r="H717" s="27"/>
      <c r="I717" s="27"/>
      <c r="J717" s="27"/>
      <c r="K717" s="27"/>
      <c r="L717" s="27"/>
      <c r="M717" s="27"/>
      <c r="N717" s="27"/>
      <c r="O717" s="27"/>
      <c r="P717" s="27"/>
      <c r="Q717" s="27"/>
      <c r="R717" s="27"/>
      <c r="S717" s="29" t="str">
        <f aca="false">IF(OR(B717="",C717=""),"",IF(COUNTIFS($B$5:B717,B717,$C$5:C717,C717)=1,1,0))</f>
        <v/>
      </c>
      <c r="T717" s="29" t="str">
        <f aca="false">IF(OR(B717="",C717="",E717=""),"",IF(COUNTIFS($B$5:B717,B717,$C$5:C717,C717,$E$5:E717,E717)=1,1,0))</f>
        <v/>
      </c>
      <c r="U717" s="28" t="str">
        <f aca="false">IF(COUNTA(B717:C717,E717:F717,H717:P717)=0,"",IF(OR(B717="",C717="",E717=""),"Check: date, player, and context required",IF(AND(ISNUMBER(J717),ISNUMBER(I717),J717&gt;I717),"Check: solid contacts &gt; swings",IF(AND(ISNUMBER(L717),ISNUMBER(K717),L717&gt;K717),"Check: correct &gt; assessed decisions",IF(AND(ISNUMBER(N717),ISNUMBER(M717),N717&gt;M717),"Check: intended &gt; assessed landings",IF(AND(ISNUMBER(J717),I717=""),"Check: solid contacts without swings","OK"))))))</f>
        <v/>
      </c>
    </row>
    <row r="718" customFormat="false" ht="15" hidden="false" customHeight="false" outlineLevel="0" collapsed="false">
      <c r="B718" s="26"/>
      <c r="C718" s="27"/>
      <c r="D718" s="28" t="str">
        <f aca="false">IF(C718="","",IFERROR(INDEX(Players!$C$5:$C$104,MATCH(C718,Players!$B$5:$B$104,0)),"ID not found"))</f>
        <v/>
      </c>
      <c r="E718" s="27"/>
      <c r="F718" s="27"/>
      <c r="G718" s="28" t="str">
        <f aca="false">IF(F718="","",IFERROR(INDEX('Hitting Drills'!$D$6:$D$45,MATCH(F718,'Hitting Drills'!$B$6:$B$45,0)),"Not a hitting drill ID"))</f>
        <v/>
      </c>
      <c r="H718" s="27"/>
      <c r="I718" s="27"/>
      <c r="J718" s="27"/>
      <c r="K718" s="27"/>
      <c r="L718" s="27"/>
      <c r="M718" s="27"/>
      <c r="N718" s="27"/>
      <c r="O718" s="27"/>
      <c r="P718" s="27"/>
      <c r="Q718" s="27"/>
      <c r="R718" s="27"/>
      <c r="S718" s="29" t="str">
        <f aca="false">IF(OR(B718="",C718=""),"",IF(COUNTIFS($B$5:B718,B718,$C$5:C718,C718)=1,1,0))</f>
        <v/>
      </c>
      <c r="T718" s="29" t="str">
        <f aca="false">IF(OR(B718="",C718="",E718=""),"",IF(COUNTIFS($B$5:B718,B718,$C$5:C718,C718,$E$5:E718,E718)=1,1,0))</f>
        <v/>
      </c>
      <c r="U718" s="28" t="str">
        <f aca="false">IF(COUNTA(B718:C718,E718:F718,H718:P718)=0,"",IF(OR(B718="",C718="",E718=""),"Check: date, player, and context required",IF(AND(ISNUMBER(J718),ISNUMBER(I718),J718&gt;I718),"Check: solid contacts &gt; swings",IF(AND(ISNUMBER(L718),ISNUMBER(K718),L718&gt;K718),"Check: correct &gt; assessed decisions",IF(AND(ISNUMBER(N718),ISNUMBER(M718),N718&gt;M718),"Check: intended &gt; assessed landings",IF(AND(ISNUMBER(J718),I718=""),"Check: solid contacts without swings","OK"))))))</f>
        <v/>
      </c>
    </row>
    <row r="719" customFormat="false" ht="15" hidden="false" customHeight="false" outlineLevel="0" collapsed="false">
      <c r="B719" s="26"/>
      <c r="C719" s="27"/>
      <c r="D719" s="28" t="str">
        <f aca="false">IF(C719="","",IFERROR(INDEX(Players!$C$5:$C$104,MATCH(C719,Players!$B$5:$B$104,0)),"ID not found"))</f>
        <v/>
      </c>
      <c r="E719" s="27"/>
      <c r="F719" s="27"/>
      <c r="G719" s="28" t="str">
        <f aca="false">IF(F719="","",IFERROR(INDEX('Hitting Drills'!$D$6:$D$45,MATCH(F719,'Hitting Drills'!$B$6:$B$45,0)),"Not a hitting drill ID"))</f>
        <v/>
      </c>
      <c r="H719" s="27"/>
      <c r="I719" s="27"/>
      <c r="J719" s="27"/>
      <c r="K719" s="27"/>
      <c r="L719" s="27"/>
      <c r="M719" s="27"/>
      <c r="N719" s="27"/>
      <c r="O719" s="27"/>
      <c r="P719" s="27"/>
      <c r="Q719" s="27"/>
      <c r="R719" s="27"/>
      <c r="S719" s="29" t="str">
        <f aca="false">IF(OR(B719="",C719=""),"",IF(COUNTIFS($B$5:B719,B719,$C$5:C719,C719)=1,1,0))</f>
        <v/>
      </c>
      <c r="T719" s="29" t="str">
        <f aca="false">IF(OR(B719="",C719="",E719=""),"",IF(COUNTIFS($B$5:B719,B719,$C$5:C719,C719,$E$5:E719,E719)=1,1,0))</f>
        <v/>
      </c>
      <c r="U719" s="28" t="str">
        <f aca="false">IF(COUNTA(B719:C719,E719:F719,H719:P719)=0,"",IF(OR(B719="",C719="",E719=""),"Check: date, player, and context required",IF(AND(ISNUMBER(J719),ISNUMBER(I719),J719&gt;I719),"Check: solid contacts &gt; swings",IF(AND(ISNUMBER(L719),ISNUMBER(K719),L719&gt;K719),"Check: correct &gt; assessed decisions",IF(AND(ISNUMBER(N719),ISNUMBER(M719),N719&gt;M719),"Check: intended &gt; assessed landings",IF(AND(ISNUMBER(J719),I719=""),"Check: solid contacts without swings","OK"))))))</f>
        <v/>
      </c>
    </row>
    <row r="720" customFormat="false" ht="15" hidden="false" customHeight="false" outlineLevel="0" collapsed="false">
      <c r="B720" s="26"/>
      <c r="C720" s="27"/>
      <c r="D720" s="28" t="str">
        <f aca="false">IF(C720="","",IFERROR(INDEX(Players!$C$5:$C$104,MATCH(C720,Players!$B$5:$B$104,0)),"ID not found"))</f>
        <v/>
      </c>
      <c r="E720" s="27"/>
      <c r="F720" s="27"/>
      <c r="G720" s="28" t="str">
        <f aca="false">IF(F720="","",IFERROR(INDEX('Hitting Drills'!$D$6:$D$45,MATCH(F720,'Hitting Drills'!$B$6:$B$45,0)),"Not a hitting drill ID"))</f>
        <v/>
      </c>
      <c r="H720" s="27"/>
      <c r="I720" s="27"/>
      <c r="J720" s="27"/>
      <c r="K720" s="27"/>
      <c r="L720" s="27"/>
      <c r="M720" s="27"/>
      <c r="N720" s="27"/>
      <c r="O720" s="27"/>
      <c r="P720" s="27"/>
      <c r="Q720" s="27"/>
      <c r="R720" s="27"/>
      <c r="S720" s="29" t="str">
        <f aca="false">IF(OR(B720="",C720=""),"",IF(COUNTIFS($B$5:B720,B720,$C$5:C720,C720)=1,1,0))</f>
        <v/>
      </c>
      <c r="T720" s="29" t="str">
        <f aca="false">IF(OR(B720="",C720="",E720=""),"",IF(COUNTIFS($B$5:B720,B720,$C$5:C720,C720,$E$5:E720,E720)=1,1,0))</f>
        <v/>
      </c>
      <c r="U720" s="28" t="str">
        <f aca="false">IF(COUNTA(B720:C720,E720:F720,H720:P720)=0,"",IF(OR(B720="",C720="",E720=""),"Check: date, player, and context required",IF(AND(ISNUMBER(J720),ISNUMBER(I720),J720&gt;I720),"Check: solid contacts &gt; swings",IF(AND(ISNUMBER(L720),ISNUMBER(K720),L720&gt;K720),"Check: correct &gt; assessed decisions",IF(AND(ISNUMBER(N720),ISNUMBER(M720),N720&gt;M720),"Check: intended &gt; assessed landings",IF(AND(ISNUMBER(J720),I720=""),"Check: solid contacts without swings","OK"))))))</f>
        <v/>
      </c>
    </row>
    <row r="721" customFormat="false" ht="15" hidden="false" customHeight="false" outlineLevel="0" collapsed="false">
      <c r="B721" s="26"/>
      <c r="C721" s="27"/>
      <c r="D721" s="28" t="str">
        <f aca="false">IF(C721="","",IFERROR(INDEX(Players!$C$5:$C$104,MATCH(C721,Players!$B$5:$B$104,0)),"ID not found"))</f>
        <v/>
      </c>
      <c r="E721" s="27"/>
      <c r="F721" s="27"/>
      <c r="G721" s="28" t="str">
        <f aca="false">IF(F721="","",IFERROR(INDEX('Hitting Drills'!$D$6:$D$45,MATCH(F721,'Hitting Drills'!$B$6:$B$45,0)),"Not a hitting drill ID"))</f>
        <v/>
      </c>
      <c r="H721" s="27"/>
      <c r="I721" s="27"/>
      <c r="J721" s="27"/>
      <c r="K721" s="27"/>
      <c r="L721" s="27"/>
      <c r="M721" s="27"/>
      <c r="N721" s="27"/>
      <c r="O721" s="27"/>
      <c r="P721" s="27"/>
      <c r="Q721" s="27"/>
      <c r="R721" s="27"/>
      <c r="S721" s="29" t="str">
        <f aca="false">IF(OR(B721="",C721=""),"",IF(COUNTIFS($B$5:B721,B721,$C$5:C721,C721)=1,1,0))</f>
        <v/>
      </c>
      <c r="T721" s="29" t="str">
        <f aca="false">IF(OR(B721="",C721="",E721=""),"",IF(COUNTIFS($B$5:B721,B721,$C$5:C721,C721,$E$5:E721,E721)=1,1,0))</f>
        <v/>
      </c>
      <c r="U721" s="28" t="str">
        <f aca="false">IF(COUNTA(B721:C721,E721:F721,H721:P721)=0,"",IF(OR(B721="",C721="",E721=""),"Check: date, player, and context required",IF(AND(ISNUMBER(J721),ISNUMBER(I721),J721&gt;I721),"Check: solid contacts &gt; swings",IF(AND(ISNUMBER(L721),ISNUMBER(K721),L721&gt;K721),"Check: correct &gt; assessed decisions",IF(AND(ISNUMBER(N721),ISNUMBER(M721),N721&gt;M721),"Check: intended &gt; assessed landings",IF(AND(ISNUMBER(J721),I721=""),"Check: solid contacts without swings","OK"))))))</f>
        <v/>
      </c>
    </row>
    <row r="722" customFormat="false" ht="15" hidden="false" customHeight="false" outlineLevel="0" collapsed="false">
      <c r="B722" s="26"/>
      <c r="C722" s="27"/>
      <c r="D722" s="28" t="str">
        <f aca="false">IF(C722="","",IFERROR(INDEX(Players!$C$5:$C$104,MATCH(C722,Players!$B$5:$B$104,0)),"ID not found"))</f>
        <v/>
      </c>
      <c r="E722" s="27"/>
      <c r="F722" s="27"/>
      <c r="G722" s="28" t="str">
        <f aca="false">IF(F722="","",IFERROR(INDEX('Hitting Drills'!$D$6:$D$45,MATCH(F722,'Hitting Drills'!$B$6:$B$45,0)),"Not a hitting drill ID"))</f>
        <v/>
      </c>
      <c r="H722" s="27"/>
      <c r="I722" s="27"/>
      <c r="J722" s="27"/>
      <c r="K722" s="27"/>
      <c r="L722" s="27"/>
      <c r="M722" s="27"/>
      <c r="N722" s="27"/>
      <c r="O722" s="27"/>
      <c r="P722" s="27"/>
      <c r="Q722" s="27"/>
      <c r="R722" s="27"/>
      <c r="S722" s="29" t="str">
        <f aca="false">IF(OR(B722="",C722=""),"",IF(COUNTIFS($B$5:B722,B722,$C$5:C722,C722)=1,1,0))</f>
        <v/>
      </c>
      <c r="T722" s="29" t="str">
        <f aca="false">IF(OR(B722="",C722="",E722=""),"",IF(COUNTIFS($B$5:B722,B722,$C$5:C722,C722,$E$5:E722,E722)=1,1,0))</f>
        <v/>
      </c>
      <c r="U722" s="28" t="str">
        <f aca="false">IF(COUNTA(B722:C722,E722:F722,H722:P722)=0,"",IF(OR(B722="",C722="",E722=""),"Check: date, player, and context required",IF(AND(ISNUMBER(J722),ISNUMBER(I722),J722&gt;I722),"Check: solid contacts &gt; swings",IF(AND(ISNUMBER(L722),ISNUMBER(K722),L722&gt;K722),"Check: correct &gt; assessed decisions",IF(AND(ISNUMBER(N722),ISNUMBER(M722),N722&gt;M722),"Check: intended &gt; assessed landings",IF(AND(ISNUMBER(J722),I722=""),"Check: solid contacts without swings","OK"))))))</f>
        <v/>
      </c>
    </row>
    <row r="723" customFormat="false" ht="15" hidden="false" customHeight="false" outlineLevel="0" collapsed="false">
      <c r="B723" s="26"/>
      <c r="C723" s="27"/>
      <c r="D723" s="28" t="str">
        <f aca="false">IF(C723="","",IFERROR(INDEX(Players!$C$5:$C$104,MATCH(C723,Players!$B$5:$B$104,0)),"ID not found"))</f>
        <v/>
      </c>
      <c r="E723" s="27"/>
      <c r="F723" s="27"/>
      <c r="G723" s="28" t="str">
        <f aca="false">IF(F723="","",IFERROR(INDEX('Hitting Drills'!$D$6:$D$45,MATCH(F723,'Hitting Drills'!$B$6:$B$45,0)),"Not a hitting drill ID"))</f>
        <v/>
      </c>
      <c r="H723" s="27"/>
      <c r="I723" s="27"/>
      <c r="J723" s="27"/>
      <c r="K723" s="27"/>
      <c r="L723" s="27"/>
      <c r="M723" s="27"/>
      <c r="N723" s="27"/>
      <c r="O723" s="27"/>
      <c r="P723" s="27"/>
      <c r="Q723" s="27"/>
      <c r="R723" s="27"/>
      <c r="S723" s="29" t="str">
        <f aca="false">IF(OR(B723="",C723=""),"",IF(COUNTIFS($B$5:B723,B723,$C$5:C723,C723)=1,1,0))</f>
        <v/>
      </c>
      <c r="T723" s="29" t="str">
        <f aca="false">IF(OR(B723="",C723="",E723=""),"",IF(COUNTIFS($B$5:B723,B723,$C$5:C723,C723,$E$5:E723,E723)=1,1,0))</f>
        <v/>
      </c>
      <c r="U723" s="28" t="str">
        <f aca="false">IF(COUNTA(B723:C723,E723:F723,H723:P723)=0,"",IF(OR(B723="",C723="",E723=""),"Check: date, player, and context required",IF(AND(ISNUMBER(J723),ISNUMBER(I723),J723&gt;I723),"Check: solid contacts &gt; swings",IF(AND(ISNUMBER(L723),ISNUMBER(K723),L723&gt;K723),"Check: correct &gt; assessed decisions",IF(AND(ISNUMBER(N723),ISNUMBER(M723),N723&gt;M723),"Check: intended &gt; assessed landings",IF(AND(ISNUMBER(J723),I723=""),"Check: solid contacts without swings","OK"))))))</f>
        <v/>
      </c>
    </row>
    <row r="724" customFormat="false" ht="15" hidden="false" customHeight="false" outlineLevel="0" collapsed="false">
      <c r="B724" s="26"/>
      <c r="C724" s="27"/>
      <c r="D724" s="28" t="str">
        <f aca="false">IF(C724="","",IFERROR(INDEX(Players!$C$5:$C$104,MATCH(C724,Players!$B$5:$B$104,0)),"ID not found"))</f>
        <v/>
      </c>
      <c r="E724" s="27"/>
      <c r="F724" s="27"/>
      <c r="G724" s="28" t="str">
        <f aca="false">IF(F724="","",IFERROR(INDEX('Hitting Drills'!$D$6:$D$45,MATCH(F724,'Hitting Drills'!$B$6:$B$45,0)),"Not a hitting drill ID"))</f>
        <v/>
      </c>
      <c r="H724" s="27"/>
      <c r="I724" s="27"/>
      <c r="J724" s="27"/>
      <c r="K724" s="27"/>
      <c r="L724" s="27"/>
      <c r="M724" s="27"/>
      <c r="N724" s="27"/>
      <c r="O724" s="27"/>
      <c r="P724" s="27"/>
      <c r="Q724" s="27"/>
      <c r="R724" s="27"/>
      <c r="S724" s="29" t="str">
        <f aca="false">IF(OR(B724="",C724=""),"",IF(COUNTIFS($B$5:B724,B724,$C$5:C724,C724)=1,1,0))</f>
        <v/>
      </c>
      <c r="T724" s="29" t="str">
        <f aca="false">IF(OR(B724="",C724="",E724=""),"",IF(COUNTIFS($B$5:B724,B724,$C$5:C724,C724,$E$5:E724,E724)=1,1,0))</f>
        <v/>
      </c>
      <c r="U724" s="28" t="str">
        <f aca="false">IF(COUNTA(B724:C724,E724:F724,H724:P724)=0,"",IF(OR(B724="",C724="",E724=""),"Check: date, player, and context required",IF(AND(ISNUMBER(J724),ISNUMBER(I724),J724&gt;I724),"Check: solid contacts &gt; swings",IF(AND(ISNUMBER(L724),ISNUMBER(K724),L724&gt;K724),"Check: correct &gt; assessed decisions",IF(AND(ISNUMBER(N724),ISNUMBER(M724),N724&gt;M724),"Check: intended &gt; assessed landings",IF(AND(ISNUMBER(J724),I724=""),"Check: solid contacts without swings","OK"))))))</f>
        <v/>
      </c>
    </row>
    <row r="725" customFormat="false" ht="15" hidden="false" customHeight="false" outlineLevel="0" collapsed="false">
      <c r="B725" s="26"/>
      <c r="C725" s="27"/>
      <c r="D725" s="28" t="str">
        <f aca="false">IF(C725="","",IFERROR(INDEX(Players!$C$5:$C$104,MATCH(C725,Players!$B$5:$B$104,0)),"ID not found"))</f>
        <v/>
      </c>
      <c r="E725" s="27"/>
      <c r="F725" s="27"/>
      <c r="G725" s="28" t="str">
        <f aca="false">IF(F725="","",IFERROR(INDEX('Hitting Drills'!$D$6:$D$45,MATCH(F725,'Hitting Drills'!$B$6:$B$45,0)),"Not a hitting drill ID"))</f>
        <v/>
      </c>
      <c r="H725" s="27"/>
      <c r="I725" s="27"/>
      <c r="J725" s="27"/>
      <c r="K725" s="27"/>
      <c r="L725" s="27"/>
      <c r="M725" s="27"/>
      <c r="N725" s="27"/>
      <c r="O725" s="27"/>
      <c r="P725" s="27"/>
      <c r="Q725" s="27"/>
      <c r="R725" s="27"/>
      <c r="S725" s="29" t="str">
        <f aca="false">IF(OR(B725="",C725=""),"",IF(COUNTIFS($B$5:B725,B725,$C$5:C725,C725)=1,1,0))</f>
        <v/>
      </c>
      <c r="T725" s="29" t="str">
        <f aca="false">IF(OR(B725="",C725="",E725=""),"",IF(COUNTIFS($B$5:B725,B725,$C$5:C725,C725,$E$5:E725,E725)=1,1,0))</f>
        <v/>
      </c>
      <c r="U725" s="28" t="str">
        <f aca="false">IF(COUNTA(B725:C725,E725:F725,H725:P725)=0,"",IF(OR(B725="",C725="",E725=""),"Check: date, player, and context required",IF(AND(ISNUMBER(J725),ISNUMBER(I725),J725&gt;I725),"Check: solid contacts &gt; swings",IF(AND(ISNUMBER(L725),ISNUMBER(K725),L725&gt;K725),"Check: correct &gt; assessed decisions",IF(AND(ISNUMBER(N725),ISNUMBER(M725),N725&gt;M725),"Check: intended &gt; assessed landings",IF(AND(ISNUMBER(J725),I725=""),"Check: solid contacts without swings","OK"))))))</f>
        <v/>
      </c>
    </row>
    <row r="726" customFormat="false" ht="15" hidden="false" customHeight="false" outlineLevel="0" collapsed="false">
      <c r="B726" s="26"/>
      <c r="C726" s="27"/>
      <c r="D726" s="28" t="str">
        <f aca="false">IF(C726="","",IFERROR(INDEX(Players!$C$5:$C$104,MATCH(C726,Players!$B$5:$B$104,0)),"ID not found"))</f>
        <v/>
      </c>
      <c r="E726" s="27"/>
      <c r="F726" s="27"/>
      <c r="G726" s="28" t="str">
        <f aca="false">IF(F726="","",IFERROR(INDEX('Hitting Drills'!$D$6:$D$45,MATCH(F726,'Hitting Drills'!$B$6:$B$45,0)),"Not a hitting drill ID"))</f>
        <v/>
      </c>
      <c r="H726" s="27"/>
      <c r="I726" s="27"/>
      <c r="J726" s="27"/>
      <c r="K726" s="27"/>
      <c r="L726" s="27"/>
      <c r="M726" s="27"/>
      <c r="N726" s="27"/>
      <c r="O726" s="27"/>
      <c r="P726" s="27"/>
      <c r="Q726" s="27"/>
      <c r="R726" s="27"/>
      <c r="S726" s="29" t="str">
        <f aca="false">IF(OR(B726="",C726=""),"",IF(COUNTIFS($B$5:B726,B726,$C$5:C726,C726)=1,1,0))</f>
        <v/>
      </c>
      <c r="T726" s="29" t="str">
        <f aca="false">IF(OR(B726="",C726="",E726=""),"",IF(COUNTIFS($B$5:B726,B726,$C$5:C726,C726,$E$5:E726,E726)=1,1,0))</f>
        <v/>
      </c>
      <c r="U726" s="28" t="str">
        <f aca="false">IF(COUNTA(B726:C726,E726:F726,H726:P726)=0,"",IF(OR(B726="",C726="",E726=""),"Check: date, player, and context required",IF(AND(ISNUMBER(J726),ISNUMBER(I726),J726&gt;I726),"Check: solid contacts &gt; swings",IF(AND(ISNUMBER(L726),ISNUMBER(K726),L726&gt;K726),"Check: correct &gt; assessed decisions",IF(AND(ISNUMBER(N726),ISNUMBER(M726),N726&gt;M726),"Check: intended &gt; assessed landings",IF(AND(ISNUMBER(J726),I726=""),"Check: solid contacts without swings","OK"))))))</f>
        <v/>
      </c>
    </row>
    <row r="727" customFormat="false" ht="15" hidden="false" customHeight="false" outlineLevel="0" collapsed="false">
      <c r="B727" s="26"/>
      <c r="C727" s="27"/>
      <c r="D727" s="28" t="str">
        <f aca="false">IF(C727="","",IFERROR(INDEX(Players!$C$5:$C$104,MATCH(C727,Players!$B$5:$B$104,0)),"ID not found"))</f>
        <v/>
      </c>
      <c r="E727" s="27"/>
      <c r="F727" s="27"/>
      <c r="G727" s="28" t="str">
        <f aca="false">IF(F727="","",IFERROR(INDEX('Hitting Drills'!$D$6:$D$45,MATCH(F727,'Hitting Drills'!$B$6:$B$45,0)),"Not a hitting drill ID"))</f>
        <v/>
      </c>
      <c r="H727" s="27"/>
      <c r="I727" s="27"/>
      <c r="J727" s="27"/>
      <c r="K727" s="27"/>
      <c r="L727" s="27"/>
      <c r="M727" s="27"/>
      <c r="N727" s="27"/>
      <c r="O727" s="27"/>
      <c r="P727" s="27"/>
      <c r="Q727" s="27"/>
      <c r="R727" s="27"/>
      <c r="S727" s="29" t="str">
        <f aca="false">IF(OR(B727="",C727=""),"",IF(COUNTIFS($B$5:B727,B727,$C$5:C727,C727)=1,1,0))</f>
        <v/>
      </c>
      <c r="T727" s="29" t="str">
        <f aca="false">IF(OR(B727="",C727="",E727=""),"",IF(COUNTIFS($B$5:B727,B727,$C$5:C727,C727,$E$5:E727,E727)=1,1,0))</f>
        <v/>
      </c>
      <c r="U727" s="28" t="str">
        <f aca="false">IF(COUNTA(B727:C727,E727:F727,H727:P727)=0,"",IF(OR(B727="",C727="",E727=""),"Check: date, player, and context required",IF(AND(ISNUMBER(J727),ISNUMBER(I727),J727&gt;I727),"Check: solid contacts &gt; swings",IF(AND(ISNUMBER(L727),ISNUMBER(K727),L727&gt;K727),"Check: correct &gt; assessed decisions",IF(AND(ISNUMBER(N727),ISNUMBER(M727),N727&gt;M727),"Check: intended &gt; assessed landings",IF(AND(ISNUMBER(J727),I727=""),"Check: solid contacts without swings","OK"))))))</f>
        <v/>
      </c>
    </row>
    <row r="728" customFormat="false" ht="15" hidden="false" customHeight="false" outlineLevel="0" collapsed="false">
      <c r="B728" s="26"/>
      <c r="C728" s="27"/>
      <c r="D728" s="28" t="str">
        <f aca="false">IF(C728="","",IFERROR(INDEX(Players!$C$5:$C$104,MATCH(C728,Players!$B$5:$B$104,0)),"ID not found"))</f>
        <v/>
      </c>
      <c r="E728" s="27"/>
      <c r="F728" s="27"/>
      <c r="G728" s="28" t="str">
        <f aca="false">IF(F728="","",IFERROR(INDEX('Hitting Drills'!$D$6:$D$45,MATCH(F728,'Hitting Drills'!$B$6:$B$45,0)),"Not a hitting drill ID"))</f>
        <v/>
      </c>
      <c r="H728" s="27"/>
      <c r="I728" s="27"/>
      <c r="J728" s="27"/>
      <c r="K728" s="27"/>
      <c r="L728" s="27"/>
      <c r="M728" s="27"/>
      <c r="N728" s="27"/>
      <c r="O728" s="27"/>
      <c r="P728" s="27"/>
      <c r="Q728" s="27"/>
      <c r="R728" s="27"/>
      <c r="S728" s="29" t="str">
        <f aca="false">IF(OR(B728="",C728=""),"",IF(COUNTIFS($B$5:B728,B728,$C$5:C728,C728)=1,1,0))</f>
        <v/>
      </c>
      <c r="T728" s="29" t="str">
        <f aca="false">IF(OR(B728="",C728="",E728=""),"",IF(COUNTIFS($B$5:B728,B728,$C$5:C728,C728,$E$5:E728,E728)=1,1,0))</f>
        <v/>
      </c>
      <c r="U728" s="28" t="str">
        <f aca="false">IF(COUNTA(B728:C728,E728:F728,H728:P728)=0,"",IF(OR(B728="",C728="",E728=""),"Check: date, player, and context required",IF(AND(ISNUMBER(J728),ISNUMBER(I728),J728&gt;I728),"Check: solid contacts &gt; swings",IF(AND(ISNUMBER(L728),ISNUMBER(K728),L728&gt;K728),"Check: correct &gt; assessed decisions",IF(AND(ISNUMBER(N728),ISNUMBER(M728),N728&gt;M728),"Check: intended &gt; assessed landings",IF(AND(ISNUMBER(J728),I728=""),"Check: solid contacts without swings","OK"))))))</f>
        <v/>
      </c>
    </row>
    <row r="729" customFormat="false" ht="15" hidden="false" customHeight="false" outlineLevel="0" collapsed="false">
      <c r="B729" s="26"/>
      <c r="C729" s="27"/>
      <c r="D729" s="28" t="str">
        <f aca="false">IF(C729="","",IFERROR(INDEX(Players!$C$5:$C$104,MATCH(C729,Players!$B$5:$B$104,0)),"ID not found"))</f>
        <v/>
      </c>
      <c r="E729" s="27"/>
      <c r="F729" s="27"/>
      <c r="G729" s="28" t="str">
        <f aca="false">IF(F729="","",IFERROR(INDEX('Hitting Drills'!$D$6:$D$45,MATCH(F729,'Hitting Drills'!$B$6:$B$45,0)),"Not a hitting drill ID"))</f>
        <v/>
      </c>
      <c r="H729" s="27"/>
      <c r="I729" s="27"/>
      <c r="J729" s="27"/>
      <c r="K729" s="27"/>
      <c r="L729" s="27"/>
      <c r="M729" s="27"/>
      <c r="N729" s="27"/>
      <c r="O729" s="27"/>
      <c r="P729" s="27"/>
      <c r="Q729" s="27"/>
      <c r="R729" s="27"/>
      <c r="S729" s="29" t="str">
        <f aca="false">IF(OR(B729="",C729=""),"",IF(COUNTIFS($B$5:B729,B729,$C$5:C729,C729)=1,1,0))</f>
        <v/>
      </c>
      <c r="T729" s="29" t="str">
        <f aca="false">IF(OR(B729="",C729="",E729=""),"",IF(COUNTIFS($B$5:B729,B729,$C$5:C729,C729,$E$5:E729,E729)=1,1,0))</f>
        <v/>
      </c>
      <c r="U729" s="28" t="str">
        <f aca="false">IF(COUNTA(B729:C729,E729:F729,H729:P729)=0,"",IF(OR(B729="",C729="",E729=""),"Check: date, player, and context required",IF(AND(ISNUMBER(J729),ISNUMBER(I729),J729&gt;I729),"Check: solid contacts &gt; swings",IF(AND(ISNUMBER(L729),ISNUMBER(K729),L729&gt;K729),"Check: correct &gt; assessed decisions",IF(AND(ISNUMBER(N729),ISNUMBER(M729),N729&gt;M729),"Check: intended &gt; assessed landings",IF(AND(ISNUMBER(J729),I729=""),"Check: solid contacts without swings","OK"))))))</f>
        <v/>
      </c>
    </row>
    <row r="730" customFormat="false" ht="15" hidden="false" customHeight="false" outlineLevel="0" collapsed="false">
      <c r="B730" s="26"/>
      <c r="C730" s="27"/>
      <c r="D730" s="28" t="str">
        <f aca="false">IF(C730="","",IFERROR(INDEX(Players!$C$5:$C$104,MATCH(C730,Players!$B$5:$B$104,0)),"ID not found"))</f>
        <v/>
      </c>
      <c r="E730" s="27"/>
      <c r="F730" s="27"/>
      <c r="G730" s="28" t="str">
        <f aca="false">IF(F730="","",IFERROR(INDEX('Hitting Drills'!$D$6:$D$45,MATCH(F730,'Hitting Drills'!$B$6:$B$45,0)),"Not a hitting drill ID"))</f>
        <v/>
      </c>
      <c r="H730" s="27"/>
      <c r="I730" s="27"/>
      <c r="J730" s="27"/>
      <c r="K730" s="27"/>
      <c r="L730" s="27"/>
      <c r="M730" s="27"/>
      <c r="N730" s="27"/>
      <c r="O730" s="27"/>
      <c r="P730" s="27"/>
      <c r="Q730" s="27"/>
      <c r="R730" s="27"/>
      <c r="S730" s="29" t="str">
        <f aca="false">IF(OR(B730="",C730=""),"",IF(COUNTIFS($B$5:B730,B730,$C$5:C730,C730)=1,1,0))</f>
        <v/>
      </c>
      <c r="T730" s="29" t="str">
        <f aca="false">IF(OR(B730="",C730="",E730=""),"",IF(COUNTIFS($B$5:B730,B730,$C$5:C730,C730,$E$5:E730,E730)=1,1,0))</f>
        <v/>
      </c>
      <c r="U730" s="28" t="str">
        <f aca="false">IF(COUNTA(B730:C730,E730:F730,H730:P730)=0,"",IF(OR(B730="",C730="",E730=""),"Check: date, player, and context required",IF(AND(ISNUMBER(J730),ISNUMBER(I730),J730&gt;I730),"Check: solid contacts &gt; swings",IF(AND(ISNUMBER(L730),ISNUMBER(K730),L730&gt;K730),"Check: correct &gt; assessed decisions",IF(AND(ISNUMBER(N730),ISNUMBER(M730),N730&gt;M730),"Check: intended &gt; assessed landings",IF(AND(ISNUMBER(J730),I730=""),"Check: solid contacts without swings","OK"))))))</f>
        <v/>
      </c>
    </row>
    <row r="731" customFormat="false" ht="15" hidden="false" customHeight="false" outlineLevel="0" collapsed="false">
      <c r="B731" s="26"/>
      <c r="C731" s="27"/>
      <c r="D731" s="28" t="str">
        <f aca="false">IF(C731="","",IFERROR(INDEX(Players!$C$5:$C$104,MATCH(C731,Players!$B$5:$B$104,0)),"ID not found"))</f>
        <v/>
      </c>
      <c r="E731" s="27"/>
      <c r="F731" s="27"/>
      <c r="G731" s="28" t="str">
        <f aca="false">IF(F731="","",IFERROR(INDEX('Hitting Drills'!$D$6:$D$45,MATCH(F731,'Hitting Drills'!$B$6:$B$45,0)),"Not a hitting drill ID"))</f>
        <v/>
      </c>
      <c r="H731" s="27"/>
      <c r="I731" s="27"/>
      <c r="J731" s="27"/>
      <c r="K731" s="27"/>
      <c r="L731" s="27"/>
      <c r="M731" s="27"/>
      <c r="N731" s="27"/>
      <c r="O731" s="27"/>
      <c r="P731" s="27"/>
      <c r="Q731" s="27"/>
      <c r="R731" s="27"/>
      <c r="S731" s="29" t="str">
        <f aca="false">IF(OR(B731="",C731=""),"",IF(COUNTIFS($B$5:B731,B731,$C$5:C731,C731)=1,1,0))</f>
        <v/>
      </c>
      <c r="T731" s="29" t="str">
        <f aca="false">IF(OR(B731="",C731="",E731=""),"",IF(COUNTIFS($B$5:B731,B731,$C$5:C731,C731,$E$5:E731,E731)=1,1,0))</f>
        <v/>
      </c>
      <c r="U731" s="28" t="str">
        <f aca="false">IF(COUNTA(B731:C731,E731:F731,H731:P731)=0,"",IF(OR(B731="",C731="",E731=""),"Check: date, player, and context required",IF(AND(ISNUMBER(J731),ISNUMBER(I731),J731&gt;I731),"Check: solid contacts &gt; swings",IF(AND(ISNUMBER(L731),ISNUMBER(K731),L731&gt;K731),"Check: correct &gt; assessed decisions",IF(AND(ISNUMBER(N731),ISNUMBER(M731),N731&gt;M731),"Check: intended &gt; assessed landings",IF(AND(ISNUMBER(J731),I731=""),"Check: solid contacts without swings","OK"))))))</f>
        <v/>
      </c>
    </row>
    <row r="732" customFormat="false" ht="15" hidden="false" customHeight="false" outlineLevel="0" collapsed="false">
      <c r="B732" s="26"/>
      <c r="C732" s="27"/>
      <c r="D732" s="28" t="str">
        <f aca="false">IF(C732="","",IFERROR(INDEX(Players!$C$5:$C$104,MATCH(C732,Players!$B$5:$B$104,0)),"ID not found"))</f>
        <v/>
      </c>
      <c r="E732" s="27"/>
      <c r="F732" s="27"/>
      <c r="G732" s="28" t="str">
        <f aca="false">IF(F732="","",IFERROR(INDEX('Hitting Drills'!$D$6:$D$45,MATCH(F732,'Hitting Drills'!$B$6:$B$45,0)),"Not a hitting drill ID"))</f>
        <v/>
      </c>
      <c r="H732" s="27"/>
      <c r="I732" s="27"/>
      <c r="J732" s="27"/>
      <c r="K732" s="27"/>
      <c r="L732" s="27"/>
      <c r="M732" s="27"/>
      <c r="N732" s="27"/>
      <c r="O732" s="27"/>
      <c r="P732" s="27"/>
      <c r="Q732" s="27"/>
      <c r="R732" s="27"/>
      <c r="S732" s="29" t="str">
        <f aca="false">IF(OR(B732="",C732=""),"",IF(COUNTIFS($B$5:B732,B732,$C$5:C732,C732)=1,1,0))</f>
        <v/>
      </c>
      <c r="T732" s="29" t="str">
        <f aca="false">IF(OR(B732="",C732="",E732=""),"",IF(COUNTIFS($B$5:B732,B732,$C$5:C732,C732,$E$5:E732,E732)=1,1,0))</f>
        <v/>
      </c>
      <c r="U732" s="28" t="str">
        <f aca="false">IF(COUNTA(B732:C732,E732:F732,H732:P732)=0,"",IF(OR(B732="",C732="",E732=""),"Check: date, player, and context required",IF(AND(ISNUMBER(J732),ISNUMBER(I732),J732&gt;I732),"Check: solid contacts &gt; swings",IF(AND(ISNUMBER(L732),ISNUMBER(K732),L732&gt;K732),"Check: correct &gt; assessed decisions",IF(AND(ISNUMBER(N732),ISNUMBER(M732),N732&gt;M732),"Check: intended &gt; assessed landings",IF(AND(ISNUMBER(J732),I732=""),"Check: solid contacts without swings","OK"))))))</f>
        <v/>
      </c>
    </row>
    <row r="733" customFormat="false" ht="15" hidden="false" customHeight="false" outlineLevel="0" collapsed="false">
      <c r="B733" s="26"/>
      <c r="C733" s="27"/>
      <c r="D733" s="28" t="str">
        <f aca="false">IF(C733="","",IFERROR(INDEX(Players!$C$5:$C$104,MATCH(C733,Players!$B$5:$B$104,0)),"ID not found"))</f>
        <v/>
      </c>
      <c r="E733" s="27"/>
      <c r="F733" s="27"/>
      <c r="G733" s="28" t="str">
        <f aca="false">IF(F733="","",IFERROR(INDEX('Hitting Drills'!$D$6:$D$45,MATCH(F733,'Hitting Drills'!$B$6:$B$45,0)),"Not a hitting drill ID"))</f>
        <v/>
      </c>
      <c r="H733" s="27"/>
      <c r="I733" s="27"/>
      <c r="J733" s="27"/>
      <c r="K733" s="27"/>
      <c r="L733" s="27"/>
      <c r="M733" s="27"/>
      <c r="N733" s="27"/>
      <c r="O733" s="27"/>
      <c r="P733" s="27"/>
      <c r="Q733" s="27"/>
      <c r="R733" s="27"/>
      <c r="S733" s="29" t="str">
        <f aca="false">IF(OR(B733="",C733=""),"",IF(COUNTIFS($B$5:B733,B733,$C$5:C733,C733)=1,1,0))</f>
        <v/>
      </c>
      <c r="T733" s="29" t="str">
        <f aca="false">IF(OR(B733="",C733="",E733=""),"",IF(COUNTIFS($B$5:B733,B733,$C$5:C733,C733,$E$5:E733,E733)=1,1,0))</f>
        <v/>
      </c>
      <c r="U733" s="28" t="str">
        <f aca="false">IF(COUNTA(B733:C733,E733:F733,H733:P733)=0,"",IF(OR(B733="",C733="",E733=""),"Check: date, player, and context required",IF(AND(ISNUMBER(J733),ISNUMBER(I733),J733&gt;I733),"Check: solid contacts &gt; swings",IF(AND(ISNUMBER(L733),ISNUMBER(K733),L733&gt;K733),"Check: correct &gt; assessed decisions",IF(AND(ISNUMBER(N733),ISNUMBER(M733),N733&gt;M733),"Check: intended &gt; assessed landings",IF(AND(ISNUMBER(J733),I733=""),"Check: solid contacts without swings","OK"))))))</f>
        <v/>
      </c>
    </row>
    <row r="734" customFormat="false" ht="15" hidden="false" customHeight="false" outlineLevel="0" collapsed="false">
      <c r="B734" s="26"/>
      <c r="C734" s="27"/>
      <c r="D734" s="28" t="str">
        <f aca="false">IF(C734="","",IFERROR(INDEX(Players!$C$5:$C$104,MATCH(C734,Players!$B$5:$B$104,0)),"ID not found"))</f>
        <v/>
      </c>
      <c r="E734" s="27"/>
      <c r="F734" s="27"/>
      <c r="G734" s="28" t="str">
        <f aca="false">IF(F734="","",IFERROR(INDEX('Hitting Drills'!$D$6:$D$45,MATCH(F734,'Hitting Drills'!$B$6:$B$45,0)),"Not a hitting drill ID"))</f>
        <v/>
      </c>
      <c r="H734" s="27"/>
      <c r="I734" s="27"/>
      <c r="J734" s="27"/>
      <c r="K734" s="27"/>
      <c r="L734" s="27"/>
      <c r="M734" s="27"/>
      <c r="N734" s="27"/>
      <c r="O734" s="27"/>
      <c r="P734" s="27"/>
      <c r="Q734" s="27"/>
      <c r="R734" s="27"/>
      <c r="S734" s="29" t="str">
        <f aca="false">IF(OR(B734="",C734=""),"",IF(COUNTIFS($B$5:B734,B734,$C$5:C734,C734)=1,1,0))</f>
        <v/>
      </c>
      <c r="T734" s="29" t="str">
        <f aca="false">IF(OR(B734="",C734="",E734=""),"",IF(COUNTIFS($B$5:B734,B734,$C$5:C734,C734,$E$5:E734,E734)=1,1,0))</f>
        <v/>
      </c>
      <c r="U734" s="28" t="str">
        <f aca="false">IF(COUNTA(B734:C734,E734:F734,H734:P734)=0,"",IF(OR(B734="",C734="",E734=""),"Check: date, player, and context required",IF(AND(ISNUMBER(J734),ISNUMBER(I734),J734&gt;I734),"Check: solid contacts &gt; swings",IF(AND(ISNUMBER(L734),ISNUMBER(K734),L734&gt;K734),"Check: correct &gt; assessed decisions",IF(AND(ISNUMBER(N734),ISNUMBER(M734),N734&gt;M734),"Check: intended &gt; assessed landings",IF(AND(ISNUMBER(J734),I734=""),"Check: solid contacts without swings","OK"))))))</f>
        <v/>
      </c>
    </row>
    <row r="735" customFormat="false" ht="15" hidden="false" customHeight="false" outlineLevel="0" collapsed="false">
      <c r="B735" s="26"/>
      <c r="C735" s="27"/>
      <c r="D735" s="28" t="str">
        <f aca="false">IF(C735="","",IFERROR(INDEX(Players!$C$5:$C$104,MATCH(C735,Players!$B$5:$B$104,0)),"ID not found"))</f>
        <v/>
      </c>
      <c r="E735" s="27"/>
      <c r="F735" s="27"/>
      <c r="G735" s="28" t="str">
        <f aca="false">IF(F735="","",IFERROR(INDEX('Hitting Drills'!$D$6:$D$45,MATCH(F735,'Hitting Drills'!$B$6:$B$45,0)),"Not a hitting drill ID"))</f>
        <v/>
      </c>
      <c r="H735" s="27"/>
      <c r="I735" s="27"/>
      <c r="J735" s="27"/>
      <c r="K735" s="27"/>
      <c r="L735" s="27"/>
      <c r="M735" s="27"/>
      <c r="N735" s="27"/>
      <c r="O735" s="27"/>
      <c r="P735" s="27"/>
      <c r="Q735" s="27"/>
      <c r="R735" s="27"/>
      <c r="S735" s="29" t="str">
        <f aca="false">IF(OR(B735="",C735=""),"",IF(COUNTIFS($B$5:B735,B735,$C$5:C735,C735)=1,1,0))</f>
        <v/>
      </c>
      <c r="T735" s="29" t="str">
        <f aca="false">IF(OR(B735="",C735="",E735=""),"",IF(COUNTIFS($B$5:B735,B735,$C$5:C735,C735,$E$5:E735,E735)=1,1,0))</f>
        <v/>
      </c>
      <c r="U735" s="28" t="str">
        <f aca="false">IF(COUNTA(B735:C735,E735:F735,H735:P735)=0,"",IF(OR(B735="",C735="",E735=""),"Check: date, player, and context required",IF(AND(ISNUMBER(J735),ISNUMBER(I735),J735&gt;I735),"Check: solid contacts &gt; swings",IF(AND(ISNUMBER(L735),ISNUMBER(K735),L735&gt;K735),"Check: correct &gt; assessed decisions",IF(AND(ISNUMBER(N735),ISNUMBER(M735),N735&gt;M735),"Check: intended &gt; assessed landings",IF(AND(ISNUMBER(J735),I735=""),"Check: solid contacts without swings","OK"))))))</f>
        <v/>
      </c>
    </row>
    <row r="736" customFormat="false" ht="15" hidden="false" customHeight="false" outlineLevel="0" collapsed="false">
      <c r="B736" s="26"/>
      <c r="C736" s="27"/>
      <c r="D736" s="28" t="str">
        <f aca="false">IF(C736="","",IFERROR(INDEX(Players!$C$5:$C$104,MATCH(C736,Players!$B$5:$B$104,0)),"ID not found"))</f>
        <v/>
      </c>
      <c r="E736" s="27"/>
      <c r="F736" s="27"/>
      <c r="G736" s="28" t="str">
        <f aca="false">IF(F736="","",IFERROR(INDEX('Hitting Drills'!$D$6:$D$45,MATCH(F736,'Hitting Drills'!$B$6:$B$45,0)),"Not a hitting drill ID"))</f>
        <v/>
      </c>
      <c r="H736" s="27"/>
      <c r="I736" s="27"/>
      <c r="J736" s="27"/>
      <c r="K736" s="27"/>
      <c r="L736" s="27"/>
      <c r="M736" s="27"/>
      <c r="N736" s="27"/>
      <c r="O736" s="27"/>
      <c r="P736" s="27"/>
      <c r="Q736" s="27"/>
      <c r="R736" s="27"/>
      <c r="S736" s="29" t="str">
        <f aca="false">IF(OR(B736="",C736=""),"",IF(COUNTIFS($B$5:B736,B736,$C$5:C736,C736)=1,1,0))</f>
        <v/>
      </c>
      <c r="T736" s="29" t="str">
        <f aca="false">IF(OR(B736="",C736="",E736=""),"",IF(COUNTIFS($B$5:B736,B736,$C$5:C736,C736,$E$5:E736,E736)=1,1,0))</f>
        <v/>
      </c>
      <c r="U736" s="28" t="str">
        <f aca="false">IF(COUNTA(B736:C736,E736:F736,H736:P736)=0,"",IF(OR(B736="",C736="",E736=""),"Check: date, player, and context required",IF(AND(ISNUMBER(J736),ISNUMBER(I736),J736&gt;I736),"Check: solid contacts &gt; swings",IF(AND(ISNUMBER(L736),ISNUMBER(K736),L736&gt;K736),"Check: correct &gt; assessed decisions",IF(AND(ISNUMBER(N736),ISNUMBER(M736),N736&gt;M736),"Check: intended &gt; assessed landings",IF(AND(ISNUMBER(J736),I736=""),"Check: solid contacts without swings","OK"))))))</f>
        <v/>
      </c>
    </row>
    <row r="737" customFormat="false" ht="15" hidden="false" customHeight="false" outlineLevel="0" collapsed="false">
      <c r="B737" s="26"/>
      <c r="C737" s="27"/>
      <c r="D737" s="28" t="str">
        <f aca="false">IF(C737="","",IFERROR(INDEX(Players!$C$5:$C$104,MATCH(C737,Players!$B$5:$B$104,0)),"ID not found"))</f>
        <v/>
      </c>
      <c r="E737" s="27"/>
      <c r="F737" s="27"/>
      <c r="G737" s="28" t="str">
        <f aca="false">IF(F737="","",IFERROR(INDEX('Hitting Drills'!$D$6:$D$45,MATCH(F737,'Hitting Drills'!$B$6:$B$45,0)),"Not a hitting drill ID"))</f>
        <v/>
      </c>
      <c r="H737" s="27"/>
      <c r="I737" s="27"/>
      <c r="J737" s="27"/>
      <c r="K737" s="27"/>
      <c r="L737" s="27"/>
      <c r="M737" s="27"/>
      <c r="N737" s="27"/>
      <c r="O737" s="27"/>
      <c r="P737" s="27"/>
      <c r="Q737" s="27"/>
      <c r="R737" s="27"/>
      <c r="S737" s="29" t="str">
        <f aca="false">IF(OR(B737="",C737=""),"",IF(COUNTIFS($B$5:B737,B737,$C$5:C737,C737)=1,1,0))</f>
        <v/>
      </c>
      <c r="T737" s="29" t="str">
        <f aca="false">IF(OR(B737="",C737="",E737=""),"",IF(COUNTIFS($B$5:B737,B737,$C$5:C737,C737,$E$5:E737,E737)=1,1,0))</f>
        <v/>
      </c>
      <c r="U737" s="28" t="str">
        <f aca="false">IF(COUNTA(B737:C737,E737:F737,H737:P737)=0,"",IF(OR(B737="",C737="",E737=""),"Check: date, player, and context required",IF(AND(ISNUMBER(J737),ISNUMBER(I737),J737&gt;I737),"Check: solid contacts &gt; swings",IF(AND(ISNUMBER(L737),ISNUMBER(K737),L737&gt;K737),"Check: correct &gt; assessed decisions",IF(AND(ISNUMBER(N737),ISNUMBER(M737),N737&gt;M737),"Check: intended &gt; assessed landings",IF(AND(ISNUMBER(J737),I737=""),"Check: solid contacts without swings","OK"))))))</f>
        <v/>
      </c>
    </row>
    <row r="738" customFormat="false" ht="15" hidden="false" customHeight="false" outlineLevel="0" collapsed="false">
      <c r="B738" s="26"/>
      <c r="C738" s="27"/>
      <c r="D738" s="28" t="str">
        <f aca="false">IF(C738="","",IFERROR(INDEX(Players!$C$5:$C$104,MATCH(C738,Players!$B$5:$B$104,0)),"ID not found"))</f>
        <v/>
      </c>
      <c r="E738" s="27"/>
      <c r="F738" s="27"/>
      <c r="G738" s="28" t="str">
        <f aca="false">IF(F738="","",IFERROR(INDEX('Hitting Drills'!$D$6:$D$45,MATCH(F738,'Hitting Drills'!$B$6:$B$45,0)),"Not a hitting drill ID"))</f>
        <v/>
      </c>
      <c r="H738" s="27"/>
      <c r="I738" s="27"/>
      <c r="J738" s="27"/>
      <c r="K738" s="27"/>
      <c r="L738" s="27"/>
      <c r="M738" s="27"/>
      <c r="N738" s="27"/>
      <c r="O738" s="27"/>
      <c r="P738" s="27"/>
      <c r="Q738" s="27"/>
      <c r="R738" s="27"/>
      <c r="S738" s="29" t="str">
        <f aca="false">IF(OR(B738="",C738=""),"",IF(COUNTIFS($B$5:B738,B738,$C$5:C738,C738)=1,1,0))</f>
        <v/>
      </c>
      <c r="T738" s="29" t="str">
        <f aca="false">IF(OR(B738="",C738="",E738=""),"",IF(COUNTIFS($B$5:B738,B738,$C$5:C738,C738,$E$5:E738,E738)=1,1,0))</f>
        <v/>
      </c>
      <c r="U738" s="28" t="str">
        <f aca="false">IF(COUNTA(B738:C738,E738:F738,H738:P738)=0,"",IF(OR(B738="",C738="",E738=""),"Check: date, player, and context required",IF(AND(ISNUMBER(J738),ISNUMBER(I738),J738&gt;I738),"Check: solid contacts &gt; swings",IF(AND(ISNUMBER(L738),ISNUMBER(K738),L738&gt;K738),"Check: correct &gt; assessed decisions",IF(AND(ISNUMBER(N738),ISNUMBER(M738),N738&gt;M738),"Check: intended &gt; assessed landings",IF(AND(ISNUMBER(J738),I738=""),"Check: solid contacts without swings","OK"))))))</f>
        <v/>
      </c>
    </row>
    <row r="739" customFormat="false" ht="15" hidden="false" customHeight="false" outlineLevel="0" collapsed="false">
      <c r="B739" s="26"/>
      <c r="C739" s="27"/>
      <c r="D739" s="28" t="str">
        <f aca="false">IF(C739="","",IFERROR(INDEX(Players!$C$5:$C$104,MATCH(C739,Players!$B$5:$B$104,0)),"ID not found"))</f>
        <v/>
      </c>
      <c r="E739" s="27"/>
      <c r="F739" s="27"/>
      <c r="G739" s="28" t="str">
        <f aca="false">IF(F739="","",IFERROR(INDEX('Hitting Drills'!$D$6:$D$45,MATCH(F739,'Hitting Drills'!$B$6:$B$45,0)),"Not a hitting drill ID"))</f>
        <v/>
      </c>
      <c r="H739" s="27"/>
      <c r="I739" s="27"/>
      <c r="J739" s="27"/>
      <c r="K739" s="27"/>
      <c r="L739" s="27"/>
      <c r="M739" s="27"/>
      <c r="N739" s="27"/>
      <c r="O739" s="27"/>
      <c r="P739" s="27"/>
      <c r="Q739" s="27"/>
      <c r="R739" s="27"/>
      <c r="S739" s="29" t="str">
        <f aca="false">IF(OR(B739="",C739=""),"",IF(COUNTIFS($B$5:B739,B739,$C$5:C739,C739)=1,1,0))</f>
        <v/>
      </c>
      <c r="T739" s="29" t="str">
        <f aca="false">IF(OR(B739="",C739="",E739=""),"",IF(COUNTIFS($B$5:B739,B739,$C$5:C739,C739,$E$5:E739,E739)=1,1,0))</f>
        <v/>
      </c>
      <c r="U739" s="28" t="str">
        <f aca="false">IF(COUNTA(B739:C739,E739:F739,H739:P739)=0,"",IF(OR(B739="",C739="",E739=""),"Check: date, player, and context required",IF(AND(ISNUMBER(J739),ISNUMBER(I739),J739&gt;I739),"Check: solid contacts &gt; swings",IF(AND(ISNUMBER(L739),ISNUMBER(K739),L739&gt;K739),"Check: correct &gt; assessed decisions",IF(AND(ISNUMBER(N739),ISNUMBER(M739),N739&gt;M739),"Check: intended &gt; assessed landings",IF(AND(ISNUMBER(J739),I739=""),"Check: solid contacts without swings","OK"))))))</f>
        <v/>
      </c>
    </row>
    <row r="740" customFormat="false" ht="15" hidden="false" customHeight="false" outlineLevel="0" collapsed="false">
      <c r="B740" s="26"/>
      <c r="C740" s="27"/>
      <c r="D740" s="28" t="str">
        <f aca="false">IF(C740="","",IFERROR(INDEX(Players!$C$5:$C$104,MATCH(C740,Players!$B$5:$B$104,0)),"ID not found"))</f>
        <v/>
      </c>
      <c r="E740" s="27"/>
      <c r="F740" s="27"/>
      <c r="G740" s="28" t="str">
        <f aca="false">IF(F740="","",IFERROR(INDEX('Hitting Drills'!$D$6:$D$45,MATCH(F740,'Hitting Drills'!$B$6:$B$45,0)),"Not a hitting drill ID"))</f>
        <v/>
      </c>
      <c r="H740" s="27"/>
      <c r="I740" s="27"/>
      <c r="J740" s="27"/>
      <c r="K740" s="27"/>
      <c r="L740" s="27"/>
      <c r="M740" s="27"/>
      <c r="N740" s="27"/>
      <c r="O740" s="27"/>
      <c r="P740" s="27"/>
      <c r="Q740" s="27"/>
      <c r="R740" s="27"/>
      <c r="S740" s="29" t="str">
        <f aca="false">IF(OR(B740="",C740=""),"",IF(COUNTIFS($B$5:B740,B740,$C$5:C740,C740)=1,1,0))</f>
        <v/>
      </c>
      <c r="T740" s="29" t="str">
        <f aca="false">IF(OR(B740="",C740="",E740=""),"",IF(COUNTIFS($B$5:B740,B740,$C$5:C740,C740,$E$5:E740,E740)=1,1,0))</f>
        <v/>
      </c>
      <c r="U740" s="28" t="str">
        <f aca="false">IF(COUNTA(B740:C740,E740:F740,H740:P740)=0,"",IF(OR(B740="",C740="",E740=""),"Check: date, player, and context required",IF(AND(ISNUMBER(J740),ISNUMBER(I740),J740&gt;I740),"Check: solid contacts &gt; swings",IF(AND(ISNUMBER(L740),ISNUMBER(K740),L740&gt;K740),"Check: correct &gt; assessed decisions",IF(AND(ISNUMBER(N740),ISNUMBER(M740),N740&gt;M740),"Check: intended &gt; assessed landings",IF(AND(ISNUMBER(J740),I740=""),"Check: solid contacts without swings","OK"))))))</f>
        <v/>
      </c>
    </row>
    <row r="741" customFormat="false" ht="15" hidden="false" customHeight="false" outlineLevel="0" collapsed="false">
      <c r="B741" s="26"/>
      <c r="C741" s="27"/>
      <c r="D741" s="28" t="str">
        <f aca="false">IF(C741="","",IFERROR(INDEX(Players!$C$5:$C$104,MATCH(C741,Players!$B$5:$B$104,0)),"ID not found"))</f>
        <v/>
      </c>
      <c r="E741" s="27"/>
      <c r="F741" s="27"/>
      <c r="G741" s="28" t="str">
        <f aca="false">IF(F741="","",IFERROR(INDEX('Hitting Drills'!$D$6:$D$45,MATCH(F741,'Hitting Drills'!$B$6:$B$45,0)),"Not a hitting drill ID"))</f>
        <v/>
      </c>
      <c r="H741" s="27"/>
      <c r="I741" s="27"/>
      <c r="J741" s="27"/>
      <c r="K741" s="27"/>
      <c r="L741" s="27"/>
      <c r="M741" s="27"/>
      <c r="N741" s="27"/>
      <c r="O741" s="27"/>
      <c r="P741" s="27"/>
      <c r="Q741" s="27"/>
      <c r="R741" s="27"/>
      <c r="S741" s="29" t="str">
        <f aca="false">IF(OR(B741="",C741=""),"",IF(COUNTIFS($B$5:B741,B741,$C$5:C741,C741)=1,1,0))</f>
        <v/>
      </c>
      <c r="T741" s="29" t="str">
        <f aca="false">IF(OR(B741="",C741="",E741=""),"",IF(COUNTIFS($B$5:B741,B741,$C$5:C741,C741,$E$5:E741,E741)=1,1,0))</f>
        <v/>
      </c>
      <c r="U741" s="28" t="str">
        <f aca="false">IF(COUNTA(B741:C741,E741:F741,H741:P741)=0,"",IF(OR(B741="",C741="",E741=""),"Check: date, player, and context required",IF(AND(ISNUMBER(J741),ISNUMBER(I741),J741&gt;I741),"Check: solid contacts &gt; swings",IF(AND(ISNUMBER(L741),ISNUMBER(K741),L741&gt;K741),"Check: correct &gt; assessed decisions",IF(AND(ISNUMBER(N741),ISNUMBER(M741),N741&gt;M741),"Check: intended &gt; assessed landings",IF(AND(ISNUMBER(J741),I741=""),"Check: solid contacts without swings","OK"))))))</f>
        <v/>
      </c>
    </row>
    <row r="742" customFormat="false" ht="15" hidden="false" customHeight="false" outlineLevel="0" collapsed="false">
      <c r="B742" s="26"/>
      <c r="C742" s="27"/>
      <c r="D742" s="28" t="str">
        <f aca="false">IF(C742="","",IFERROR(INDEX(Players!$C$5:$C$104,MATCH(C742,Players!$B$5:$B$104,0)),"ID not found"))</f>
        <v/>
      </c>
      <c r="E742" s="27"/>
      <c r="F742" s="27"/>
      <c r="G742" s="28" t="str">
        <f aca="false">IF(F742="","",IFERROR(INDEX('Hitting Drills'!$D$6:$D$45,MATCH(F742,'Hitting Drills'!$B$6:$B$45,0)),"Not a hitting drill ID"))</f>
        <v/>
      </c>
      <c r="H742" s="27"/>
      <c r="I742" s="27"/>
      <c r="J742" s="27"/>
      <c r="K742" s="27"/>
      <c r="L742" s="27"/>
      <c r="M742" s="27"/>
      <c r="N742" s="27"/>
      <c r="O742" s="27"/>
      <c r="P742" s="27"/>
      <c r="Q742" s="27"/>
      <c r="R742" s="27"/>
      <c r="S742" s="29" t="str">
        <f aca="false">IF(OR(B742="",C742=""),"",IF(COUNTIFS($B$5:B742,B742,$C$5:C742,C742)=1,1,0))</f>
        <v/>
      </c>
      <c r="T742" s="29" t="str">
        <f aca="false">IF(OR(B742="",C742="",E742=""),"",IF(COUNTIFS($B$5:B742,B742,$C$5:C742,C742,$E$5:E742,E742)=1,1,0))</f>
        <v/>
      </c>
      <c r="U742" s="28" t="str">
        <f aca="false">IF(COUNTA(B742:C742,E742:F742,H742:P742)=0,"",IF(OR(B742="",C742="",E742=""),"Check: date, player, and context required",IF(AND(ISNUMBER(J742),ISNUMBER(I742),J742&gt;I742),"Check: solid contacts &gt; swings",IF(AND(ISNUMBER(L742),ISNUMBER(K742),L742&gt;K742),"Check: correct &gt; assessed decisions",IF(AND(ISNUMBER(N742),ISNUMBER(M742),N742&gt;M742),"Check: intended &gt; assessed landings",IF(AND(ISNUMBER(J742),I742=""),"Check: solid contacts without swings","OK"))))))</f>
        <v/>
      </c>
    </row>
    <row r="743" customFormat="false" ht="15" hidden="false" customHeight="false" outlineLevel="0" collapsed="false">
      <c r="B743" s="26"/>
      <c r="C743" s="27"/>
      <c r="D743" s="28" t="str">
        <f aca="false">IF(C743="","",IFERROR(INDEX(Players!$C$5:$C$104,MATCH(C743,Players!$B$5:$B$104,0)),"ID not found"))</f>
        <v/>
      </c>
      <c r="E743" s="27"/>
      <c r="F743" s="27"/>
      <c r="G743" s="28" t="str">
        <f aca="false">IF(F743="","",IFERROR(INDEX('Hitting Drills'!$D$6:$D$45,MATCH(F743,'Hitting Drills'!$B$6:$B$45,0)),"Not a hitting drill ID"))</f>
        <v/>
      </c>
      <c r="H743" s="27"/>
      <c r="I743" s="27"/>
      <c r="J743" s="27"/>
      <c r="K743" s="27"/>
      <c r="L743" s="27"/>
      <c r="M743" s="27"/>
      <c r="N743" s="27"/>
      <c r="O743" s="27"/>
      <c r="P743" s="27"/>
      <c r="Q743" s="27"/>
      <c r="R743" s="27"/>
      <c r="S743" s="29" t="str">
        <f aca="false">IF(OR(B743="",C743=""),"",IF(COUNTIFS($B$5:B743,B743,$C$5:C743,C743)=1,1,0))</f>
        <v/>
      </c>
      <c r="T743" s="29" t="str">
        <f aca="false">IF(OR(B743="",C743="",E743=""),"",IF(COUNTIFS($B$5:B743,B743,$C$5:C743,C743,$E$5:E743,E743)=1,1,0))</f>
        <v/>
      </c>
      <c r="U743" s="28" t="str">
        <f aca="false">IF(COUNTA(B743:C743,E743:F743,H743:P743)=0,"",IF(OR(B743="",C743="",E743=""),"Check: date, player, and context required",IF(AND(ISNUMBER(J743),ISNUMBER(I743),J743&gt;I743),"Check: solid contacts &gt; swings",IF(AND(ISNUMBER(L743),ISNUMBER(K743),L743&gt;K743),"Check: correct &gt; assessed decisions",IF(AND(ISNUMBER(N743),ISNUMBER(M743),N743&gt;M743),"Check: intended &gt; assessed landings",IF(AND(ISNUMBER(J743),I743=""),"Check: solid contacts without swings","OK"))))))</f>
        <v/>
      </c>
    </row>
    <row r="744" customFormat="false" ht="15" hidden="false" customHeight="false" outlineLevel="0" collapsed="false">
      <c r="B744" s="26"/>
      <c r="C744" s="27"/>
      <c r="D744" s="28" t="str">
        <f aca="false">IF(C744="","",IFERROR(INDEX(Players!$C$5:$C$104,MATCH(C744,Players!$B$5:$B$104,0)),"ID not found"))</f>
        <v/>
      </c>
      <c r="E744" s="27"/>
      <c r="F744" s="27"/>
      <c r="G744" s="28" t="str">
        <f aca="false">IF(F744="","",IFERROR(INDEX('Hitting Drills'!$D$6:$D$45,MATCH(F744,'Hitting Drills'!$B$6:$B$45,0)),"Not a hitting drill ID"))</f>
        <v/>
      </c>
      <c r="H744" s="27"/>
      <c r="I744" s="27"/>
      <c r="J744" s="27"/>
      <c r="K744" s="27"/>
      <c r="L744" s="27"/>
      <c r="M744" s="27"/>
      <c r="N744" s="27"/>
      <c r="O744" s="27"/>
      <c r="P744" s="27"/>
      <c r="Q744" s="27"/>
      <c r="R744" s="27"/>
      <c r="S744" s="29" t="str">
        <f aca="false">IF(OR(B744="",C744=""),"",IF(COUNTIFS($B$5:B744,B744,$C$5:C744,C744)=1,1,0))</f>
        <v/>
      </c>
      <c r="T744" s="29" t="str">
        <f aca="false">IF(OR(B744="",C744="",E744=""),"",IF(COUNTIFS($B$5:B744,B744,$C$5:C744,C744,$E$5:E744,E744)=1,1,0))</f>
        <v/>
      </c>
      <c r="U744" s="28" t="str">
        <f aca="false">IF(COUNTA(B744:C744,E744:F744,H744:P744)=0,"",IF(OR(B744="",C744="",E744=""),"Check: date, player, and context required",IF(AND(ISNUMBER(J744),ISNUMBER(I744),J744&gt;I744),"Check: solid contacts &gt; swings",IF(AND(ISNUMBER(L744),ISNUMBER(K744),L744&gt;K744),"Check: correct &gt; assessed decisions",IF(AND(ISNUMBER(N744),ISNUMBER(M744),N744&gt;M744),"Check: intended &gt; assessed landings",IF(AND(ISNUMBER(J744),I744=""),"Check: solid contacts without swings","OK"))))))</f>
        <v/>
      </c>
    </row>
    <row r="745" customFormat="false" ht="15" hidden="false" customHeight="false" outlineLevel="0" collapsed="false">
      <c r="B745" s="26"/>
      <c r="C745" s="27"/>
      <c r="D745" s="28" t="str">
        <f aca="false">IF(C745="","",IFERROR(INDEX(Players!$C$5:$C$104,MATCH(C745,Players!$B$5:$B$104,0)),"ID not found"))</f>
        <v/>
      </c>
      <c r="E745" s="27"/>
      <c r="F745" s="27"/>
      <c r="G745" s="28" t="str">
        <f aca="false">IF(F745="","",IFERROR(INDEX('Hitting Drills'!$D$6:$D$45,MATCH(F745,'Hitting Drills'!$B$6:$B$45,0)),"Not a hitting drill ID"))</f>
        <v/>
      </c>
      <c r="H745" s="27"/>
      <c r="I745" s="27"/>
      <c r="J745" s="27"/>
      <c r="K745" s="27"/>
      <c r="L745" s="27"/>
      <c r="M745" s="27"/>
      <c r="N745" s="27"/>
      <c r="O745" s="27"/>
      <c r="P745" s="27"/>
      <c r="Q745" s="27"/>
      <c r="R745" s="27"/>
      <c r="S745" s="29" t="str">
        <f aca="false">IF(OR(B745="",C745=""),"",IF(COUNTIFS($B$5:B745,B745,$C$5:C745,C745)=1,1,0))</f>
        <v/>
      </c>
      <c r="T745" s="29" t="str">
        <f aca="false">IF(OR(B745="",C745="",E745=""),"",IF(COUNTIFS($B$5:B745,B745,$C$5:C745,C745,$E$5:E745,E745)=1,1,0))</f>
        <v/>
      </c>
      <c r="U745" s="28" t="str">
        <f aca="false">IF(COUNTA(B745:C745,E745:F745,H745:P745)=0,"",IF(OR(B745="",C745="",E745=""),"Check: date, player, and context required",IF(AND(ISNUMBER(J745),ISNUMBER(I745),J745&gt;I745),"Check: solid contacts &gt; swings",IF(AND(ISNUMBER(L745),ISNUMBER(K745),L745&gt;K745),"Check: correct &gt; assessed decisions",IF(AND(ISNUMBER(N745),ISNUMBER(M745),N745&gt;M745),"Check: intended &gt; assessed landings",IF(AND(ISNUMBER(J745),I745=""),"Check: solid contacts without swings","OK"))))))</f>
        <v/>
      </c>
    </row>
    <row r="746" customFormat="false" ht="15" hidden="false" customHeight="false" outlineLevel="0" collapsed="false">
      <c r="B746" s="26"/>
      <c r="C746" s="27"/>
      <c r="D746" s="28" t="str">
        <f aca="false">IF(C746="","",IFERROR(INDEX(Players!$C$5:$C$104,MATCH(C746,Players!$B$5:$B$104,0)),"ID not found"))</f>
        <v/>
      </c>
      <c r="E746" s="27"/>
      <c r="F746" s="27"/>
      <c r="G746" s="28" t="str">
        <f aca="false">IF(F746="","",IFERROR(INDEX('Hitting Drills'!$D$6:$D$45,MATCH(F746,'Hitting Drills'!$B$6:$B$45,0)),"Not a hitting drill ID"))</f>
        <v/>
      </c>
      <c r="H746" s="27"/>
      <c r="I746" s="27"/>
      <c r="J746" s="27"/>
      <c r="K746" s="27"/>
      <c r="L746" s="27"/>
      <c r="M746" s="27"/>
      <c r="N746" s="27"/>
      <c r="O746" s="27"/>
      <c r="P746" s="27"/>
      <c r="Q746" s="27"/>
      <c r="R746" s="27"/>
      <c r="S746" s="29" t="str">
        <f aca="false">IF(OR(B746="",C746=""),"",IF(COUNTIFS($B$5:B746,B746,$C$5:C746,C746)=1,1,0))</f>
        <v/>
      </c>
      <c r="T746" s="29" t="str">
        <f aca="false">IF(OR(B746="",C746="",E746=""),"",IF(COUNTIFS($B$5:B746,B746,$C$5:C746,C746,$E$5:E746,E746)=1,1,0))</f>
        <v/>
      </c>
      <c r="U746" s="28" t="str">
        <f aca="false">IF(COUNTA(B746:C746,E746:F746,H746:P746)=0,"",IF(OR(B746="",C746="",E746=""),"Check: date, player, and context required",IF(AND(ISNUMBER(J746),ISNUMBER(I746),J746&gt;I746),"Check: solid contacts &gt; swings",IF(AND(ISNUMBER(L746),ISNUMBER(K746),L746&gt;K746),"Check: correct &gt; assessed decisions",IF(AND(ISNUMBER(N746),ISNUMBER(M746),N746&gt;M746),"Check: intended &gt; assessed landings",IF(AND(ISNUMBER(J746),I746=""),"Check: solid contacts without swings","OK"))))))</f>
        <v/>
      </c>
    </row>
    <row r="747" customFormat="false" ht="15" hidden="false" customHeight="false" outlineLevel="0" collapsed="false">
      <c r="B747" s="26"/>
      <c r="C747" s="27"/>
      <c r="D747" s="28" t="str">
        <f aca="false">IF(C747="","",IFERROR(INDEX(Players!$C$5:$C$104,MATCH(C747,Players!$B$5:$B$104,0)),"ID not found"))</f>
        <v/>
      </c>
      <c r="E747" s="27"/>
      <c r="F747" s="27"/>
      <c r="G747" s="28" t="str">
        <f aca="false">IF(F747="","",IFERROR(INDEX('Hitting Drills'!$D$6:$D$45,MATCH(F747,'Hitting Drills'!$B$6:$B$45,0)),"Not a hitting drill ID"))</f>
        <v/>
      </c>
      <c r="H747" s="27"/>
      <c r="I747" s="27"/>
      <c r="J747" s="27"/>
      <c r="K747" s="27"/>
      <c r="L747" s="27"/>
      <c r="M747" s="27"/>
      <c r="N747" s="27"/>
      <c r="O747" s="27"/>
      <c r="P747" s="27"/>
      <c r="Q747" s="27"/>
      <c r="R747" s="27"/>
      <c r="S747" s="29" t="str">
        <f aca="false">IF(OR(B747="",C747=""),"",IF(COUNTIFS($B$5:B747,B747,$C$5:C747,C747)=1,1,0))</f>
        <v/>
      </c>
      <c r="T747" s="29" t="str">
        <f aca="false">IF(OR(B747="",C747="",E747=""),"",IF(COUNTIFS($B$5:B747,B747,$C$5:C747,C747,$E$5:E747,E747)=1,1,0))</f>
        <v/>
      </c>
      <c r="U747" s="28" t="str">
        <f aca="false">IF(COUNTA(B747:C747,E747:F747,H747:P747)=0,"",IF(OR(B747="",C747="",E747=""),"Check: date, player, and context required",IF(AND(ISNUMBER(J747),ISNUMBER(I747),J747&gt;I747),"Check: solid contacts &gt; swings",IF(AND(ISNUMBER(L747),ISNUMBER(K747),L747&gt;K747),"Check: correct &gt; assessed decisions",IF(AND(ISNUMBER(N747),ISNUMBER(M747),N747&gt;M747),"Check: intended &gt; assessed landings",IF(AND(ISNUMBER(J747),I747=""),"Check: solid contacts without swings","OK"))))))</f>
        <v/>
      </c>
    </row>
    <row r="748" customFormat="false" ht="15" hidden="false" customHeight="false" outlineLevel="0" collapsed="false">
      <c r="B748" s="26"/>
      <c r="C748" s="27"/>
      <c r="D748" s="28" t="str">
        <f aca="false">IF(C748="","",IFERROR(INDEX(Players!$C$5:$C$104,MATCH(C748,Players!$B$5:$B$104,0)),"ID not found"))</f>
        <v/>
      </c>
      <c r="E748" s="27"/>
      <c r="F748" s="27"/>
      <c r="G748" s="28" t="str">
        <f aca="false">IF(F748="","",IFERROR(INDEX('Hitting Drills'!$D$6:$D$45,MATCH(F748,'Hitting Drills'!$B$6:$B$45,0)),"Not a hitting drill ID"))</f>
        <v/>
      </c>
      <c r="H748" s="27"/>
      <c r="I748" s="27"/>
      <c r="J748" s="27"/>
      <c r="K748" s="27"/>
      <c r="L748" s="27"/>
      <c r="M748" s="27"/>
      <c r="N748" s="27"/>
      <c r="O748" s="27"/>
      <c r="P748" s="27"/>
      <c r="Q748" s="27"/>
      <c r="R748" s="27"/>
      <c r="S748" s="29" t="str">
        <f aca="false">IF(OR(B748="",C748=""),"",IF(COUNTIFS($B$5:B748,B748,$C$5:C748,C748)=1,1,0))</f>
        <v/>
      </c>
      <c r="T748" s="29" t="str">
        <f aca="false">IF(OR(B748="",C748="",E748=""),"",IF(COUNTIFS($B$5:B748,B748,$C$5:C748,C748,$E$5:E748,E748)=1,1,0))</f>
        <v/>
      </c>
      <c r="U748" s="28" t="str">
        <f aca="false">IF(COUNTA(B748:C748,E748:F748,H748:P748)=0,"",IF(OR(B748="",C748="",E748=""),"Check: date, player, and context required",IF(AND(ISNUMBER(J748),ISNUMBER(I748),J748&gt;I748),"Check: solid contacts &gt; swings",IF(AND(ISNUMBER(L748),ISNUMBER(K748),L748&gt;K748),"Check: correct &gt; assessed decisions",IF(AND(ISNUMBER(N748),ISNUMBER(M748),N748&gt;M748),"Check: intended &gt; assessed landings",IF(AND(ISNUMBER(J748),I748=""),"Check: solid contacts without swings","OK"))))))</f>
        <v/>
      </c>
    </row>
    <row r="749" customFormat="false" ht="15" hidden="false" customHeight="false" outlineLevel="0" collapsed="false">
      <c r="B749" s="26"/>
      <c r="C749" s="27"/>
      <c r="D749" s="28" t="str">
        <f aca="false">IF(C749="","",IFERROR(INDEX(Players!$C$5:$C$104,MATCH(C749,Players!$B$5:$B$104,0)),"ID not found"))</f>
        <v/>
      </c>
      <c r="E749" s="27"/>
      <c r="F749" s="27"/>
      <c r="G749" s="28" t="str">
        <f aca="false">IF(F749="","",IFERROR(INDEX('Hitting Drills'!$D$6:$D$45,MATCH(F749,'Hitting Drills'!$B$6:$B$45,0)),"Not a hitting drill ID"))</f>
        <v/>
      </c>
      <c r="H749" s="27"/>
      <c r="I749" s="27"/>
      <c r="J749" s="27"/>
      <c r="K749" s="27"/>
      <c r="L749" s="27"/>
      <c r="M749" s="27"/>
      <c r="N749" s="27"/>
      <c r="O749" s="27"/>
      <c r="P749" s="27"/>
      <c r="Q749" s="27"/>
      <c r="R749" s="27"/>
      <c r="S749" s="29" t="str">
        <f aca="false">IF(OR(B749="",C749=""),"",IF(COUNTIFS($B$5:B749,B749,$C$5:C749,C749)=1,1,0))</f>
        <v/>
      </c>
      <c r="T749" s="29" t="str">
        <f aca="false">IF(OR(B749="",C749="",E749=""),"",IF(COUNTIFS($B$5:B749,B749,$C$5:C749,C749,$E$5:E749,E749)=1,1,0))</f>
        <v/>
      </c>
      <c r="U749" s="28" t="str">
        <f aca="false">IF(COUNTA(B749:C749,E749:F749,H749:P749)=0,"",IF(OR(B749="",C749="",E749=""),"Check: date, player, and context required",IF(AND(ISNUMBER(J749),ISNUMBER(I749),J749&gt;I749),"Check: solid contacts &gt; swings",IF(AND(ISNUMBER(L749),ISNUMBER(K749),L749&gt;K749),"Check: correct &gt; assessed decisions",IF(AND(ISNUMBER(N749),ISNUMBER(M749),N749&gt;M749),"Check: intended &gt; assessed landings",IF(AND(ISNUMBER(J749),I749=""),"Check: solid contacts without swings","OK"))))))</f>
        <v/>
      </c>
    </row>
    <row r="750" customFormat="false" ht="15" hidden="false" customHeight="false" outlineLevel="0" collapsed="false">
      <c r="B750" s="26"/>
      <c r="C750" s="27"/>
      <c r="D750" s="28" t="str">
        <f aca="false">IF(C750="","",IFERROR(INDEX(Players!$C$5:$C$104,MATCH(C750,Players!$B$5:$B$104,0)),"ID not found"))</f>
        <v/>
      </c>
      <c r="E750" s="27"/>
      <c r="F750" s="27"/>
      <c r="G750" s="28" t="str">
        <f aca="false">IF(F750="","",IFERROR(INDEX('Hitting Drills'!$D$6:$D$45,MATCH(F750,'Hitting Drills'!$B$6:$B$45,0)),"Not a hitting drill ID"))</f>
        <v/>
      </c>
      <c r="H750" s="27"/>
      <c r="I750" s="27"/>
      <c r="J750" s="27"/>
      <c r="K750" s="27"/>
      <c r="L750" s="27"/>
      <c r="M750" s="27"/>
      <c r="N750" s="27"/>
      <c r="O750" s="27"/>
      <c r="P750" s="27"/>
      <c r="Q750" s="27"/>
      <c r="R750" s="27"/>
      <c r="S750" s="29" t="str">
        <f aca="false">IF(OR(B750="",C750=""),"",IF(COUNTIFS($B$5:B750,B750,$C$5:C750,C750)=1,1,0))</f>
        <v/>
      </c>
      <c r="T750" s="29" t="str">
        <f aca="false">IF(OR(B750="",C750="",E750=""),"",IF(COUNTIFS($B$5:B750,B750,$C$5:C750,C750,$E$5:E750,E750)=1,1,0))</f>
        <v/>
      </c>
      <c r="U750" s="28" t="str">
        <f aca="false">IF(COUNTA(B750:C750,E750:F750,H750:P750)=0,"",IF(OR(B750="",C750="",E750=""),"Check: date, player, and context required",IF(AND(ISNUMBER(J750),ISNUMBER(I750),J750&gt;I750),"Check: solid contacts &gt; swings",IF(AND(ISNUMBER(L750),ISNUMBER(K750),L750&gt;K750),"Check: correct &gt; assessed decisions",IF(AND(ISNUMBER(N750),ISNUMBER(M750),N750&gt;M750),"Check: intended &gt; assessed landings",IF(AND(ISNUMBER(J750),I750=""),"Check: solid contacts without swings","OK"))))))</f>
        <v/>
      </c>
    </row>
    <row r="751" customFormat="false" ht="15" hidden="false" customHeight="false" outlineLevel="0" collapsed="false">
      <c r="B751" s="26"/>
      <c r="C751" s="27"/>
      <c r="D751" s="28" t="str">
        <f aca="false">IF(C751="","",IFERROR(INDEX(Players!$C$5:$C$104,MATCH(C751,Players!$B$5:$B$104,0)),"ID not found"))</f>
        <v/>
      </c>
      <c r="E751" s="27"/>
      <c r="F751" s="27"/>
      <c r="G751" s="28" t="str">
        <f aca="false">IF(F751="","",IFERROR(INDEX('Hitting Drills'!$D$6:$D$45,MATCH(F751,'Hitting Drills'!$B$6:$B$45,0)),"Not a hitting drill ID"))</f>
        <v/>
      </c>
      <c r="H751" s="27"/>
      <c r="I751" s="27"/>
      <c r="J751" s="27"/>
      <c r="K751" s="27"/>
      <c r="L751" s="27"/>
      <c r="M751" s="27"/>
      <c r="N751" s="27"/>
      <c r="O751" s="27"/>
      <c r="P751" s="27"/>
      <c r="Q751" s="27"/>
      <c r="R751" s="27"/>
      <c r="S751" s="29" t="str">
        <f aca="false">IF(OR(B751="",C751=""),"",IF(COUNTIFS($B$5:B751,B751,$C$5:C751,C751)=1,1,0))</f>
        <v/>
      </c>
      <c r="T751" s="29" t="str">
        <f aca="false">IF(OR(B751="",C751="",E751=""),"",IF(COUNTIFS($B$5:B751,B751,$C$5:C751,C751,$E$5:E751,E751)=1,1,0))</f>
        <v/>
      </c>
      <c r="U751" s="28" t="str">
        <f aca="false">IF(COUNTA(B751:C751,E751:F751,H751:P751)=0,"",IF(OR(B751="",C751="",E751=""),"Check: date, player, and context required",IF(AND(ISNUMBER(J751),ISNUMBER(I751),J751&gt;I751),"Check: solid contacts &gt; swings",IF(AND(ISNUMBER(L751),ISNUMBER(K751),L751&gt;K751),"Check: correct &gt; assessed decisions",IF(AND(ISNUMBER(N751),ISNUMBER(M751),N751&gt;M751),"Check: intended &gt; assessed landings",IF(AND(ISNUMBER(J751),I751=""),"Check: solid contacts without swings","OK"))))))</f>
        <v/>
      </c>
    </row>
    <row r="752" customFormat="false" ht="15" hidden="false" customHeight="false" outlineLevel="0" collapsed="false">
      <c r="B752" s="26"/>
      <c r="C752" s="27"/>
      <c r="D752" s="28" t="str">
        <f aca="false">IF(C752="","",IFERROR(INDEX(Players!$C$5:$C$104,MATCH(C752,Players!$B$5:$B$104,0)),"ID not found"))</f>
        <v/>
      </c>
      <c r="E752" s="27"/>
      <c r="F752" s="27"/>
      <c r="G752" s="28" t="str">
        <f aca="false">IF(F752="","",IFERROR(INDEX('Hitting Drills'!$D$6:$D$45,MATCH(F752,'Hitting Drills'!$B$6:$B$45,0)),"Not a hitting drill ID"))</f>
        <v/>
      </c>
      <c r="H752" s="27"/>
      <c r="I752" s="27"/>
      <c r="J752" s="27"/>
      <c r="K752" s="27"/>
      <c r="L752" s="27"/>
      <c r="M752" s="27"/>
      <c r="N752" s="27"/>
      <c r="O752" s="27"/>
      <c r="P752" s="27"/>
      <c r="Q752" s="27"/>
      <c r="R752" s="27"/>
      <c r="S752" s="29" t="str">
        <f aca="false">IF(OR(B752="",C752=""),"",IF(COUNTIFS($B$5:B752,B752,$C$5:C752,C752)=1,1,0))</f>
        <v/>
      </c>
      <c r="T752" s="29" t="str">
        <f aca="false">IF(OR(B752="",C752="",E752=""),"",IF(COUNTIFS($B$5:B752,B752,$C$5:C752,C752,$E$5:E752,E752)=1,1,0))</f>
        <v/>
      </c>
      <c r="U752" s="28" t="str">
        <f aca="false">IF(COUNTA(B752:C752,E752:F752,H752:P752)=0,"",IF(OR(B752="",C752="",E752=""),"Check: date, player, and context required",IF(AND(ISNUMBER(J752),ISNUMBER(I752),J752&gt;I752),"Check: solid contacts &gt; swings",IF(AND(ISNUMBER(L752),ISNUMBER(K752),L752&gt;K752),"Check: correct &gt; assessed decisions",IF(AND(ISNUMBER(N752),ISNUMBER(M752),N752&gt;M752),"Check: intended &gt; assessed landings",IF(AND(ISNUMBER(J752),I752=""),"Check: solid contacts without swings","OK"))))))</f>
        <v/>
      </c>
    </row>
    <row r="753" customFormat="false" ht="15" hidden="false" customHeight="false" outlineLevel="0" collapsed="false">
      <c r="B753" s="26"/>
      <c r="C753" s="27"/>
      <c r="D753" s="28" t="str">
        <f aca="false">IF(C753="","",IFERROR(INDEX(Players!$C$5:$C$104,MATCH(C753,Players!$B$5:$B$104,0)),"ID not found"))</f>
        <v/>
      </c>
      <c r="E753" s="27"/>
      <c r="F753" s="27"/>
      <c r="G753" s="28" t="str">
        <f aca="false">IF(F753="","",IFERROR(INDEX('Hitting Drills'!$D$6:$D$45,MATCH(F753,'Hitting Drills'!$B$6:$B$45,0)),"Not a hitting drill ID"))</f>
        <v/>
      </c>
      <c r="H753" s="27"/>
      <c r="I753" s="27"/>
      <c r="J753" s="27"/>
      <c r="K753" s="27"/>
      <c r="L753" s="27"/>
      <c r="M753" s="27"/>
      <c r="N753" s="27"/>
      <c r="O753" s="27"/>
      <c r="P753" s="27"/>
      <c r="Q753" s="27"/>
      <c r="R753" s="27"/>
      <c r="S753" s="29" t="str">
        <f aca="false">IF(OR(B753="",C753=""),"",IF(COUNTIFS($B$5:B753,B753,$C$5:C753,C753)=1,1,0))</f>
        <v/>
      </c>
      <c r="T753" s="29" t="str">
        <f aca="false">IF(OR(B753="",C753="",E753=""),"",IF(COUNTIFS($B$5:B753,B753,$C$5:C753,C753,$E$5:E753,E753)=1,1,0))</f>
        <v/>
      </c>
      <c r="U753" s="28" t="str">
        <f aca="false">IF(COUNTA(B753:C753,E753:F753,H753:P753)=0,"",IF(OR(B753="",C753="",E753=""),"Check: date, player, and context required",IF(AND(ISNUMBER(J753),ISNUMBER(I753),J753&gt;I753),"Check: solid contacts &gt; swings",IF(AND(ISNUMBER(L753),ISNUMBER(K753),L753&gt;K753),"Check: correct &gt; assessed decisions",IF(AND(ISNUMBER(N753),ISNUMBER(M753),N753&gt;M753),"Check: intended &gt; assessed landings",IF(AND(ISNUMBER(J753),I753=""),"Check: solid contacts without swings","OK"))))))</f>
        <v/>
      </c>
    </row>
    <row r="754" customFormat="false" ht="15" hidden="false" customHeight="false" outlineLevel="0" collapsed="false">
      <c r="B754" s="26"/>
      <c r="C754" s="27"/>
      <c r="D754" s="28" t="str">
        <f aca="false">IF(C754="","",IFERROR(INDEX(Players!$C$5:$C$104,MATCH(C754,Players!$B$5:$B$104,0)),"ID not found"))</f>
        <v/>
      </c>
      <c r="E754" s="27"/>
      <c r="F754" s="27"/>
      <c r="G754" s="28" t="str">
        <f aca="false">IF(F754="","",IFERROR(INDEX('Hitting Drills'!$D$6:$D$45,MATCH(F754,'Hitting Drills'!$B$6:$B$45,0)),"Not a hitting drill ID"))</f>
        <v/>
      </c>
      <c r="H754" s="27"/>
      <c r="I754" s="27"/>
      <c r="J754" s="27"/>
      <c r="K754" s="27"/>
      <c r="L754" s="27"/>
      <c r="M754" s="27"/>
      <c r="N754" s="27"/>
      <c r="O754" s="27"/>
      <c r="P754" s="27"/>
      <c r="Q754" s="27"/>
      <c r="R754" s="27"/>
      <c r="S754" s="29" t="str">
        <f aca="false">IF(OR(B754="",C754=""),"",IF(COUNTIFS($B$5:B754,B754,$C$5:C754,C754)=1,1,0))</f>
        <v/>
      </c>
      <c r="T754" s="29" t="str">
        <f aca="false">IF(OR(B754="",C754="",E754=""),"",IF(COUNTIFS($B$5:B754,B754,$C$5:C754,C754,$E$5:E754,E754)=1,1,0))</f>
        <v/>
      </c>
      <c r="U754" s="28" t="str">
        <f aca="false">IF(COUNTA(B754:C754,E754:F754,H754:P754)=0,"",IF(OR(B754="",C754="",E754=""),"Check: date, player, and context required",IF(AND(ISNUMBER(J754),ISNUMBER(I754),J754&gt;I754),"Check: solid contacts &gt; swings",IF(AND(ISNUMBER(L754),ISNUMBER(K754),L754&gt;K754),"Check: correct &gt; assessed decisions",IF(AND(ISNUMBER(N754),ISNUMBER(M754),N754&gt;M754),"Check: intended &gt; assessed landings",IF(AND(ISNUMBER(J754),I754=""),"Check: solid contacts without swings","OK"))))))</f>
        <v/>
      </c>
    </row>
    <row r="755" customFormat="false" ht="15" hidden="false" customHeight="false" outlineLevel="0" collapsed="false">
      <c r="B755" s="26"/>
      <c r="C755" s="27"/>
      <c r="D755" s="28" t="str">
        <f aca="false">IF(C755="","",IFERROR(INDEX(Players!$C$5:$C$104,MATCH(C755,Players!$B$5:$B$104,0)),"ID not found"))</f>
        <v/>
      </c>
      <c r="E755" s="27"/>
      <c r="F755" s="27"/>
      <c r="G755" s="28" t="str">
        <f aca="false">IF(F755="","",IFERROR(INDEX('Hitting Drills'!$D$6:$D$45,MATCH(F755,'Hitting Drills'!$B$6:$B$45,0)),"Not a hitting drill ID"))</f>
        <v/>
      </c>
      <c r="H755" s="27"/>
      <c r="I755" s="27"/>
      <c r="J755" s="27"/>
      <c r="K755" s="27"/>
      <c r="L755" s="27"/>
      <c r="M755" s="27"/>
      <c r="N755" s="27"/>
      <c r="O755" s="27"/>
      <c r="P755" s="27"/>
      <c r="Q755" s="27"/>
      <c r="R755" s="27"/>
      <c r="S755" s="29" t="str">
        <f aca="false">IF(OR(B755="",C755=""),"",IF(COUNTIFS($B$5:B755,B755,$C$5:C755,C755)=1,1,0))</f>
        <v/>
      </c>
      <c r="T755" s="29" t="str">
        <f aca="false">IF(OR(B755="",C755="",E755=""),"",IF(COUNTIFS($B$5:B755,B755,$C$5:C755,C755,$E$5:E755,E755)=1,1,0))</f>
        <v/>
      </c>
      <c r="U755" s="28" t="str">
        <f aca="false">IF(COUNTA(B755:C755,E755:F755,H755:P755)=0,"",IF(OR(B755="",C755="",E755=""),"Check: date, player, and context required",IF(AND(ISNUMBER(J755),ISNUMBER(I755),J755&gt;I755),"Check: solid contacts &gt; swings",IF(AND(ISNUMBER(L755),ISNUMBER(K755),L755&gt;K755),"Check: correct &gt; assessed decisions",IF(AND(ISNUMBER(N755),ISNUMBER(M755),N755&gt;M755),"Check: intended &gt; assessed landings",IF(AND(ISNUMBER(J755),I755=""),"Check: solid contacts without swings","OK"))))))</f>
        <v/>
      </c>
    </row>
    <row r="756" customFormat="false" ht="15" hidden="false" customHeight="false" outlineLevel="0" collapsed="false">
      <c r="B756" s="26"/>
      <c r="C756" s="27"/>
      <c r="D756" s="28" t="str">
        <f aca="false">IF(C756="","",IFERROR(INDEX(Players!$C$5:$C$104,MATCH(C756,Players!$B$5:$B$104,0)),"ID not found"))</f>
        <v/>
      </c>
      <c r="E756" s="27"/>
      <c r="F756" s="27"/>
      <c r="G756" s="28" t="str">
        <f aca="false">IF(F756="","",IFERROR(INDEX('Hitting Drills'!$D$6:$D$45,MATCH(F756,'Hitting Drills'!$B$6:$B$45,0)),"Not a hitting drill ID"))</f>
        <v/>
      </c>
      <c r="H756" s="27"/>
      <c r="I756" s="27"/>
      <c r="J756" s="27"/>
      <c r="K756" s="27"/>
      <c r="L756" s="27"/>
      <c r="M756" s="27"/>
      <c r="N756" s="27"/>
      <c r="O756" s="27"/>
      <c r="P756" s="27"/>
      <c r="Q756" s="27"/>
      <c r="R756" s="27"/>
      <c r="S756" s="29" t="str">
        <f aca="false">IF(OR(B756="",C756=""),"",IF(COUNTIFS($B$5:B756,B756,$C$5:C756,C756)=1,1,0))</f>
        <v/>
      </c>
      <c r="T756" s="29" t="str">
        <f aca="false">IF(OR(B756="",C756="",E756=""),"",IF(COUNTIFS($B$5:B756,B756,$C$5:C756,C756,$E$5:E756,E756)=1,1,0))</f>
        <v/>
      </c>
      <c r="U756" s="28" t="str">
        <f aca="false">IF(COUNTA(B756:C756,E756:F756,H756:P756)=0,"",IF(OR(B756="",C756="",E756=""),"Check: date, player, and context required",IF(AND(ISNUMBER(J756),ISNUMBER(I756),J756&gt;I756),"Check: solid contacts &gt; swings",IF(AND(ISNUMBER(L756),ISNUMBER(K756),L756&gt;K756),"Check: correct &gt; assessed decisions",IF(AND(ISNUMBER(N756),ISNUMBER(M756),N756&gt;M756),"Check: intended &gt; assessed landings",IF(AND(ISNUMBER(J756),I756=""),"Check: solid contacts without swings","OK"))))))</f>
        <v/>
      </c>
    </row>
    <row r="757" customFormat="false" ht="15" hidden="false" customHeight="false" outlineLevel="0" collapsed="false">
      <c r="B757" s="26"/>
      <c r="C757" s="27"/>
      <c r="D757" s="28" t="str">
        <f aca="false">IF(C757="","",IFERROR(INDEX(Players!$C$5:$C$104,MATCH(C757,Players!$B$5:$B$104,0)),"ID not found"))</f>
        <v/>
      </c>
      <c r="E757" s="27"/>
      <c r="F757" s="27"/>
      <c r="G757" s="28" t="str">
        <f aca="false">IF(F757="","",IFERROR(INDEX('Hitting Drills'!$D$6:$D$45,MATCH(F757,'Hitting Drills'!$B$6:$B$45,0)),"Not a hitting drill ID"))</f>
        <v/>
      </c>
      <c r="H757" s="27"/>
      <c r="I757" s="27"/>
      <c r="J757" s="27"/>
      <c r="K757" s="27"/>
      <c r="L757" s="27"/>
      <c r="M757" s="27"/>
      <c r="N757" s="27"/>
      <c r="O757" s="27"/>
      <c r="P757" s="27"/>
      <c r="Q757" s="27"/>
      <c r="R757" s="27"/>
      <c r="S757" s="29" t="str">
        <f aca="false">IF(OR(B757="",C757=""),"",IF(COUNTIFS($B$5:B757,B757,$C$5:C757,C757)=1,1,0))</f>
        <v/>
      </c>
      <c r="T757" s="29" t="str">
        <f aca="false">IF(OR(B757="",C757="",E757=""),"",IF(COUNTIFS($B$5:B757,B757,$C$5:C757,C757,$E$5:E757,E757)=1,1,0))</f>
        <v/>
      </c>
      <c r="U757" s="28" t="str">
        <f aca="false">IF(COUNTA(B757:C757,E757:F757,H757:P757)=0,"",IF(OR(B757="",C757="",E757=""),"Check: date, player, and context required",IF(AND(ISNUMBER(J757),ISNUMBER(I757),J757&gt;I757),"Check: solid contacts &gt; swings",IF(AND(ISNUMBER(L757),ISNUMBER(K757),L757&gt;K757),"Check: correct &gt; assessed decisions",IF(AND(ISNUMBER(N757),ISNUMBER(M757),N757&gt;M757),"Check: intended &gt; assessed landings",IF(AND(ISNUMBER(J757),I757=""),"Check: solid contacts without swings","OK"))))))</f>
        <v/>
      </c>
    </row>
    <row r="758" customFormat="false" ht="15" hidden="false" customHeight="false" outlineLevel="0" collapsed="false">
      <c r="B758" s="26"/>
      <c r="C758" s="27"/>
      <c r="D758" s="28" t="str">
        <f aca="false">IF(C758="","",IFERROR(INDEX(Players!$C$5:$C$104,MATCH(C758,Players!$B$5:$B$104,0)),"ID not found"))</f>
        <v/>
      </c>
      <c r="E758" s="27"/>
      <c r="F758" s="27"/>
      <c r="G758" s="28" t="str">
        <f aca="false">IF(F758="","",IFERROR(INDEX('Hitting Drills'!$D$6:$D$45,MATCH(F758,'Hitting Drills'!$B$6:$B$45,0)),"Not a hitting drill ID"))</f>
        <v/>
      </c>
      <c r="H758" s="27"/>
      <c r="I758" s="27"/>
      <c r="J758" s="27"/>
      <c r="K758" s="27"/>
      <c r="L758" s="27"/>
      <c r="M758" s="27"/>
      <c r="N758" s="27"/>
      <c r="O758" s="27"/>
      <c r="P758" s="27"/>
      <c r="Q758" s="27"/>
      <c r="R758" s="27"/>
      <c r="S758" s="29" t="str">
        <f aca="false">IF(OR(B758="",C758=""),"",IF(COUNTIFS($B$5:B758,B758,$C$5:C758,C758)=1,1,0))</f>
        <v/>
      </c>
      <c r="T758" s="29" t="str">
        <f aca="false">IF(OR(B758="",C758="",E758=""),"",IF(COUNTIFS($B$5:B758,B758,$C$5:C758,C758,$E$5:E758,E758)=1,1,0))</f>
        <v/>
      </c>
      <c r="U758" s="28" t="str">
        <f aca="false">IF(COUNTA(B758:C758,E758:F758,H758:P758)=0,"",IF(OR(B758="",C758="",E758=""),"Check: date, player, and context required",IF(AND(ISNUMBER(J758),ISNUMBER(I758),J758&gt;I758),"Check: solid contacts &gt; swings",IF(AND(ISNUMBER(L758),ISNUMBER(K758),L758&gt;K758),"Check: correct &gt; assessed decisions",IF(AND(ISNUMBER(N758),ISNUMBER(M758),N758&gt;M758),"Check: intended &gt; assessed landings",IF(AND(ISNUMBER(J758),I758=""),"Check: solid contacts without swings","OK"))))))</f>
        <v/>
      </c>
    </row>
    <row r="759" customFormat="false" ht="15" hidden="false" customHeight="false" outlineLevel="0" collapsed="false">
      <c r="B759" s="26"/>
      <c r="C759" s="27"/>
      <c r="D759" s="28" t="str">
        <f aca="false">IF(C759="","",IFERROR(INDEX(Players!$C$5:$C$104,MATCH(C759,Players!$B$5:$B$104,0)),"ID not found"))</f>
        <v/>
      </c>
      <c r="E759" s="27"/>
      <c r="F759" s="27"/>
      <c r="G759" s="28" t="str">
        <f aca="false">IF(F759="","",IFERROR(INDEX('Hitting Drills'!$D$6:$D$45,MATCH(F759,'Hitting Drills'!$B$6:$B$45,0)),"Not a hitting drill ID"))</f>
        <v/>
      </c>
      <c r="H759" s="27"/>
      <c r="I759" s="27"/>
      <c r="J759" s="27"/>
      <c r="K759" s="27"/>
      <c r="L759" s="27"/>
      <c r="M759" s="27"/>
      <c r="N759" s="27"/>
      <c r="O759" s="27"/>
      <c r="P759" s="27"/>
      <c r="Q759" s="27"/>
      <c r="R759" s="27"/>
      <c r="S759" s="29" t="str">
        <f aca="false">IF(OR(B759="",C759=""),"",IF(COUNTIFS($B$5:B759,B759,$C$5:C759,C759)=1,1,0))</f>
        <v/>
      </c>
      <c r="T759" s="29" t="str">
        <f aca="false">IF(OR(B759="",C759="",E759=""),"",IF(COUNTIFS($B$5:B759,B759,$C$5:C759,C759,$E$5:E759,E759)=1,1,0))</f>
        <v/>
      </c>
      <c r="U759" s="28" t="str">
        <f aca="false">IF(COUNTA(B759:C759,E759:F759,H759:P759)=0,"",IF(OR(B759="",C759="",E759=""),"Check: date, player, and context required",IF(AND(ISNUMBER(J759),ISNUMBER(I759),J759&gt;I759),"Check: solid contacts &gt; swings",IF(AND(ISNUMBER(L759),ISNUMBER(K759),L759&gt;K759),"Check: correct &gt; assessed decisions",IF(AND(ISNUMBER(N759),ISNUMBER(M759),N759&gt;M759),"Check: intended &gt; assessed landings",IF(AND(ISNUMBER(J759),I759=""),"Check: solid contacts without swings","OK"))))))</f>
        <v/>
      </c>
    </row>
    <row r="760" customFormat="false" ht="15" hidden="false" customHeight="false" outlineLevel="0" collapsed="false">
      <c r="B760" s="26"/>
      <c r="C760" s="27"/>
      <c r="D760" s="28" t="str">
        <f aca="false">IF(C760="","",IFERROR(INDEX(Players!$C$5:$C$104,MATCH(C760,Players!$B$5:$B$104,0)),"ID not found"))</f>
        <v/>
      </c>
      <c r="E760" s="27"/>
      <c r="F760" s="27"/>
      <c r="G760" s="28" t="str">
        <f aca="false">IF(F760="","",IFERROR(INDEX('Hitting Drills'!$D$6:$D$45,MATCH(F760,'Hitting Drills'!$B$6:$B$45,0)),"Not a hitting drill ID"))</f>
        <v/>
      </c>
      <c r="H760" s="27"/>
      <c r="I760" s="27"/>
      <c r="J760" s="27"/>
      <c r="K760" s="27"/>
      <c r="L760" s="27"/>
      <c r="M760" s="27"/>
      <c r="N760" s="27"/>
      <c r="O760" s="27"/>
      <c r="P760" s="27"/>
      <c r="Q760" s="27"/>
      <c r="R760" s="27"/>
      <c r="S760" s="29" t="str">
        <f aca="false">IF(OR(B760="",C760=""),"",IF(COUNTIFS($B$5:B760,B760,$C$5:C760,C760)=1,1,0))</f>
        <v/>
      </c>
      <c r="T760" s="29" t="str">
        <f aca="false">IF(OR(B760="",C760="",E760=""),"",IF(COUNTIFS($B$5:B760,B760,$C$5:C760,C760,$E$5:E760,E760)=1,1,0))</f>
        <v/>
      </c>
      <c r="U760" s="28" t="str">
        <f aca="false">IF(COUNTA(B760:C760,E760:F760,H760:P760)=0,"",IF(OR(B760="",C760="",E760=""),"Check: date, player, and context required",IF(AND(ISNUMBER(J760),ISNUMBER(I760),J760&gt;I760),"Check: solid contacts &gt; swings",IF(AND(ISNUMBER(L760),ISNUMBER(K760),L760&gt;K760),"Check: correct &gt; assessed decisions",IF(AND(ISNUMBER(N760),ISNUMBER(M760),N760&gt;M760),"Check: intended &gt; assessed landings",IF(AND(ISNUMBER(J760),I760=""),"Check: solid contacts without swings","OK"))))))</f>
        <v/>
      </c>
    </row>
    <row r="761" customFormat="false" ht="15" hidden="false" customHeight="false" outlineLevel="0" collapsed="false">
      <c r="B761" s="26"/>
      <c r="C761" s="27"/>
      <c r="D761" s="28" t="str">
        <f aca="false">IF(C761="","",IFERROR(INDEX(Players!$C$5:$C$104,MATCH(C761,Players!$B$5:$B$104,0)),"ID not found"))</f>
        <v/>
      </c>
      <c r="E761" s="27"/>
      <c r="F761" s="27"/>
      <c r="G761" s="28" t="str">
        <f aca="false">IF(F761="","",IFERROR(INDEX('Hitting Drills'!$D$6:$D$45,MATCH(F761,'Hitting Drills'!$B$6:$B$45,0)),"Not a hitting drill ID"))</f>
        <v/>
      </c>
      <c r="H761" s="27"/>
      <c r="I761" s="27"/>
      <c r="J761" s="27"/>
      <c r="K761" s="27"/>
      <c r="L761" s="27"/>
      <c r="M761" s="27"/>
      <c r="N761" s="27"/>
      <c r="O761" s="27"/>
      <c r="P761" s="27"/>
      <c r="Q761" s="27"/>
      <c r="R761" s="27"/>
      <c r="S761" s="29" t="str">
        <f aca="false">IF(OR(B761="",C761=""),"",IF(COUNTIFS($B$5:B761,B761,$C$5:C761,C761)=1,1,0))</f>
        <v/>
      </c>
      <c r="T761" s="29" t="str">
        <f aca="false">IF(OR(B761="",C761="",E761=""),"",IF(COUNTIFS($B$5:B761,B761,$C$5:C761,C761,$E$5:E761,E761)=1,1,0))</f>
        <v/>
      </c>
      <c r="U761" s="28" t="str">
        <f aca="false">IF(COUNTA(B761:C761,E761:F761,H761:P761)=0,"",IF(OR(B761="",C761="",E761=""),"Check: date, player, and context required",IF(AND(ISNUMBER(J761),ISNUMBER(I761),J761&gt;I761),"Check: solid contacts &gt; swings",IF(AND(ISNUMBER(L761),ISNUMBER(K761),L761&gt;K761),"Check: correct &gt; assessed decisions",IF(AND(ISNUMBER(N761),ISNUMBER(M761),N761&gt;M761),"Check: intended &gt; assessed landings",IF(AND(ISNUMBER(J761),I761=""),"Check: solid contacts without swings","OK"))))))</f>
        <v/>
      </c>
    </row>
    <row r="762" customFormat="false" ht="15" hidden="false" customHeight="false" outlineLevel="0" collapsed="false">
      <c r="B762" s="26"/>
      <c r="C762" s="27"/>
      <c r="D762" s="28" t="str">
        <f aca="false">IF(C762="","",IFERROR(INDEX(Players!$C$5:$C$104,MATCH(C762,Players!$B$5:$B$104,0)),"ID not found"))</f>
        <v/>
      </c>
      <c r="E762" s="27"/>
      <c r="F762" s="27"/>
      <c r="G762" s="28" t="str">
        <f aca="false">IF(F762="","",IFERROR(INDEX('Hitting Drills'!$D$6:$D$45,MATCH(F762,'Hitting Drills'!$B$6:$B$45,0)),"Not a hitting drill ID"))</f>
        <v/>
      </c>
      <c r="H762" s="27"/>
      <c r="I762" s="27"/>
      <c r="J762" s="27"/>
      <c r="K762" s="27"/>
      <c r="L762" s="27"/>
      <c r="M762" s="27"/>
      <c r="N762" s="27"/>
      <c r="O762" s="27"/>
      <c r="P762" s="27"/>
      <c r="Q762" s="27"/>
      <c r="R762" s="27"/>
      <c r="S762" s="29" t="str">
        <f aca="false">IF(OR(B762="",C762=""),"",IF(COUNTIFS($B$5:B762,B762,$C$5:C762,C762)=1,1,0))</f>
        <v/>
      </c>
      <c r="T762" s="29" t="str">
        <f aca="false">IF(OR(B762="",C762="",E762=""),"",IF(COUNTIFS($B$5:B762,B762,$C$5:C762,C762,$E$5:E762,E762)=1,1,0))</f>
        <v/>
      </c>
      <c r="U762" s="28" t="str">
        <f aca="false">IF(COUNTA(B762:C762,E762:F762,H762:P762)=0,"",IF(OR(B762="",C762="",E762=""),"Check: date, player, and context required",IF(AND(ISNUMBER(J762),ISNUMBER(I762),J762&gt;I762),"Check: solid contacts &gt; swings",IF(AND(ISNUMBER(L762),ISNUMBER(K762),L762&gt;K762),"Check: correct &gt; assessed decisions",IF(AND(ISNUMBER(N762),ISNUMBER(M762),N762&gt;M762),"Check: intended &gt; assessed landings",IF(AND(ISNUMBER(J762),I762=""),"Check: solid contacts without swings","OK"))))))</f>
        <v/>
      </c>
    </row>
    <row r="763" customFormat="false" ht="15" hidden="false" customHeight="false" outlineLevel="0" collapsed="false">
      <c r="B763" s="26"/>
      <c r="C763" s="27"/>
      <c r="D763" s="28" t="str">
        <f aca="false">IF(C763="","",IFERROR(INDEX(Players!$C$5:$C$104,MATCH(C763,Players!$B$5:$B$104,0)),"ID not found"))</f>
        <v/>
      </c>
      <c r="E763" s="27"/>
      <c r="F763" s="27"/>
      <c r="G763" s="28" t="str">
        <f aca="false">IF(F763="","",IFERROR(INDEX('Hitting Drills'!$D$6:$D$45,MATCH(F763,'Hitting Drills'!$B$6:$B$45,0)),"Not a hitting drill ID"))</f>
        <v/>
      </c>
      <c r="H763" s="27"/>
      <c r="I763" s="27"/>
      <c r="J763" s="27"/>
      <c r="K763" s="27"/>
      <c r="L763" s="27"/>
      <c r="M763" s="27"/>
      <c r="N763" s="27"/>
      <c r="O763" s="27"/>
      <c r="P763" s="27"/>
      <c r="Q763" s="27"/>
      <c r="R763" s="27"/>
      <c r="S763" s="29" t="str">
        <f aca="false">IF(OR(B763="",C763=""),"",IF(COUNTIFS($B$5:B763,B763,$C$5:C763,C763)=1,1,0))</f>
        <v/>
      </c>
      <c r="T763" s="29" t="str">
        <f aca="false">IF(OR(B763="",C763="",E763=""),"",IF(COUNTIFS($B$5:B763,B763,$C$5:C763,C763,$E$5:E763,E763)=1,1,0))</f>
        <v/>
      </c>
      <c r="U763" s="28" t="str">
        <f aca="false">IF(COUNTA(B763:C763,E763:F763,H763:P763)=0,"",IF(OR(B763="",C763="",E763=""),"Check: date, player, and context required",IF(AND(ISNUMBER(J763),ISNUMBER(I763),J763&gt;I763),"Check: solid contacts &gt; swings",IF(AND(ISNUMBER(L763),ISNUMBER(K763),L763&gt;K763),"Check: correct &gt; assessed decisions",IF(AND(ISNUMBER(N763),ISNUMBER(M763),N763&gt;M763),"Check: intended &gt; assessed landings",IF(AND(ISNUMBER(J763),I763=""),"Check: solid contacts without swings","OK"))))))</f>
        <v/>
      </c>
    </row>
    <row r="764" customFormat="false" ht="15" hidden="false" customHeight="false" outlineLevel="0" collapsed="false">
      <c r="B764" s="26"/>
      <c r="C764" s="27"/>
      <c r="D764" s="28" t="str">
        <f aca="false">IF(C764="","",IFERROR(INDEX(Players!$C$5:$C$104,MATCH(C764,Players!$B$5:$B$104,0)),"ID not found"))</f>
        <v/>
      </c>
      <c r="E764" s="27"/>
      <c r="F764" s="27"/>
      <c r="G764" s="28" t="str">
        <f aca="false">IF(F764="","",IFERROR(INDEX('Hitting Drills'!$D$6:$D$45,MATCH(F764,'Hitting Drills'!$B$6:$B$45,0)),"Not a hitting drill ID"))</f>
        <v/>
      </c>
      <c r="H764" s="27"/>
      <c r="I764" s="27"/>
      <c r="J764" s="27"/>
      <c r="K764" s="27"/>
      <c r="L764" s="27"/>
      <c r="M764" s="27"/>
      <c r="N764" s="27"/>
      <c r="O764" s="27"/>
      <c r="P764" s="27"/>
      <c r="Q764" s="27"/>
      <c r="R764" s="27"/>
      <c r="S764" s="29" t="str">
        <f aca="false">IF(OR(B764="",C764=""),"",IF(COUNTIFS($B$5:B764,B764,$C$5:C764,C764)=1,1,0))</f>
        <v/>
      </c>
      <c r="T764" s="29" t="str">
        <f aca="false">IF(OR(B764="",C764="",E764=""),"",IF(COUNTIFS($B$5:B764,B764,$C$5:C764,C764,$E$5:E764,E764)=1,1,0))</f>
        <v/>
      </c>
      <c r="U764" s="28" t="str">
        <f aca="false">IF(COUNTA(B764:C764,E764:F764,H764:P764)=0,"",IF(OR(B764="",C764="",E764=""),"Check: date, player, and context required",IF(AND(ISNUMBER(J764),ISNUMBER(I764),J764&gt;I764),"Check: solid contacts &gt; swings",IF(AND(ISNUMBER(L764),ISNUMBER(K764),L764&gt;K764),"Check: correct &gt; assessed decisions",IF(AND(ISNUMBER(N764),ISNUMBER(M764),N764&gt;M764),"Check: intended &gt; assessed landings",IF(AND(ISNUMBER(J764),I764=""),"Check: solid contacts without swings","OK"))))))</f>
        <v/>
      </c>
    </row>
    <row r="765" customFormat="false" ht="15" hidden="false" customHeight="false" outlineLevel="0" collapsed="false">
      <c r="B765" s="26"/>
      <c r="C765" s="27"/>
      <c r="D765" s="28" t="str">
        <f aca="false">IF(C765="","",IFERROR(INDEX(Players!$C$5:$C$104,MATCH(C765,Players!$B$5:$B$104,0)),"ID not found"))</f>
        <v/>
      </c>
      <c r="E765" s="27"/>
      <c r="F765" s="27"/>
      <c r="G765" s="28" t="str">
        <f aca="false">IF(F765="","",IFERROR(INDEX('Hitting Drills'!$D$6:$D$45,MATCH(F765,'Hitting Drills'!$B$6:$B$45,0)),"Not a hitting drill ID"))</f>
        <v/>
      </c>
      <c r="H765" s="27"/>
      <c r="I765" s="27"/>
      <c r="J765" s="27"/>
      <c r="K765" s="27"/>
      <c r="L765" s="27"/>
      <c r="M765" s="27"/>
      <c r="N765" s="27"/>
      <c r="O765" s="27"/>
      <c r="P765" s="27"/>
      <c r="Q765" s="27"/>
      <c r="R765" s="27"/>
      <c r="S765" s="29" t="str">
        <f aca="false">IF(OR(B765="",C765=""),"",IF(COUNTIFS($B$5:B765,B765,$C$5:C765,C765)=1,1,0))</f>
        <v/>
      </c>
      <c r="T765" s="29" t="str">
        <f aca="false">IF(OR(B765="",C765="",E765=""),"",IF(COUNTIFS($B$5:B765,B765,$C$5:C765,C765,$E$5:E765,E765)=1,1,0))</f>
        <v/>
      </c>
      <c r="U765" s="28" t="str">
        <f aca="false">IF(COUNTA(B765:C765,E765:F765,H765:P765)=0,"",IF(OR(B765="",C765="",E765=""),"Check: date, player, and context required",IF(AND(ISNUMBER(J765),ISNUMBER(I765),J765&gt;I765),"Check: solid contacts &gt; swings",IF(AND(ISNUMBER(L765),ISNUMBER(K765),L765&gt;K765),"Check: correct &gt; assessed decisions",IF(AND(ISNUMBER(N765),ISNUMBER(M765),N765&gt;M765),"Check: intended &gt; assessed landings",IF(AND(ISNUMBER(J765),I765=""),"Check: solid contacts without swings","OK"))))))</f>
        <v/>
      </c>
    </row>
    <row r="766" customFormat="false" ht="15" hidden="false" customHeight="false" outlineLevel="0" collapsed="false">
      <c r="B766" s="26"/>
      <c r="C766" s="27"/>
      <c r="D766" s="28" t="str">
        <f aca="false">IF(C766="","",IFERROR(INDEX(Players!$C$5:$C$104,MATCH(C766,Players!$B$5:$B$104,0)),"ID not found"))</f>
        <v/>
      </c>
      <c r="E766" s="27"/>
      <c r="F766" s="27"/>
      <c r="G766" s="28" t="str">
        <f aca="false">IF(F766="","",IFERROR(INDEX('Hitting Drills'!$D$6:$D$45,MATCH(F766,'Hitting Drills'!$B$6:$B$45,0)),"Not a hitting drill ID"))</f>
        <v/>
      </c>
      <c r="H766" s="27"/>
      <c r="I766" s="27"/>
      <c r="J766" s="27"/>
      <c r="K766" s="27"/>
      <c r="L766" s="27"/>
      <c r="M766" s="27"/>
      <c r="N766" s="27"/>
      <c r="O766" s="27"/>
      <c r="P766" s="27"/>
      <c r="Q766" s="27"/>
      <c r="R766" s="27"/>
      <c r="S766" s="29" t="str">
        <f aca="false">IF(OR(B766="",C766=""),"",IF(COUNTIFS($B$5:B766,B766,$C$5:C766,C766)=1,1,0))</f>
        <v/>
      </c>
      <c r="T766" s="29" t="str">
        <f aca="false">IF(OR(B766="",C766="",E766=""),"",IF(COUNTIFS($B$5:B766,B766,$C$5:C766,C766,$E$5:E766,E766)=1,1,0))</f>
        <v/>
      </c>
      <c r="U766" s="28" t="str">
        <f aca="false">IF(COUNTA(B766:C766,E766:F766,H766:P766)=0,"",IF(OR(B766="",C766="",E766=""),"Check: date, player, and context required",IF(AND(ISNUMBER(J766),ISNUMBER(I766),J766&gt;I766),"Check: solid contacts &gt; swings",IF(AND(ISNUMBER(L766),ISNUMBER(K766),L766&gt;K766),"Check: correct &gt; assessed decisions",IF(AND(ISNUMBER(N766),ISNUMBER(M766),N766&gt;M766),"Check: intended &gt; assessed landings",IF(AND(ISNUMBER(J766),I766=""),"Check: solid contacts without swings","OK"))))))</f>
        <v/>
      </c>
    </row>
    <row r="767" customFormat="false" ht="15" hidden="false" customHeight="false" outlineLevel="0" collapsed="false">
      <c r="B767" s="26"/>
      <c r="C767" s="27"/>
      <c r="D767" s="28" t="str">
        <f aca="false">IF(C767="","",IFERROR(INDEX(Players!$C$5:$C$104,MATCH(C767,Players!$B$5:$B$104,0)),"ID not found"))</f>
        <v/>
      </c>
      <c r="E767" s="27"/>
      <c r="F767" s="27"/>
      <c r="G767" s="28" t="str">
        <f aca="false">IF(F767="","",IFERROR(INDEX('Hitting Drills'!$D$6:$D$45,MATCH(F767,'Hitting Drills'!$B$6:$B$45,0)),"Not a hitting drill ID"))</f>
        <v/>
      </c>
      <c r="H767" s="27"/>
      <c r="I767" s="27"/>
      <c r="J767" s="27"/>
      <c r="K767" s="27"/>
      <c r="L767" s="27"/>
      <c r="M767" s="27"/>
      <c r="N767" s="27"/>
      <c r="O767" s="27"/>
      <c r="P767" s="27"/>
      <c r="Q767" s="27"/>
      <c r="R767" s="27"/>
      <c r="S767" s="29" t="str">
        <f aca="false">IF(OR(B767="",C767=""),"",IF(COUNTIFS($B$5:B767,B767,$C$5:C767,C767)=1,1,0))</f>
        <v/>
      </c>
      <c r="T767" s="29" t="str">
        <f aca="false">IF(OR(B767="",C767="",E767=""),"",IF(COUNTIFS($B$5:B767,B767,$C$5:C767,C767,$E$5:E767,E767)=1,1,0))</f>
        <v/>
      </c>
      <c r="U767" s="28" t="str">
        <f aca="false">IF(COUNTA(B767:C767,E767:F767,H767:P767)=0,"",IF(OR(B767="",C767="",E767=""),"Check: date, player, and context required",IF(AND(ISNUMBER(J767),ISNUMBER(I767),J767&gt;I767),"Check: solid contacts &gt; swings",IF(AND(ISNUMBER(L767),ISNUMBER(K767),L767&gt;K767),"Check: correct &gt; assessed decisions",IF(AND(ISNUMBER(N767),ISNUMBER(M767),N767&gt;M767),"Check: intended &gt; assessed landings",IF(AND(ISNUMBER(J767),I767=""),"Check: solid contacts without swings","OK"))))))</f>
        <v/>
      </c>
    </row>
    <row r="768" customFormat="false" ht="15" hidden="false" customHeight="false" outlineLevel="0" collapsed="false">
      <c r="B768" s="26"/>
      <c r="C768" s="27"/>
      <c r="D768" s="28" t="str">
        <f aca="false">IF(C768="","",IFERROR(INDEX(Players!$C$5:$C$104,MATCH(C768,Players!$B$5:$B$104,0)),"ID not found"))</f>
        <v/>
      </c>
      <c r="E768" s="27"/>
      <c r="F768" s="27"/>
      <c r="G768" s="28" t="str">
        <f aca="false">IF(F768="","",IFERROR(INDEX('Hitting Drills'!$D$6:$D$45,MATCH(F768,'Hitting Drills'!$B$6:$B$45,0)),"Not a hitting drill ID"))</f>
        <v/>
      </c>
      <c r="H768" s="27"/>
      <c r="I768" s="27"/>
      <c r="J768" s="27"/>
      <c r="K768" s="27"/>
      <c r="L768" s="27"/>
      <c r="M768" s="27"/>
      <c r="N768" s="27"/>
      <c r="O768" s="27"/>
      <c r="P768" s="27"/>
      <c r="Q768" s="27"/>
      <c r="R768" s="27"/>
      <c r="S768" s="29" t="str">
        <f aca="false">IF(OR(B768="",C768=""),"",IF(COUNTIFS($B$5:B768,B768,$C$5:C768,C768)=1,1,0))</f>
        <v/>
      </c>
      <c r="T768" s="29" t="str">
        <f aca="false">IF(OR(B768="",C768="",E768=""),"",IF(COUNTIFS($B$5:B768,B768,$C$5:C768,C768,$E$5:E768,E768)=1,1,0))</f>
        <v/>
      </c>
      <c r="U768" s="28" t="str">
        <f aca="false">IF(COUNTA(B768:C768,E768:F768,H768:P768)=0,"",IF(OR(B768="",C768="",E768=""),"Check: date, player, and context required",IF(AND(ISNUMBER(J768),ISNUMBER(I768),J768&gt;I768),"Check: solid contacts &gt; swings",IF(AND(ISNUMBER(L768),ISNUMBER(K768),L768&gt;K768),"Check: correct &gt; assessed decisions",IF(AND(ISNUMBER(N768),ISNUMBER(M768),N768&gt;M768),"Check: intended &gt; assessed landings",IF(AND(ISNUMBER(J768),I768=""),"Check: solid contacts without swings","OK"))))))</f>
        <v/>
      </c>
    </row>
    <row r="769" customFormat="false" ht="15" hidden="false" customHeight="false" outlineLevel="0" collapsed="false">
      <c r="B769" s="26"/>
      <c r="C769" s="27"/>
      <c r="D769" s="28" t="str">
        <f aca="false">IF(C769="","",IFERROR(INDEX(Players!$C$5:$C$104,MATCH(C769,Players!$B$5:$B$104,0)),"ID not found"))</f>
        <v/>
      </c>
      <c r="E769" s="27"/>
      <c r="F769" s="27"/>
      <c r="G769" s="28" t="str">
        <f aca="false">IF(F769="","",IFERROR(INDEX('Hitting Drills'!$D$6:$D$45,MATCH(F769,'Hitting Drills'!$B$6:$B$45,0)),"Not a hitting drill ID"))</f>
        <v/>
      </c>
      <c r="H769" s="27"/>
      <c r="I769" s="27"/>
      <c r="J769" s="27"/>
      <c r="K769" s="27"/>
      <c r="L769" s="27"/>
      <c r="M769" s="27"/>
      <c r="N769" s="27"/>
      <c r="O769" s="27"/>
      <c r="P769" s="27"/>
      <c r="Q769" s="27"/>
      <c r="R769" s="27"/>
      <c r="S769" s="29" t="str">
        <f aca="false">IF(OR(B769="",C769=""),"",IF(COUNTIFS($B$5:B769,B769,$C$5:C769,C769)=1,1,0))</f>
        <v/>
      </c>
      <c r="T769" s="29" t="str">
        <f aca="false">IF(OR(B769="",C769="",E769=""),"",IF(COUNTIFS($B$5:B769,B769,$C$5:C769,C769,$E$5:E769,E769)=1,1,0))</f>
        <v/>
      </c>
      <c r="U769" s="28" t="str">
        <f aca="false">IF(COUNTA(B769:C769,E769:F769,H769:P769)=0,"",IF(OR(B769="",C769="",E769=""),"Check: date, player, and context required",IF(AND(ISNUMBER(J769),ISNUMBER(I769),J769&gt;I769),"Check: solid contacts &gt; swings",IF(AND(ISNUMBER(L769),ISNUMBER(K769),L769&gt;K769),"Check: correct &gt; assessed decisions",IF(AND(ISNUMBER(N769),ISNUMBER(M769),N769&gt;M769),"Check: intended &gt; assessed landings",IF(AND(ISNUMBER(J769),I769=""),"Check: solid contacts without swings","OK"))))))</f>
        <v/>
      </c>
    </row>
    <row r="770" customFormat="false" ht="15" hidden="false" customHeight="false" outlineLevel="0" collapsed="false">
      <c r="B770" s="26"/>
      <c r="C770" s="27"/>
      <c r="D770" s="28" t="str">
        <f aca="false">IF(C770="","",IFERROR(INDEX(Players!$C$5:$C$104,MATCH(C770,Players!$B$5:$B$104,0)),"ID not found"))</f>
        <v/>
      </c>
      <c r="E770" s="27"/>
      <c r="F770" s="27"/>
      <c r="G770" s="28" t="str">
        <f aca="false">IF(F770="","",IFERROR(INDEX('Hitting Drills'!$D$6:$D$45,MATCH(F770,'Hitting Drills'!$B$6:$B$45,0)),"Not a hitting drill ID"))</f>
        <v/>
      </c>
      <c r="H770" s="27"/>
      <c r="I770" s="27"/>
      <c r="J770" s="27"/>
      <c r="K770" s="27"/>
      <c r="L770" s="27"/>
      <c r="M770" s="27"/>
      <c r="N770" s="27"/>
      <c r="O770" s="27"/>
      <c r="P770" s="27"/>
      <c r="Q770" s="27"/>
      <c r="R770" s="27"/>
      <c r="S770" s="29" t="str">
        <f aca="false">IF(OR(B770="",C770=""),"",IF(COUNTIFS($B$5:B770,B770,$C$5:C770,C770)=1,1,0))</f>
        <v/>
      </c>
      <c r="T770" s="29" t="str">
        <f aca="false">IF(OR(B770="",C770="",E770=""),"",IF(COUNTIFS($B$5:B770,B770,$C$5:C770,C770,$E$5:E770,E770)=1,1,0))</f>
        <v/>
      </c>
      <c r="U770" s="28" t="str">
        <f aca="false">IF(COUNTA(B770:C770,E770:F770,H770:P770)=0,"",IF(OR(B770="",C770="",E770=""),"Check: date, player, and context required",IF(AND(ISNUMBER(J770),ISNUMBER(I770),J770&gt;I770),"Check: solid contacts &gt; swings",IF(AND(ISNUMBER(L770),ISNUMBER(K770),L770&gt;K770),"Check: correct &gt; assessed decisions",IF(AND(ISNUMBER(N770),ISNUMBER(M770),N770&gt;M770),"Check: intended &gt; assessed landings",IF(AND(ISNUMBER(J770),I770=""),"Check: solid contacts without swings","OK"))))))</f>
        <v/>
      </c>
    </row>
    <row r="771" customFormat="false" ht="15" hidden="false" customHeight="false" outlineLevel="0" collapsed="false">
      <c r="B771" s="26"/>
      <c r="C771" s="27"/>
      <c r="D771" s="28" t="str">
        <f aca="false">IF(C771="","",IFERROR(INDEX(Players!$C$5:$C$104,MATCH(C771,Players!$B$5:$B$104,0)),"ID not found"))</f>
        <v/>
      </c>
      <c r="E771" s="27"/>
      <c r="F771" s="27"/>
      <c r="G771" s="28" t="str">
        <f aca="false">IF(F771="","",IFERROR(INDEX('Hitting Drills'!$D$6:$D$45,MATCH(F771,'Hitting Drills'!$B$6:$B$45,0)),"Not a hitting drill ID"))</f>
        <v/>
      </c>
      <c r="H771" s="27"/>
      <c r="I771" s="27"/>
      <c r="J771" s="27"/>
      <c r="K771" s="27"/>
      <c r="L771" s="27"/>
      <c r="M771" s="27"/>
      <c r="N771" s="27"/>
      <c r="O771" s="27"/>
      <c r="P771" s="27"/>
      <c r="Q771" s="27"/>
      <c r="R771" s="27"/>
      <c r="S771" s="29" t="str">
        <f aca="false">IF(OR(B771="",C771=""),"",IF(COUNTIFS($B$5:B771,B771,$C$5:C771,C771)=1,1,0))</f>
        <v/>
      </c>
      <c r="T771" s="29" t="str">
        <f aca="false">IF(OR(B771="",C771="",E771=""),"",IF(COUNTIFS($B$5:B771,B771,$C$5:C771,C771,$E$5:E771,E771)=1,1,0))</f>
        <v/>
      </c>
      <c r="U771" s="28" t="str">
        <f aca="false">IF(COUNTA(B771:C771,E771:F771,H771:P771)=0,"",IF(OR(B771="",C771="",E771=""),"Check: date, player, and context required",IF(AND(ISNUMBER(J771),ISNUMBER(I771),J771&gt;I771),"Check: solid contacts &gt; swings",IF(AND(ISNUMBER(L771),ISNUMBER(K771),L771&gt;K771),"Check: correct &gt; assessed decisions",IF(AND(ISNUMBER(N771),ISNUMBER(M771),N771&gt;M771),"Check: intended &gt; assessed landings",IF(AND(ISNUMBER(J771),I771=""),"Check: solid contacts without swings","OK"))))))</f>
        <v/>
      </c>
    </row>
    <row r="772" customFormat="false" ht="15" hidden="false" customHeight="false" outlineLevel="0" collapsed="false">
      <c r="B772" s="26"/>
      <c r="C772" s="27"/>
      <c r="D772" s="28" t="str">
        <f aca="false">IF(C772="","",IFERROR(INDEX(Players!$C$5:$C$104,MATCH(C772,Players!$B$5:$B$104,0)),"ID not found"))</f>
        <v/>
      </c>
      <c r="E772" s="27"/>
      <c r="F772" s="27"/>
      <c r="G772" s="28" t="str">
        <f aca="false">IF(F772="","",IFERROR(INDEX('Hitting Drills'!$D$6:$D$45,MATCH(F772,'Hitting Drills'!$B$6:$B$45,0)),"Not a hitting drill ID"))</f>
        <v/>
      </c>
      <c r="H772" s="27"/>
      <c r="I772" s="27"/>
      <c r="J772" s="27"/>
      <c r="K772" s="27"/>
      <c r="L772" s="27"/>
      <c r="M772" s="27"/>
      <c r="N772" s="27"/>
      <c r="O772" s="27"/>
      <c r="P772" s="27"/>
      <c r="Q772" s="27"/>
      <c r="R772" s="27"/>
      <c r="S772" s="29" t="str">
        <f aca="false">IF(OR(B772="",C772=""),"",IF(COUNTIFS($B$5:B772,B772,$C$5:C772,C772)=1,1,0))</f>
        <v/>
      </c>
      <c r="T772" s="29" t="str">
        <f aca="false">IF(OR(B772="",C772="",E772=""),"",IF(COUNTIFS($B$5:B772,B772,$C$5:C772,C772,$E$5:E772,E772)=1,1,0))</f>
        <v/>
      </c>
      <c r="U772" s="28" t="str">
        <f aca="false">IF(COUNTA(B772:C772,E772:F772,H772:P772)=0,"",IF(OR(B772="",C772="",E772=""),"Check: date, player, and context required",IF(AND(ISNUMBER(J772),ISNUMBER(I772),J772&gt;I772),"Check: solid contacts &gt; swings",IF(AND(ISNUMBER(L772),ISNUMBER(K772),L772&gt;K772),"Check: correct &gt; assessed decisions",IF(AND(ISNUMBER(N772),ISNUMBER(M772),N772&gt;M772),"Check: intended &gt; assessed landings",IF(AND(ISNUMBER(J772),I772=""),"Check: solid contacts without swings","OK"))))))</f>
        <v/>
      </c>
    </row>
    <row r="773" customFormat="false" ht="15" hidden="false" customHeight="false" outlineLevel="0" collapsed="false">
      <c r="B773" s="26"/>
      <c r="C773" s="27"/>
      <c r="D773" s="28" t="str">
        <f aca="false">IF(C773="","",IFERROR(INDEX(Players!$C$5:$C$104,MATCH(C773,Players!$B$5:$B$104,0)),"ID not found"))</f>
        <v/>
      </c>
      <c r="E773" s="27"/>
      <c r="F773" s="27"/>
      <c r="G773" s="28" t="str">
        <f aca="false">IF(F773="","",IFERROR(INDEX('Hitting Drills'!$D$6:$D$45,MATCH(F773,'Hitting Drills'!$B$6:$B$45,0)),"Not a hitting drill ID"))</f>
        <v/>
      </c>
      <c r="H773" s="27"/>
      <c r="I773" s="27"/>
      <c r="J773" s="27"/>
      <c r="K773" s="27"/>
      <c r="L773" s="27"/>
      <c r="M773" s="27"/>
      <c r="N773" s="27"/>
      <c r="O773" s="27"/>
      <c r="P773" s="27"/>
      <c r="Q773" s="27"/>
      <c r="R773" s="27"/>
      <c r="S773" s="29" t="str">
        <f aca="false">IF(OR(B773="",C773=""),"",IF(COUNTIFS($B$5:B773,B773,$C$5:C773,C773)=1,1,0))</f>
        <v/>
      </c>
      <c r="T773" s="29" t="str">
        <f aca="false">IF(OR(B773="",C773="",E773=""),"",IF(COUNTIFS($B$5:B773,B773,$C$5:C773,C773,$E$5:E773,E773)=1,1,0))</f>
        <v/>
      </c>
      <c r="U773" s="28" t="str">
        <f aca="false">IF(COUNTA(B773:C773,E773:F773,H773:P773)=0,"",IF(OR(B773="",C773="",E773=""),"Check: date, player, and context required",IF(AND(ISNUMBER(J773),ISNUMBER(I773),J773&gt;I773),"Check: solid contacts &gt; swings",IF(AND(ISNUMBER(L773),ISNUMBER(K773),L773&gt;K773),"Check: correct &gt; assessed decisions",IF(AND(ISNUMBER(N773),ISNUMBER(M773),N773&gt;M773),"Check: intended &gt; assessed landings",IF(AND(ISNUMBER(J773),I773=""),"Check: solid contacts without swings","OK"))))))</f>
        <v/>
      </c>
    </row>
    <row r="774" customFormat="false" ht="15" hidden="false" customHeight="false" outlineLevel="0" collapsed="false">
      <c r="B774" s="26"/>
      <c r="C774" s="27"/>
      <c r="D774" s="28" t="str">
        <f aca="false">IF(C774="","",IFERROR(INDEX(Players!$C$5:$C$104,MATCH(C774,Players!$B$5:$B$104,0)),"ID not found"))</f>
        <v/>
      </c>
      <c r="E774" s="27"/>
      <c r="F774" s="27"/>
      <c r="G774" s="28" t="str">
        <f aca="false">IF(F774="","",IFERROR(INDEX('Hitting Drills'!$D$6:$D$45,MATCH(F774,'Hitting Drills'!$B$6:$B$45,0)),"Not a hitting drill ID"))</f>
        <v/>
      </c>
      <c r="H774" s="27"/>
      <c r="I774" s="27"/>
      <c r="J774" s="27"/>
      <c r="K774" s="27"/>
      <c r="L774" s="27"/>
      <c r="M774" s="27"/>
      <c r="N774" s="27"/>
      <c r="O774" s="27"/>
      <c r="P774" s="27"/>
      <c r="Q774" s="27"/>
      <c r="R774" s="27"/>
      <c r="S774" s="29" t="str">
        <f aca="false">IF(OR(B774="",C774=""),"",IF(COUNTIFS($B$5:B774,B774,$C$5:C774,C774)=1,1,0))</f>
        <v/>
      </c>
      <c r="T774" s="29" t="str">
        <f aca="false">IF(OR(B774="",C774="",E774=""),"",IF(COUNTIFS($B$5:B774,B774,$C$5:C774,C774,$E$5:E774,E774)=1,1,0))</f>
        <v/>
      </c>
      <c r="U774" s="28" t="str">
        <f aca="false">IF(COUNTA(B774:C774,E774:F774,H774:P774)=0,"",IF(OR(B774="",C774="",E774=""),"Check: date, player, and context required",IF(AND(ISNUMBER(J774),ISNUMBER(I774),J774&gt;I774),"Check: solid contacts &gt; swings",IF(AND(ISNUMBER(L774),ISNUMBER(K774),L774&gt;K774),"Check: correct &gt; assessed decisions",IF(AND(ISNUMBER(N774),ISNUMBER(M774),N774&gt;M774),"Check: intended &gt; assessed landings",IF(AND(ISNUMBER(J774),I774=""),"Check: solid contacts without swings","OK"))))))</f>
        <v/>
      </c>
    </row>
    <row r="775" customFormat="false" ht="15" hidden="false" customHeight="false" outlineLevel="0" collapsed="false">
      <c r="B775" s="26"/>
      <c r="C775" s="27"/>
      <c r="D775" s="28" t="str">
        <f aca="false">IF(C775="","",IFERROR(INDEX(Players!$C$5:$C$104,MATCH(C775,Players!$B$5:$B$104,0)),"ID not found"))</f>
        <v/>
      </c>
      <c r="E775" s="27"/>
      <c r="F775" s="27"/>
      <c r="G775" s="28" t="str">
        <f aca="false">IF(F775="","",IFERROR(INDEX('Hitting Drills'!$D$6:$D$45,MATCH(F775,'Hitting Drills'!$B$6:$B$45,0)),"Not a hitting drill ID"))</f>
        <v/>
      </c>
      <c r="H775" s="27"/>
      <c r="I775" s="27"/>
      <c r="J775" s="27"/>
      <c r="K775" s="27"/>
      <c r="L775" s="27"/>
      <c r="M775" s="27"/>
      <c r="N775" s="27"/>
      <c r="O775" s="27"/>
      <c r="P775" s="27"/>
      <c r="Q775" s="27"/>
      <c r="R775" s="27"/>
      <c r="S775" s="29" t="str">
        <f aca="false">IF(OR(B775="",C775=""),"",IF(COUNTIFS($B$5:B775,B775,$C$5:C775,C775)=1,1,0))</f>
        <v/>
      </c>
      <c r="T775" s="29" t="str">
        <f aca="false">IF(OR(B775="",C775="",E775=""),"",IF(COUNTIFS($B$5:B775,B775,$C$5:C775,C775,$E$5:E775,E775)=1,1,0))</f>
        <v/>
      </c>
      <c r="U775" s="28" t="str">
        <f aca="false">IF(COUNTA(B775:C775,E775:F775,H775:P775)=0,"",IF(OR(B775="",C775="",E775=""),"Check: date, player, and context required",IF(AND(ISNUMBER(J775),ISNUMBER(I775),J775&gt;I775),"Check: solid contacts &gt; swings",IF(AND(ISNUMBER(L775),ISNUMBER(K775),L775&gt;K775),"Check: correct &gt; assessed decisions",IF(AND(ISNUMBER(N775),ISNUMBER(M775),N775&gt;M775),"Check: intended &gt; assessed landings",IF(AND(ISNUMBER(J775),I775=""),"Check: solid contacts without swings","OK"))))))</f>
        <v/>
      </c>
    </row>
    <row r="776" customFormat="false" ht="15" hidden="false" customHeight="false" outlineLevel="0" collapsed="false">
      <c r="B776" s="26"/>
      <c r="C776" s="27"/>
      <c r="D776" s="28" t="str">
        <f aca="false">IF(C776="","",IFERROR(INDEX(Players!$C$5:$C$104,MATCH(C776,Players!$B$5:$B$104,0)),"ID not found"))</f>
        <v/>
      </c>
      <c r="E776" s="27"/>
      <c r="F776" s="27"/>
      <c r="G776" s="28" t="str">
        <f aca="false">IF(F776="","",IFERROR(INDEX('Hitting Drills'!$D$6:$D$45,MATCH(F776,'Hitting Drills'!$B$6:$B$45,0)),"Not a hitting drill ID"))</f>
        <v/>
      </c>
      <c r="H776" s="27"/>
      <c r="I776" s="27"/>
      <c r="J776" s="27"/>
      <c r="K776" s="27"/>
      <c r="L776" s="27"/>
      <c r="M776" s="27"/>
      <c r="N776" s="27"/>
      <c r="O776" s="27"/>
      <c r="P776" s="27"/>
      <c r="Q776" s="27"/>
      <c r="R776" s="27"/>
      <c r="S776" s="29" t="str">
        <f aca="false">IF(OR(B776="",C776=""),"",IF(COUNTIFS($B$5:B776,B776,$C$5:C776,C776)=1,1,0))</f>
        <v/>
      </c>
      <c r="T776" s="29" t="str">
        <f aca="false">IF(OR(B776="",C776="",E776=""),"",IF(COUNTIFS($B$5:B776,B776,$C$5:C776,C776,$E$5:E776,E776)=1,1,0))</f>
        <v/>
      </c>
      <c r="U776" s="28" t="str">
        <f aca="false">IF(COUNTA(B776:C776,E776:F776,H776:P776)=0,"",IF(OR(B776="",C776="",E776=""),"Check: date, player, and context required",IF(AND(ISNUMBER(J776),ISNUMBER(I776),J776&gt;I776),"Check: solid contacts &gt; swings",IF(AND(ISNUMBER(L776),ISNUMBER(K776),L776&gt;K776),"Check: correct &gt; assessed decisions",IF(AND(ISNUMBER(N776),ISNUMBER(M776),N776&gt;M776),"Check: intended &gt; assessed landings",IF(AND(ISNUMBER(J776),I776=""),"Check: solid contacts without swings","OK"))))))</f>
        <v/>
      </c>
    </row>
    <row r="777" customFormat="false" ht="15" hidden="false" customHeight="false" outlineLevel="0" collapsed="false">
      <c r="B777" s="26"/>
      <c r="C777" s="27"/>
      <c r="D777" s="28" t="str">
        <f aca="false">IF(C777="","",IFERROR(INDEX(Players!$C$5:$C$104,MATCH(C777,Players!$B$5:$B$104,0)),"ID not found"))</f>
        <v/>
      </c>
      <c r="E777" s="27"/>
      <c r="F777" s="27"/>
      <c r="G777" s="28" t="str">
        <f aca="false">IF(F777="","",IFERROR(INDEX('Hitting Drills'!$D$6:$D$45,MATCH(F777,'Hitting Drills'!$B$6:$B$45,0)),"Not a hitting drill ID"))</f>
        <v/>
      </c>
      <c r="H777" s="27"/>
      <c r="I777" s="27"/>
      <c r="J777" s="27"/>
      <c r="K777" s="27"/>
      <c r="L777" s="27"/>
      <c r="M777" s="27"/>
      <c r="N777" s="27"/>
      <c r="O777" s="27"/>
      <c r="P777" s="27"/>
      <c r="Q777" s="27"/>
      <c r="R777" s="27"/>
      <c r="S777" s="29" t="str">
        <f aca="false">IF(OR(B777="",C777=""),"",IF(COUNTIFS($B$5:B777,B777,$C$5:C777,C777)=1,1,0))</f>
        <v/>
      </c>
      <c r="T777" s="29" t="str">
        <f aca="false">IF(OR(B777="",C777="",E777=""),"",IF(COUNTIFS($B$5:B777,B777,$C$5:C777,C777,$E$5:E777,E777)=1,1,0))</f>
        <v/>
      </c>
      <c r="U777" s="28" t="str">
        <f aca="false">IF(COUNTA(B777:C777,E777:F777,H777:P777)=0,"",IF(OR(B777="",C777="",E777=""),"Check: date, player, and context required",IF(AND(ISNUMBER(J777),ISNUMBER(I777),J777&gt;I777),"Check: solid contacts &gt; swings",IF(AND(ISNUMBER(L777),ISNUMBER(K777),L777&gt;K777),"Check: correct &gt; assessed decisions",IF(AND(ISNUMBER(N777),ISNUMBER(M777),N777&gt;M777),"Check: intended &gt; assessed landings",IF(AND(ISNUMBER(J777),I777=""),"Check: solid contacts without swings","OK"))))))</f>
        <v/>
      </c>
    </row>
    <row r="778" customFormat="false" ht="15" hidden="false" customHeight="false" outlineLevel="0" collapsed="false">
      <c r="B778" s="26"/>
      <c r="C778" s="27"/>
      <c r="D778" s="28" t="str">
        <f aca="false">IF(C778="","",IFERROR(INDEX(Players!$C$5:$C$104,MATCH(C778,Players!$B$5:$B$104,0)),"ID not found"))</f>
        <v/>
      </c>
      <c r="E778" s="27"/>
      <c r="F778" s="27"/>
      <c r="G778" s="28" t="str">
        <f aca="false">IF(F778="","",IFERROR(INDEX('Hitting Drills'!$D$6:$D$45,MATCH(F778,'Hitting Drills'!$B$6:$B$45,0)),"Not a hitting drill ID"))</f>
        <v/>
      </c>
      <c r="H778" s="27"/>
      <c r="I778" s="27"/>
      <c r="J778" s="27"/>
      <c r="K778" s="27"/>
      <c r="L778" s="27"/>
      <c r="M778" s="27"/>
      <c r="N778" s="27"/>
      <c r="O778" s="27"/>
      <c r="P778" s="27"/>
      <c r="Q778" s="27"/>
      <c r="R778" s="27"/>
      <c r="S778" s="29" t="str">
        <f aca="false">IF(OR(B778="",C778=""),"",IF(COUNTIFS($B$5:B778,B778,$C$5:C778,C778)=1,1,0))</f>
        <v/>
      </c>
      <c r="T778" s="29" t="str">
        <f aca="false">IF(OR(B778="",C778="",E778=""),"",IF(COUNTIFS($B$5:B778,B778,$C$5:C778,C778,$E$5:E778,E778)=1,1,0))</f>
        <v/>
      </c>
      <c r="U778" s="28" t="str">
        <f aca="false">IF(COUNTA(B778:C778,E778:F778,H778:P778)=0,"",IF(OR(B778="",C778="",E778=""),"Check: date, player, and context required",IF(AND(ISNUMBER(J778),ISNUMBER(I778),J778&gt;I778),"Check: solid contacts &gt; swings",IF(AND(ISNUMBER(L778),ISNUMBER(K778),L778&gt;K778),"Check: correct &gt; assessed decisions",IF(AND(ISNUMBER(N778),ISNUMBER(M778),N778&gt;M778),"Check: intended &gt; assessed landings",IF(AND(ISNUMBER(J778),I778=""),"Check: solid contacts without swings","OK"))))))</f>
        <v/>
      </c>
    </row>
    <row r="779" customFormat="false" ht="15" hidden="false" customHeight="false" outlineLevel="0" collapsed="false">
      <c r="B779" s="26"/>
      <c r="C779" s="27"/>
      <c r="D779" s="28" t="str">
        <f aca="false">IF(C779="","",IFERROR(INDEX(Players!$C$5:$C$104,MATCH(C779,Players!$B$5:$B$104,0)),"ID not found"))</f>
        <v/>
      </c>
      <c r="E779" s="27"/>
      <c r="F779" s="27"/>
      <c r="G779" s="28" t="str">
        <f aca="false">IF(F779="","",IFERROR(INDEX('Hitting Drills'!$D$6:$D$45,MATCH(F779,'Hitting Drills'!$B$6:$B$45,0)),"Not a hitting drill ID"))</f>
        <v/>
      </c>
      <c r="H779" s="27"/>
      <c r="I779" s="27"/>
      <c r="J779" s="27"/>
      <c r="K779" s="27"/>
      <c r="L779" s="27"/>
      <c r="M779" s="27"/>
      <c r="N779" s="27"/>
      <c r="O779" s="27"/>
      <c r="P779" s="27"/>
      <c r="Q779" s="27"/>
      <c r="R779" s="27"/>
      <c r="S779" s="29" t="str">
        <f aca="false">IF(OR(B779="",C779=""),"",IF(COUNTIFS($B$5:B779,B779,$C$5:C779,C779)=1,1,0))</f>
        <v/>
      </c>
      <c r="T779" s="29" t="str">
        <f aca="false">IF(OR(B779="",C779="",E779=""),"",IF(COUNTIFS($B$5:B779,B779,$C$5:C779,C779,$E$5:E779,E779)=1,1,0))</f>
        <v/>
      </c>
      <c r="U779" s="28" t="str">
        <f aca="false">IF(COUNTA(B779:C779,E779:F779,H779:P779)=0,"",IF(OR(B779="",C779="",E779=""),"Check: date, player, and context required",IF(AND(ISNUMBER(J779),ISNUMBER(I779),J779&gt;I779),"Check: solid contacts &gt; swings",IF(AND(ISNUMBER(L779),ISNUMBER(K779),L779&gt;K779),"Check: correct &gt; assessed decisions",IF(AND(ISNUMBER(N779),ISNUMBER(M779),N779&gt;M779),"Check: intended &gt; assessed landings",IF(AND(ISNUMBER(J779),I779=""),"Check: solid contacts without swings","OK"))))))</f>
        <v/>
      </c>
    </row>
    <row r="780" customFormat="false" ht="15" hidden="false" customHeight="false" outlineLevel="0" collapsed="false">
      <c r="B780" s="26"/>
      <c r="C780" s="27"/>
      <c r="D780" s="28" t="str">
        <f aca="false">IF(C780="","",IFERROR(INDEX(Players!$C$5:$C$104,MATCH(C780,Players!$B$5:$B$104,0)),"ID not found"))</f>
        <v/>
      </c>
      <c r="E780" s="27"/>
      <c r="F780" s="27"/>
      <c r="G780" s="28" t="str">
        <f aca="false">IF(F780="","",IFERROR(INDEX('Hitting Drills'!$D$6:$D$45,MATCH(F780,'Hitting Drills'!$B$6:$B$45,0)),"Not a hitting drill ID"))</f>
        <v/>
      </c>
      <c r="H780" s="27"/>
      <c r="I780" s="27"/>
      <c r="J780" s="27"/>
      <c r="K780" s="27"/>
      <c r="L780" s="27"/>
      <c r="M780" s="27"/>
      <c r="N780" s="27"/>
      <c r="O780" s="27"/>
      <c r="P780" s="27"/>
      <c r="Q780" s="27"/>
      <c r="R780" s="27"/>
      <c r="S780" s="29" t="str">
        <f aca="false">IF(OR(B780="",C780=""),"",IF(COUNTIFS($B$5:B780,B780,$C$5:C780,C780)=1,1,0))</f>
        <v/>
      </c>
      <c r="T780" s="29" t="str">
        <f aca="false">IF(OR(B780="",C780="",E780=""),"",IF(COUNTIFS($B$5:B780,B780,$C$5:C780,C780,$E$5:E780,E780)=1,1,0))</f>
        <v/>
      </c>
      <c r="U780" s="28" t="str">
        <f aca="false">IF(COUNTA(B780:C780,E780:F780,H780:P780)=0,"",IF(OR(B780="",C780="",E780=""),"Check: date, player, and context required",IF(AND(ISNUMBER(J780),ISNUMBER(I780),J780&gt;I780),"Check: solid contacts &gt; swings",IF(AND(ISNUMBER(L780),ISNUMBER(K780),L780&gt;K780),"Check: correct &gt; assessed decisions",IF(AND(ISNUMBER(N780),ISNUMBER(M780),N780&gt;M780),"Check: intended &gt; assessed landings",IF(AND(ISNUMBER(J780),I780=""),"Check: solid contacts without swings","OK"))))))</f>
        <v/>
      </c>
    </row>
    <row r="781" customFormat="false" ht="15" hidden="false" customHeight="false" outlineLevel="0" collapsed="false">
      <c r="B781" s="26"/>
      <c r="C781" s="27"/>
      <c r="D781" s="28" t="str">
        <f aca="false">IF(C781="","",IFERROR(INDEX(Players!$C$5:$C$104,MATCH(C781,Players!$B$5:$B$104,0)),"ID not found"))</f>
        <v/>
      </c>
      <c r="E781" s="27"/>
      <c r="F781" s="27"/>
      <c r="G781" s="28" t="str">
        <f aca="false">IF(F781="","",IFERROR(INDEX('Hitting Drills'!$D$6:$D$45,MATCH(F781,'Hitting Drills'!$B$6:$B$45,0)),"Not a hitting drill ID"))</f>
        <v/>
      </c>
      <c r="H781" s="27"/>
      <c r="I781" s="27"/>
      <c r="J781" s="27"/>
      <c r="K781" s="27"/>
      <c r="L781" s="27"/>
      <c r="M781" s="27"/>
      <c r="N781" s="27"/>
      <c r="O781" s="27"/>
      <c r="P781" s="27"/>
      <c r="Q781" s="27"/>
      <c r="R781" s="27"/>
      <c r="S781" s="29" t="str">
        <f aca="false">IF(OR(B781="",C781=""),"",IF(COUNTIFS($B$5:B781,B781,$C$5:C781,C781)=1,1,0))</f>
        <v/>
      </c>
      <c r="T781" s="29" t="str">
        <f aca="false">IF(OR(B781="",C781="",E781=""),"",IF(COUNTIFS($B$5:B781,B781,$C$5:C781,C781,$E$5:E781,E781)=1,1,0))</f>
        <v/>
      </c>
      <c r="U781" s="28" t="str">
        <f aca="false">IF(COUNTA(B781:C781,E781:F781,H781:P781)=0,"",IF(OR(B781="",C781="",E781=""),"Check: date, player, and context required",IF(AND(ISNUMBER(J781),ISNUMBER(I781),J781&gt;I781),"Check: solid contacts &gt; swings",IF(AND(ISNUMBER(L781),ISNUMBER(K781),L781&gt;K781),"Check: correct &gt; assessed decisions",IF(AND(ISNUMBER(N781),ISNUMBER(M781),N781&gt;M781),"Check: intended &gt; assessed landings",IF(AND(ISNUMBER(J781),I781=""),"Check: solid contacts without swings","OK"))))))</f>
        <v/>
      </c>
    </row>
    <row r="782" customFormat="false" ht="15" hidden="false" customHeight="false" outlineLevel="0" collapsed="false">
      <c r="B782" s="26"/>
      <c r="C782" s="27"/>
      <c r="D782" s="28" t="str">
        <f aca="false">IF(C782="","",IFERROR(INDEX(Players!$C$5:$C$104,MATCH(C782,Players!$B$5:$B$104,0)),"ID not found"))</f>
        <v/>
      </c>
      <c r="E782" s="27"/>
      <c r="F782" s="27"/>
      <c r="G782" s="28" t="str">
        <f aca="false">IF(F782="","",IFERROR(INDEX('Hitting Drills'!$D$6:$D$45,MATCH(F782,'Hitting Drills'!$B$6:$B$45,0)),"Not a hitting drill ID"))</f>
        <v/>
      </c>
      <c r="H782" s="27"/>
      <c r="I782" s="27"/>
      <c r="J782" s="27"/>
      <c r="K782" s="27"/>
      <c r="L782" s="27"/>
      <c r="M782" s="27"/>
      <c r="N782" s="27"/>
      <c r="O782" s="27"/>
      <c r="P782" s="27"/>
      <c r="Q782" s="27"/>
      <c r="R782" s="27"/>
      <c r="S782" s="29" t="str">
        <f aca="false">IF(OR(B782="",C782=""),"",IF(COUNTIFS($B$5:B782,B782,$C$5:C782,C782)=1,1,0))</f>
        <v/>
      </c>
      <c r="T782" s="29" t="str">
        <f aca="false">IF(OR(B782="",C782="",E782=""),"",IF(COUNTIFS($B$5:B782,B782,$C$5:C782,C782,$E$5:E782,E782)=1,1,0))</f>
        <v/>
      </c>
      <c r="U782" s="28" t="str">
        <f aca="false">IF(COUNTA(B782:C782,E782:F782,H782:P782)=0,"",IF(OR(B782="",C782="",E782=""),"Check: date, player, and context required",IF(AND(ISNUMBER(J782),ISNUMBER(I782),J782&gt;I782),"Check: solid contacts &gt; swings",IF(AND(ISNUMBER(L782),ISNUMBER(K782),L782&gt;K782),"Check: correct &gt; assessed decisions",IF(AND(ISNUMBER(N782),ISNUMBER(M782),N782&gt;M782),"Check: intended &gt; assessed landings",IF(AND(ISNUMBER(J782),I782=""),"Check: solid contacts without swings","OK"))))))</f>
        <v/>
      </c>
    </row>
    <row r="783" customFormat="false" ht="15" hidden="false" customHeight="false" outlineLevel="0" collapsed="false">
      <c r="B783" s="26"/>
      <c r="C783" s="27"/>
      <c r="D783" s="28" t="str">
        <f aca="false">IF(C783="","",IFERROR(INDEX(Players!$C$5:$C$104,MATCH(C783,Players!$B$5:$B$104,0)),"ID not found"))</f>
        <v/>
      </c>
      <c r="E783" s="27"/>
      <c r="F783" s="27"/>
      <c r="G783" s="28" t="str">
        <f aca="false">IF(F783="","",IFERROR(INDEX('Hitting Drills'!$D$6:$D$45,MATCH(F783,'Hitting Drills'!$B$6:$B$45,0)),"Not a hitting drill ID"))</f>
        <v/>
      </c>
      <c r="H783" s="27"/>
      <c r="I783" s="27"/>
      <c r="J783" s="27"/>
      <c r="K783" s="27"/>
      <c r="L783" s="27"/>
      <c r="M783" s="27"/>
      <c r="N783" s="27"/>
      <c r="O783" s="27"/>
      <c r="P783" s="27"/>
      <c r="Q783" s="27"/>
      <c r="R783" s="27"/>
      <c r="S783" s="29" t="str">
        <f aca="false">IF(OR(B783="",C783=""),"",IF(COUNTIFS($B$5:B783,B783,$C$5:C783,C783)=1,1,0))</f>
        <v/>
      </c>
      <c r="T783" s="29" t="str">
        <f aca="false">IF(OR(B783="",C783="",E783=""),"",IF(COUNTIFS($B$5:B783,B783,$C$5:C783,C783,$E$5:E783,E783)=1,1,0))</f>
        <v/>
      </c>
      <c r="U783" s="28" t="str">
        <f aca="false">IF(COUNTA(B783:C783,E783:F783,H783:P783)=0,"",IF(OR(B783="",C783="",E783=""),"Check: date, player, and context required",IF(AND(ISNUMBER(J783),ISNUMBER(I783),J783&gt;I783),"Check: solid contacts &gt; swings",IF(AND(ISNUMBER(L783),ISNUMBER(K783),L783&gt;K783),"Check: correct &gt; assessed decisions",IF(AND(ISNUMBER(N783),ISNUMBER(M783),N783&gt;M783),"Check: intended &gt; assessed landings",IF(AND(ISNUMBER(J783),I783=""),"Check: solid contacts without swings","OK"))))))</f>
        <v/>
      </c>
    </row>
    <row r="784" customFormat="false" ht="15" hidden="false" customHeight="false" outlineLevel="0" collapsed="false">
      <c r="B784" s="26"/>
      <c r="C784" s="27"/>
      <c r="D784" s="28" t="str">
        <f aca="false">IF(C784="","",IFERROR(INDEX(Players!$C$5:$C$104,MATCH(C784,Players!$B$5:$B$104,0)),"ID not found"))</f>
        <v/>
      </c>
      <c r="E784" s="27"/>
      <c r="F784" s="27"/>
      <c r="G784" s="28" t="str">
        <f aca="false">IF(F784="","",IFERROR(INDEX('Hitting Drills'!$D$6:$D$45,MATCH(F784,'Hitting Drills'!$B$6:$B$45,0)),"Not a hitting drill ID"))</f>
        <v/>
      </c>
      <c r="H784" s="27"/>
      <c r="I784" s="27"/>
      <c r="J784" s="27"/>
      <c r="K784" s="27"/>
      <c r="L784" s="27"/>
      <c r="M784" s="27"/>
      <c r="N784" s="27"/>
      <c r="O784" s="27"/>
      <c r="P784" s="27"/>
      <c r="Q784" s="27"/>
      <c r="R784" s="27"/>
      <c r="S784" s="29" t="str">
        <f aca="false">IF(OR(B784="",C784=""),"",IF(COUNTIFS($B$5:B784,B784,$C$5:C784,C784)=1,1,0))</f>
        <v/>
      </c>
      <c r="T784" s="29" t="str">
        <f aca="false">IF(OR(B784="",C784="",E784=""),"",IF(COUNTIFS($B$5:B784,B784,$C$5:C784,C784,$E$5:E784,E784)=1,1,0))</f>
        <v/>
      </c>
      <c r="U784" s="28" t="str">
        <f aca="false">IF(COUNTA(B784:C784,E784:F784,H784:P784)=0,"",IF(OR(B784="",C784="",E784=""),"Check: date, player, and context required",IF(AND(ISNUMBER(J784),ISNUMBER(I784),J784&gt;I784),"Check: solid contacts &gt; swings",IF(AND(ISNUMBER(L784),ISNUMBER(K784),L784&gt;K784),"Check: correct &gt; assessed decisions",IF(AND(ISNUMBER(N784),ISNUMBER(M784),N784&gt;M784),"Check: intended &gt; assessed landings",IF(AND(ISNUMBER(J784),I784=""),"Check: solid contacts without swings","OK"))))))</f>
        <v/>
      </c>
    </row>
    <row r="785" customFormat="false" ht="15" hidden="false" customHeight="false" outlineLevel="0" collapsed="false">
      <c r="B785" s="26"/>
      <c r="C785" s="27"/>
      <c r="D785" s="28" t="str">
        <f aca="false">IF(C785="","",IFERROR(INDEX(Players!$C$5:$C$104,MATCH(C785,Players!$B$5:$B$104,0)),"ID not found"))</f>
        <v/>
      </c>
      <c r="E785" s="27"/>
      <c r="F785" s="27"/>
      <c r="G785" s="28" t="str">
        <f aca="false">IF(F785="","",IFERROR(INDEX('Hitting Drills'!$D$6:$D$45,MATCH(F785,'Hitting Drills'!$B$6:$B$45,0)),"Not a hitting drill ID"))</f>
        <v/>
      </c>
      <c r="H785" s="27"/>
      <c r="I785" s="27"/>
      <c r="J785" s="27"/>
      <c r="K785" s="27"/>
      <c r="L785" s="27"/>
      <c r="M785" s="27"/>
      <c r="N785" s="27"/>
      <c r="O785" s="27"/>
      <c r="P785" s="27"/>
      <c r="Q785" s="27"/>
      <c r="R785" s="27"/>
      <c r="S785" s="29" t="str">
        <f aca="false">IF(OR(B785="",C785=""),"",IF(COUNTIFS($B$5:B785,B785,$C$5:C785,C785)=1,1,0))</f>
        <v/>
      </c>
      <c r="T785" s="29" t="str">
        <f aca="false">IF(OR(B785="",C785="",E785=""),"",IF(COUNTIFS($B$5:B785,B785,$C$5:C785,C785,$E$5:E785,E785)=1,1,0))</f>
        <v/>
      </c>
      <c r="U785" s="28" t="str">
        <f aca="false">IF(COUNTA(B785:C785,E785:F785,H785:P785)=0,"",IF(OR(B785="",C785="",E785=""),"Check: date, player, and context required",IF(AND(ISNUMBER(J785),ISNUMBER(I785),J785&gt;I785),"Check: solid contacts &gt; swings",IF(AND(ISNUMBER(L785),ISNUMBER(K785),L785&gt;K785),"Check: correct &gt; assessed decisions",IF(AND(ISNUMBER(N785),ISNUMBER(M785),N785&gt;M785),"Check: intended &gt; assessed landings",IF(AND(ISNUMBER(J785),I785=""),"Check: solid contacts without swings","OK"))))))</f>
        <v/>
      </c>
    </row>
    <row r="786" customFormat="false" ht="15" hidden="false" customHeight="false" outlineLevel="0" collapsed="false">
      <c r="B786" s="26"/>
      <c r="C786" s="27"/>
      <c r="D786" s="28" t="str">
        <f aca="false">IF(C786="","",IFERROR(INDEX(Players!$C$5:$C$104,MATCH(C786,Players!$B$5:$B$104,0)),"ID not found"))</f>
        <v/>
      </c>
      <c r="E786" s="27"/>
      <c r="F786" s="27"/>
      <c r="G786" s="28" t="str">
        <f aca="false">IF(F786="","",IFERROR(INDEX('Hitting Drills'!$D$6:$D$45,MATCH(F786,'Hitting Drills'!$B$6:$B$45,0)),"Not a hitting drill ID"))</f>
        <v/>
      </c>
      <c r="H786" s="27"/>
      <c r="I786" s="27"/>
      <c r="J786" s="27"/>
      <c r="K786" s="27"/>
      <c r="L786" s="27"/>
      <c r="M786" s="27"/>
      <c r="N786" s="27"/>
      <c r="O786" s="27"/>
      <c r="P786" s="27"/>
      <c r="Q786" s="27"/>
      <c r="R786" s="27"/>
      <c r="S786" s="29" t="str">
        <f aca="false">IF(OR(B786="",C786=""),"",IF(COUNTIFS($B$5:B786,B786,$C$5:C786,C786)=1,1,0))</f>
        <v/>
      </c>
      <c r="T786" s="29" t="str">
        <f aca="false">IF(OR(B786="",C786="",E786=""),"",IF(COUNTIFS($B$5:B786,B786,$C$5:C786,C786,$E$5:E786,E786)=1,1,0))</f>
        <v/>
      </c>
      <c r="U786" s="28" t="str">
        <f aca="false">IF(COUNTA(B786:C786,E786:F786,H786:P786)=0,"",IF(OR(B786="",C786="",E786=""),"Check: date, player, and context required",IF(AND(ISNUMBER(J786),ISNUMBER(I786),J786&gt;I786),"Check: solid contacts &gt; swings",IF(AND(ISNUMBER(L786),ISNUMBER(K786),L786&gt;K786),"Check: correct &gt; assessed decisions",IF(AND(ISNUMBER(N786),ISNUMBER(M786),N786&gt;M786),"Check: intended &gt; assessed landings",IF(AND(ISNUMBER(J786),I786=""),"Check: solid contacts without swings","OK"))))))</f>
        <v/>
      </c>
    </row>
    <row r="787" customFormat="false" ht="15" hidden="false" customHeight="false" outlineLevel="0" collapsed="false">
      <c r="B787" s="26"/>
      <c r="C787" s="27"/>
      <c r="D787" s="28" t="str">
        <f aca="false">IF(C787="","",IFERROR(INDEX(Players!$C$5:$C$104,MATCH(C787,Players!$B$5:$B$104,0)),"ID not found"))</f>
        <v/>
      </c>
      <c r="E787" s="27"/>
      <c r="F787" s="27"/>
      <c r="G787" s="28" t="str">
        <f aca="false">IF(F787="","",IFERROR(INDEX('Hitting Drills'!$D$6:$D$45,MATCH(F787,'Hitting Drills'!$B$6:$B$45,0)),"Not a hitting drill ID"))</f>
        <v/>
      </c>
      <c r="H787" s="27"/>
      <c r="I787" s="27"/>
      <c r="J787" s="27"/>
      <c r="K787" s="27"/>
      <c r="L787" s="27"/>
      <c r="M787" s="27"/>
      <c r="N787" s="27"/>
      <c r="O787" s="27"/>
      <c r="P787" s="27"/>
      <c r="Q787" s="27"/>
      <c r="R787" s="27"/>
      <c r="S787" s="29" t="str">
        <f aca="false">IF(OR(B787="",C787=""),"",IF(COUNTIFS($B$5:B787,B787,$C$5:C787,C787)=1,1,0))</f>
        <v/>
      </c>
      <c r="T787" s="29" t="str">
        <f aca="false">IF(OR(B787="",C787="",E787=""),"",IF(COUNTIFS($B$5:B787,B787,$C$5:C787,C787,$E$5:E787,E787)=1,1,0))</f>
        <v/>
      </c>
      <c r="U787" s="28" t="str">
        <f aca="false">IF(COUNTA(B787:C787,E787:F787,H787:P787)=0,"",IF(OR(B787="",C787="",E787=""),"Check: date, player, and context required",IF(AND(ISNUMBER(J787),ISNUMBER(I787),J787&gt;I787),"Check: solid contacts &gt; swings",IF(AND(ISNUMBER(L787),ISNUMBER(K787),L787&gt;K787),"Check: correct &gt; assessed decisions",IF(AND(ISNUMBER(N787),ISNUMBER(M787),N787&gt;M787),"Check: intended &gt; assessed landings",IF(AND(ISNUMBER(J787),I787=""),"Check: solid contacts without swings","OK"))))))</f>
        <v/>
      </c>
    </row>
    <row r="788" customFormat="false" ht="15" hidden="false" customHeight="false" outlineLevel="0" collapsed="false">
      <c r="B788" s="26"/>
      <c r="C788" s="27"/>
      <c r="D788" s="28" t="str">
        <f aca="false">IF(C788="","",IFERROR(INDEX(Players!$C$5:$C$104,MATCH(C788,Players!$B$5:$B$104,0)),"ID not found"))</f>
        <v/>
      </c>
      <c r="E788" s="27"/>
      <c r="F788" s="27"/>
      <c r="G788" s="28" t="str">
        <f aca="false">IF(F788="","",IFERROR(INDEX('Hitting Drills'!$D$6:$D$45,MATCH(F788,'Hitting Drills'!$B$6:$B$45,0)),"Not a hitting drill ID"))</f>
        <v/>
      </c>
      <c r="H788" s="27"/>
      <c r="I788" s="27"/>
      <c r="J788" s="27"/>
      <c r="K788" s="27"/>
      <c r="L788" s="27"/>
      <c r="M788" s="27"/>
      <c r="N788" s="27"/>
      <c r="O788" s="27"/>
      <c r="P788" s="27"/>
      <c r="Q788" s="27"/>
      <c r="R788" s="27"/>
      <c r="S788" s="29" t="str">
        <f aca="false">IF(OR(B788="",C788=""),"",IF(COUNTIFS($B$5:B788,B788,$C$5:C788,C788)=1,1,0))</f>
        <v/>
      </c>
      <c r="T788" s="29" t="str">
        <f aca="false">IF(OR(B788="",C788="",E788=""),"",IF(COUNTIFS($B$5:B788,B788,$C$5:C788,C788,$E$5:E788,E788)=1,1,0))</f>
        <v/>
      </c>
      <c r="U788" s="28" t="str">
        <f aca="false">IF(COUNTA(B788:C788,E788:F788,H788:P788)=0,"",IF(OR(B788="",C788="",E788=""),"Check: date, player, and context required",IF(AND(ISNUMBER(J788),ISNUMBER(I788),J788&gt;I788),"Check: solid contacts &gt; swings",IF(AND(ISNUMBER(L788),ISNUMBER(K788),L788&gt;K788),"Check: correct &gt; assessed decisions",IF(AND(ISNUMBER(N788),ISNUMBER(M788),N788&gt;M788),"Check: intended &gt; assessed landings",IF(AND(ISNUMBER(J788),I788=""),"Check: solid contacts without swings","OK"))))))</f>
        <v/>
      </c>
    </row>
    <row r="789" customFormat="false" ht="15" hidden="false" customHeight="false" outlineLevel="0" collapsed="false">
      <c r="B789" s="26"/>
      <c r="C789" s="27"/>
      <c r="D789" s="28" t="str">
        <f aca="false">IF(C789="","",IFERROR(INDEX(Players!$C$5:$C$104,MATCH(C789,Players!$B$5:$B$104,0)),"ID not found"))</f>
        <v/>
      </c>
      <c r="E789" s="27"/>
      <c r="F789" s="27"/>
      <c r="G789" s="28" t="str">
        <f aca="false">IF(F789="","",IFERROR(INDEX('Hitting Drills'!$D$6:$D$45,MATCH(F789,'Hitting Drills'!$B$6:$B$45,0)),"Not a hitting drill ID"))</f>
        <v/>
      </c>
      <c r="H789" s="27"/>
      <c r="I789" s="27"/>
      <c r="J789" s="27"/>
      <c r="K789" s="27"/>
      <c r="L789" s="27"/>
      <c r="M789" s="27"/>
      <c r="N789" s="27"/>
      <c r="O789" s="27"/>
      <c r="P789" s="27"/>
      <c r="Q789" s="27"/>
      <c r="R789" s="27"/>
      <c r="S789" s="29" t="str">
        <f aca="false">IF(OR(B789="",C789=""),"",IF(COUNTIFS($B$5:B789,B789,$C$5:C789,C789)=1,1,0))</f>
        <v/>
      </c>
      <c r="T789" s="29" t="str">
        <f aca="false">IF(OR(B789="",C789="",E789=""),"",IF(COUNTIFS($B$5:B789,B789,$C$5:C789,C789,$E$5:E789,E789)=1,1,0))</f>
        <v/>
      </c>
      <c r="U789" s="28" t="str">
        <f aca="false">IF(COUNTA(B789:C789,E789:F789,H789:P789)=0,"",IF(OR(B789="",C789="",E789=""),"Check: date, player, and context required",IF(AND(ISNUMBER(J789),ISNUMBER(I789),J789&gt;I789),"Check: solid contacts &gt; swings",IF(AND(ISNUMBER(L789),ISNUMBER(K789),L789&gt;K789),"Check: correct &gt; assessed decisions",IF(AND(ISNUMBER(N789),ISNUMBER(M789),N789&gt;M789),"Check: intended &gt; assessed landings",IF(AND(ISNUMBER(J789),I789=""),"Check: solid contacts without swings","OK"))))))</f>
        <v/>
      </c>
    </row>
    <row r="790" customFormat="false" ht="15" hidden="false" customHeight="false" outlineLevel="0" collapsed="false">
      <c r="B790" s="26"/>
      <c r="C790" s="27"/>
      <c r="D790" s="28" t="str">
        <f aca="false">IF(C790="","",IFERROR(INDEX(Players!$C$5:$C$104,MATCH(C790,Players!$B$5:$B$104,0)),"ID not found"))</f>
        <v/>
      </c>
      <c r="E790" s="27"/>
      <c r="F790" s="27"/>
      <c r="G790" s="28" t="str">
        <f aca="false">IF(F790="","",IFERROR(INDEX('Hitting Drills'!$D$6:$D$45,MATCH(F790,'Hitting Drills'!$B$6:$B$45,0)),"Not a hitting drill ID"))</f>
        <v/>
      </c>
      <c r="H790" s="27"/>
      <c r="I790" s="27"/>
      <c r="J790" s="27"/>
      <c r="K790" s="27"/>
      <c r="L790" s="27"/>
      <c r="M790" s="27"/>
      <c r="N790" s="27"/>
      <c r="O790" s="27"/>
      <c r="P790" s="27"/>
      <c r="Q790" s="27"/>
      <c r="R790" s="27"/>
      <c r="S790" s="29" t="str">
        <f aca="false">IF(OR(B790="",C790=""),"",IF(COUNTIFS($B$5:B790,B790,$C$5:C790,C790)=1,1,0))</f>
        <v/>
      </c>
      <c r="T790" s="29" t="str">
        <f aca="false">IF(OR(B790="",C790="",E790=""),"",IF(COUNTIFS($B$5:B790,B790,$C$5:C790,C790,$E$5:E790,E790)=1,1,0))</f>
        <v/>
      </c>
      <c r="U790" s="28" t="str">
        <f aca="false">IF(COUNTA(B790:C790,E790:F790,H790:P790)=0,"",IF(OR(B790="",C790="",E790=""),"Check: date, player, and context required",IF(AND(ISNUMBER(J790),ISNUMBER(I790),J790&gt;I790),"Check: solid contacts &gt; swings",IF(AND(ISNUMBER(L790),ISNUMBER(K790),L790&gt;K790),"Check: correct &gt; assessed decisions",IF(AND(ISNUMBER(N790),ISNUMBER(M790),N790&gt;M790),"Check: intended &gt; assessed landings",IF(AND(ISNUMBER(J790),I790=""),"Check: solid contacts without swings","OK"))))))</f>
        <v/>
      </c>
    </row>
    <row r="791" customFormat="false" ht="15" hidden="false" customHeight="false" outlineLevel="0" collapsed="false">
      <c r="B791" s="26"/>
      <c r="C791" s="27"/>
      <c r="D791" s="28" t="str">
        <f aca="false">IF(C791="","",IFERROR(INDEX(Players!$C$5:$C$104,MATCH(C791,Players!$B$5:$B$104,0)),"ID not found"))</f>
        <v/>
      </c>
      <c r="E791" s="27"/>
      <c r="F791" s="27"/>
      <c r="G791" s="28" t="str">
        <f aca="false">IF(F791="","",IFERROR(INDEX('Hitting Drills'!$D$6:$D$45,MATCH(F791,'Hitting Drills'!$B$6:$B$45,0)),"Not a hitting drill ID"))</f>
        <v/>
      </c>
      <c r="H791" s="27"/>
      <c r="I791" s="27"/>
      <c r="J791" s="27"/>
      <c r="K791" s="27"/>
      <c r="L791" s="27"/>
      <c r="M791" s="27"/>
      <c r="N791" s="27"/>
      <c r="O791" s="27"/>
      <c r="P791" s="27"/>
      <c r="Q791" s="27"/>
      <c r="R791" s="27"/>
      <c r="S791" s="29" t="str">
        <f aca="false">IF(OR(B791="",C791=""),"",IF(COUNTIFS($B$5:B791,B791,$C$5:C791,C791)=1,1,0))</f>
        <v/>
      </c>
      <c r="T791" s="29" t="str">
        <f aca="false">IF(OR(B791="",C791="",E791=""),"",IF(COUNTIFS($B$5:B791,B791,$C$5:C791,C791,$E$5:E791,E791)=1,1,0))</f>
        <v/>
      </c>
      <c r="U791" s="28" t="str">
        <f aca="false">IF(COUNTA(B791:C791,E791:F791,H791:P791)=0,"",IF(OR(B791="",C791="",E791=""),"Check: date, player, and context required",IF(AND(ISNUMBER(J791),ISNUMBER(I791),J791&gt;I791),"Check: solid contacts &gt; swings",IF(AND(ISNUMBER(L791),ISNUMBER(K791),L791&gt;K791),"Check: correct &gt; assessed decisions",IF(AND(ISNUMBER(N791),ISNUMBER(M791),N791&gt;M791),"Check: intended &gt; assessed landings",IF(AND(ISNUMBER(J791),I791=""),"Check: solid contacts without swings","OK"))))))</f>
        <v/>
      </c>
    </row>
    <row r="792" customFormat="false" ht="15" hidden="false" customHeight="false" outlineLevel="0" collapsed="false">
      <c r="B792" s="26"/>
      <c r="C792" s="27"/>
      <c r="D792" s="28" t="str">
        <f aca="false">IF(C792="","",IFERROR(INDEX(Players!$C$5:$C$104,MATCH(C792,Players!$B$5:$B$104,0)),"ID not found"))</f>
        <v/>
      </c>
      <c r="E792" s="27"/>
      <c r="F792" s="27"/>
      <c r="G792" s="28" t="str">
        <f aca="false">IF(F792="","",IFERROR(INDEX('Hitting Drills'!$D$6:$D$45,MATCH(F792,'Hitting Drills'!$B$6:$B$45,0)),"Not a hitting drill ID"))</f>
        <v/>
      </c>
      <c r="H792" s="27"/>
      <c r="I792" s="27"/>
      <c r="J792" s="27"/>
      <c r="K792" s="27"/>
      <c r="L792" s="27"/>
      <c r="M792" s="27"/>
      <c r="N792" s="27"/>
      <c r="O792" s="27"/>
      <c r="P792" s="27"/>
      <c r="Q792" s="27"/>
      <c r="R792" s="27"/>
      <c r="S792" s="29" t="str">
        <f aca="false">IF(OR(B792="",C792=""),"",IF(COUNTIFS($B$5:B792,B792,$C$5:C792,C792)=1,1,0))</f>
        <v/>
      </c>
      <c r="T792" s="29" t="str">
        <f aca="false">IF(OR(B792="",C792="",E792=""),"",IF(COUNTIFS($B$5:B792,B792,$C$5:C792,C792,$E$5:E792,E792)=1,1,0))</f>
        <v/>
      </c>
      <c r="U792" s="28" t="str">
        <f aca="false">IF(COUNTA(B792:C792,E792:F792,H792:P792)=0,"",IF(OR(B792="",C792="",E792=""),"Check: date, player, and context required",IF(AND(ISNUMBER(J792),ISNUMBER(I792),J792&gt;I792),"Check: solid contacts &gt; swings",IF(AND(ISNUMBER(L792),ISNUMBER(K792),L792&gt;K792),"Check: correct &gt; assessed decisions",IF(AND(ISNUMBER(N792),ISNUMBER(M792),N792&gt;M792),"Check: intended &gt; assessed landings",IF(AND(ISNUMBER(J792),I792=""),"Check: solid contacts without swings","OK"))))))</f>
        <v/>
      </c>
    </row>
    <row r="793" customFormat="false" ht="15" hidden="false" customHeight="false" outlineLevel="0" collapsed="false">
      <c r="B793" s="26"/>
      <c r="C793" s="27"/>
      <c r="D793" s="28" t="str">
        <f aca="false">IF(C793="","",IFERROR(INDEX(Players!$C$5:$C$104,MATCH(C793,Players!$B$5:$B$104,0)),"ID not found"))</f>
        <v/>
      </c>
      <c r="E793" s="27"/>
      <c r="F793" s="27"/>
      <c r="G793" s="28" t="str">
        <f aca="false">IF(F793="","",IFERROR(INDEX('Hitting Drills'!$D$6:$D$45,MATCH(F793,'Hitting Drills'!$B$6:$B$45,0)),"Not a hitting drill ID"))</f>
        <v/>
      </c>
      <c r="H793" s="27"/>
      <c r="I793" s="27"/>
      <c r="J793" s="27"/>
      <c r="K793" s="27"/>
      <c r="L793" s="27"/>
      <c r="M793" s="27"/>
      <c r="N793" s="27"/>
      <c r="O793" s="27"/>
      <c r="P793" s="27"/>
      <c r="Q793" s="27"/>
      <c r="R793" s="27"/>
      <c r="S793" s="29" t="str">
        <f aca="false">IF(OR(B793="",C793=""),"",IF(COUNTIFS($B$5:B793,B793,$C$5:C793,C793)=1,1,0))</f>
        <v/>
      </c>
      <c r="T793" s="29" t="str">
        <f aca="false">IF(OR(B793="",C793="",E793=""),"",IF(COUNTIFS($B$5:B793,B793,$C$5:C793,C793,$E$5:E793,E793)=1,1,0))</f>
        <v/>
      </c>
      <c r="U793" s="28" t="str">
        <f aca="false">IF(COUNTA(B793:C793,E793:F793,H793:P793)=0,"",IF(OR(B793="",C793="",E793=""),"Check: date, player, and context required",IF(AND(ISNUMBER(J793),ISNUMBER(I793),J793&gt;I793),"Check: solid contacts &gt; swings",IF(AND(ISNUMBER(L793),ISNUMBER(K793),L793&gt;K793),"Check: correct &gt; assessed decisions",IF(AND(ISNUMBER(N793),ISNUMBER(M793),N793&gt;M793),"Check: intended &gt; assessed landings",IF(AND(ISNUMBER(J793),I793=""),"Check: solid contacts without swings","OK"))))))</f>
        <v/>
      </c>
    </row>
    <row r="794" customFormat="false" ht="15" hidden="false" customHeight="false" outlineLevel="0" collapsed="false">
      <c r="B794" s="26"/>
      <c r="C794" s="27"/>
      <c r="D794" s="28" t="str">
        <f aca="false">IF(C794="","",IFERROR(INDEX(Players!$C$5:$C$104,MATCH(C794,Players!$B$5:$B$104,0)),"ID not found"))</f>
        <v/>
      </c>
      <c r="E794" s="27"/>
      <c r="F794" s="27"/>
      <c r="G794" s="28" t="str">
        <f aca="false">IF(F794="","",IFERROR(INDEX('Hitting Drills'!$D$6:$D$45,MATCH(F794,'Hitting Drills'!$B$6:$B$45,0)),"Not a hitting drill ID"))</f>
        <v/>
      </c>
      <c r="H794" s="27"/>
      <c r="I794" s="27"/>
      <c r="J794" s="27"/>
      <c r="K794" s="27"/>
      <c r="L794" s="27"/>
      <c r="M794" s="27"/>
      <c r="N794" s="27"/>
      <c r="O794" s="27"/>
      <c r="P794" s="27"/>
      <c r="Q794" s="27"/>
      <c r="R794" s="27"/>
      <c r="S794" s="29" t="str">
        <f aca="false">IF(OR(B794="",C794=""),"",IF(COUNTIFS($B$5:B794,B794,$C$5:C794,C794)=1,1,0))</f>
        <v/>
      </c>
      <c r="T794" s="29" t="str">
        <f aca="false">IF(OR(B794="",C794="",E794=""),"",IF(COUNTIFS($B$5:B794,B794,$C$5:C794,C794,$E$5:E794,E794)=1,1,0))</f>
        <v/>
      </c>
      <c r="U794" s="28" t="str">
        <f aca="false">IF(COUNTA(B794:C794,E794:F794,H794:P794)=0,"",IF(OR(B794="",C794="",E794=""),"Check: date, player, and context required",IF(AND(ISNUMBER(J794),ISNUMBER(I794),J794&gt;I794),"Check: solid contacts &gt; swings",IF(AND(ISNUMBER(L794),ISNUMBER(K794),L794&gt;K794),"Check: correct &gt; assessed decisions",IF(AND(ISNUMBER(N794),ISNUMBER(M794),N794&gt;M794),"Check: intended &gt; assessed landings",IF(AND(ISNUMBER(J794),I794=""),"Check: solid contacts without swings","OK"))))))</f>
        <v/>
      </c>
    </row>
    <row r="795" customFormat="false" ht="15" hidden="false" customHeight="false" outlineLevel="0" collapsed="false">
      <c r="B795" s="26"/>
      <c r="C795" s="27"/>
      <c r="D795" s="28" t="str">
        <f aca="false">IF(C795="","",IFERROR(INDEX(Players!$C$5:$C$104,MATCH(C795,Players!$B$5:$B$104,0)),"ID not found"))</f>
        <v/>
      </c>
      <c r="E795" s="27"/>
      <c r="F795" s="27"/>
      <c r="G795" s="28" t="str">
        <f aca="false">IF(F795="","",IFERROR(INDEX('Hitting Drills'!$D$6:$D$45,MATCH(F795,'Hitting Drills'!$B$6:$B$45,0)),"Not a hitting drill ID"))</f>
        <v/>
      </c>
      <c r="H795" s="27"/>
      <c r="I795" s="27"/>
      <c r="J795" s="27"/>
      <c r="K795" s="27"/>
      <c r="L795" s="27"/>
      <c r="M795" s="27"/>
      <c r="N795" s="27"/>
      <c r="O795" s="27"/>
      <c r="P795" s="27"/>
      <c r="Q795" s="27"/>
      <c r="R795" s="27"/>
      <c r="S795" s="29" t="str">
        <f aca="false">IF(OR(B795="",C795=""),"",IF(COUNTIFS($B$5:B795,B795,$C$5:C795,C795)=1,1,0))</f>
        <v/>
      </c>
      <c r="T795" s="29" t="str">
        <f aca="false">IF(OR(B795="",C795="",E795=""),"",IF(COUNTIFS($B$5:B795,B795,$C$5:C795,C795,$E$5:E795,E795)=1,1,0))</f>
        <v/>
      </c>
      <c r="U795" s="28" t="str">
        <f aca="false">IF(COUNTA(B795:C795,E795:F795,H795:P795)=0,"",IF(OR(B795="",C795="",E795=""),"Check: date, player, and context required",IF(AND(ISNUMBER(J795),ISNUMBER(I795),J795&gt;I795),"Check: solid contacts &gt; swings",IF(AND(ISNUMBER(L795),ISNUMBER(K795),L795&gt;K795),"Check: correct &gt; assessed decisions",IF(AND(ISNUMBER(N795),ISNUMBER(M795),N795&gt;M795),"Check: intended &gt; assessed landings",IF(AND(ISNUMBER(J795),I795=""),"Check: solid contacts without swings","OK"))))))</f>
        <v/>
      </c>
    </row>
    <row r="796" customFormat="false" ht="15" hidden="false" customHeight="false" outlineLevel="0" collapsed="false">
      <c r="B796" s="26"/>
      <c r="C796" s="27"/>
      <c r="D796" s="28" t="str">
        <f aca="false">IF(C796="","",IFERROR(INDEX(Players!$C$5:$C$104,MATCH(C796,Players!$B$5:$B$104,0)),"ID not found"))</f>
        <v/>
      </c>
      <c r="E796" s="27"/>
      <c r="F796" s="27"/>
      <c r="G796" s="28" t="str">
        <f aca="false">IF(F796="","",IFERROR(INDEX('Hitting Drills'!$D$6:$D$45,MATCH(F796,'Hitting Drills'!$B$6:$B$45,0)),"Not a hitting drill ID"))</f>
        <v/>
      </c>
      <c r="H796" s="27"/>
      <c r="I796" s="27"/>
      <c r="J796" s="27"/>
      <c r="K796" s="27"/>
      <c r="L796" s="27"/>
      <c r="M796" s="27"/>
      <c r="N796" s="27"/>
      <c r="O796" s="27"/>
      <c r="P796" s="27"/>
      <c r="Q796" s="27"/>
      <c r="R796" s="27"/>
      <c r="S796" s="29" t="str">
        <f aca="false">IF(OR(B796="",C796=""),"",IF(COUNTIFS($B$5:B796,B796,$C$5:C796,C796)=1,1,0))</f>
        <v/>
      </c>
      <c r="T796" s="29" t="str">
        <f aca="false">IF(OR(B796="",C796="",E796=""),"",IF(COUNTIFS($B$5:B796,B796,$C$5:C796,C796,$E$5:E796,E796)=1,1,0))</f>
        <v/>
      </c>
      <c r="U796" s="28" t="str">
        <f aca="false">IF(COUNTA(B796:C796,E796:F796,H796:P796)=0,"",IF(OR(B796="",C796="",E796=""),"Check: date, player, and context required",IF(AND(ISNUMBER(J796),ISNUMBER(I796),J796&gt;I796),"Check: solid contacts &gt; swings",IF(AND(ISNUMBER(L796),ISNUMBER(K796),L796&gt;K796),"Check: correct &gt; assessed decisions",IF(AND(ISNUMBER(N796),ISNUMBER(M796),N796&gt;M796),"Check: intended &gt; assessed landings",IF(AND(ISNUMBER(J796),I796=""),"Check: solid contacts without swings","OK"))))))</f>
        <v/>
      </c>
    </row>
    <row r="797" customFormat="false" ht="15" hidden="false" customHeight="false" outlineLevel="0" collapsed="false">
      <c r="B797" s="26"/>
      <c r="C797" s="27"/>
      <c r="D797" s="28" t="str">
        <f aca="false">IF(C797="","",IFERROR(INDEX(Players!$C$5:$C$104,MATCH(C797,Players!$B$5:$B$104,0)),"ID not found"))</f>
        <v/>
      </c>
      <c r="E797" s="27"/>
      <c r="F797" s="27"/>
      <c r="G797" s="28" t="str">
        <f aca="false">IF(F797="","",IFERROR(INDEX('Hitting Drills'!$D$6:$D$45,MATCH(F797,'Hitting Drills'!$B$6:$B$45,0)),"Not a hitting drill ID"))</f>
        <v/>
      </c>
      <c r="H797" s="27"/>
      <c r="I797" s="27"/>
      <c r="J797" s="27"/>
      <c r="K797" s="27"/>
      <c r="L797" s="27"/>
      <c r="M797" s="27"/>
      <c r="N797" s="27"/>
      <c r="O797" s="27"/>
      <c r="P797" s="27"/>
      <c r="Q797" s="27"/>
      <c r="R797" s="27"/>
      <c r="S797" s="29" t="str">
        <f aca="false">IF(OR(B797="",C797=""),"",IF(COUNTIFS($B$5:B797,B797,$C$5:C797,C797)=1,1,0))</f>
        <v/>
      </c>
      <c r="T797" s="29" t="str">
        <f aca="false">IF(OR(B797="",C797="",E797=""),"",IF(COUNTIFS($B$5:B797,B797,$C$5:C797,C797,$E$5:E797,E797)=1,1,0))</f>
        <v/>
      </c>
      <c r="U797" s="28" t="str">
        <f aca="false">IF(COUNTA(B797:C797,E797:F797,H797:P797)=0,"",IF(OR(B797="",C797="",E797=""),"Check: date, player, and context required",IF(AND(ISNUMBER(J797),ISNUMBER(I797),J797&gt;I797),"Check: solid contacts &gt; swings",IF(AND(ISNUMBER(L797),ISNUMBER(K797),L797&gt;K797),"Check: correct &gt; assessed decisions",IF(AND(ISNUMBER(N797),ISNUMBER(M797),N797&gt;M797),"Check: intended &gt; assessed landings",IF(AND(ISNUMBER(J797),I797=""),"Check: solid contacts without swings","OK"))))))</f>
        <v/>
      </c>
    </row>
    <row r="798" customFormat="false" ht="15" hidden="false" customHeight="false" outlineLevel="0" collapsed="false">
      <c r="B798" s="26"/>
      <c r="C798" s="27"/>
      <c r="D798" s="28" t="str">
        <f aca="false">IF(C798="","",IFERROR(INDEX(Players!$C$5:$C$104,MATCH(C798,Players!$B$5:$B$104,0)),"ID not found"))</f>
        <v/>
      </c>
      <c r="E798" s="27"/>
      <c r="F798" s="27"/>
      <c r="G798" s="28" t="str">
        <f aca="false">IF(F798="","",IFERROR(INDEX('Hitting Drills'!$D$6:$D$45,MATCH(F798,'Hitting Drills'!$B$6:$B$45,0)),"Not a hitting drill ID"))</f>
        <v/>
      </c>
      <c r="H798" s="27"/>
      <c r="I798" s="27"/>
      <c r="J798" s="27"/>
      <c r="K798" s="27"/>
      <c r="L798" s="27"/>
      <c r="M798" s="27"/>
      <c r="N798" s="27"/>
      <c r="O798" s="27"/>
      <c r="P798" s="27"/>
      <c r="Q798" s="27"/>
      <c r="R798" s="27"/>
      <c r="S798" s="29" t="str">
        <f aca="false">IF(OR(B798="",C798=""),"",IF(COUNTIFS($B$5:B798,B798,$C$5:C798,C798)=1,1,0))</f>
        <v/>
      </c>
      <c r="T798" s="29" t="str">
        <f aca="false">IF(OR(B798="",C798="",E798=""),"",IF(COUNTIFS($B$5:B798,B798,$C$5:C798,C798,$E$5:E798,E798)=1,1,0))</f>
        <v/>
      </c>
      <c r="U798" s="28" t="str">
        <f aca="false">IF(COUNTA(B798:C798,E798:F798,H798:P798)=0,"",IF(OR(B798="",C798="",E798=""),"Check: date, player, and context required",IF(AND(ISNUMBER(J798),ISNUMBER(I798),J798&gt;I798),"Check: solid contacts &gt; swings",IF(AND(ISNUMBER(L798),ISNUMBER(K798),L798&gt;K798),"Check: correct &gt; assessed decisions",IF(AND(ISNUMBER(N798),ISNUMBER(M798),N798&gt;M798),"Check: intended &gt; assessed landings",IF(AND(ISNUMBER(J798),I798=""),"Check: solid contacts without swings","OK"))))))</f>
        <v/>
      </c>
    </row>
    <row r="799" customFormat="false" ht="15" hidden="false" customHeight="false" outlineLevel="0" collapsed="false">
      <c r="B799" s="26"/>
      <c r="C799" s="27"/>
      <c r="D799" s="28" t="str">
        <f aca="false">IF(C799="","",IFERROR(INDEX(Players!$C$5:$C$104,MATCH(C799,Players!$B$5:$B$104,0)),"ID not found"))</f>
        <v/>
      </c>
      <c r="E799" s="27"/>
      <c r="F799" s="27"/>
      <c r="G799" s="28" t="str">
        <f aca="false">IF(F799="","",IFERROR(INDEX('Hitting Drills'!$D$6:$D$45,MATCH(F799,'Hitting Drills'!$B$6:$B$45,0)),"Not a hitting drill ID"))</f>
        <v/>
      </c>
      <c r="H799" s="27"/>
      <c r="I799" s="27"/>
      <c r="J799" s="27"/>
      <c r="K799" s="27"/>
      <c r="L799" s="27"/>
      <c r="M799" s="27"/>
      <c r="N799" s="27"/>
      <c r="O799" s="27"/>
      <c r="P799" s="27"/>
      <c r="Q799" s="27"/>
      <c r="R799" s="27"/>
      <c r="S799" s="29" t="str">
        <f aca="false">IF(OR(B799="",C799=""),"",IF(COUNTIFS($B$5:B799,B799,$C$5:C799,C799)=1,1,0))</f>
        <v/>
      </c>
      <c r="T799" s="29" t="str">
        <f aca="false">IF(OR(B799="",C799="",E799=""),"",IF(COUNTIFS($B$5:B799,B799,$C$5:C799,C799,$E$5:E799,E799)=1,1,0))</f>
        <v/>
      </c>
      <c r="U799" s="28" t="str">
        <f aca="false">IF(COUNTA(B799:C799,E799:F799,H799:P799)=0,"",IF(OR(B799="",C799="",E799=""),"Check: date, player, and context required",IF(AND(ISNUMBER(J799),ISNUMBER(I799),J799&gt;I799),"Check: solid contacts &gt; swings",IF(AND(ISNUMBER(L799),ISNUMBER(K799),L799&gt;K799),"Check: correct &gt; assessed decisions",IF(AND(ISNUMBER(N799),ISNUMBER(M799),N799&gt;M799),"Check: intended &gt; assessed landings",IF(AND(ISNUMBER(J799),I799=""),"Check: solid contacts without swings","OK"))))))</f>
        <v/>
      </c>
    </row>
    <row r="800" customFormat="false" ht="15" hidden="false" customHeight="false" outlineLevel="0" collapsed="false">
      <c r="B800" s="26"/>
      <c r="C800" s="27"/>
      <c r="D800" s="28" t="str">
        <f aca="false">IF(C800="","",IFERROR(INDEX(Players!$C$5:$C$104,MATCH(C800,Players!$B$5:$B$104,0)),"ID not found"))</f>
        <v/>
      </c>
      <c r="E800" s="27"/>
      <c r="F800" s="27"/>
      <c r="G800" s="28" t="str">
        <f aca="false">IF(F800="","",IFERROR(INDEX('Hitting Drills'!$D$6:$D$45,MATCH(F800,'Hitting Drills'!$B$6:$B$45,0)),"Not a hitting drill ID"))</f>
        <v/>
      </c>
      <c r="H800" s="27"/>
      <c r="I800" s="27"/>
      <c r="J800" s="27"/>
      <c r="K800" s="27"/>
      <c r="L800" s="27"/>
      <c r="M800" s="27"/>
      <c r="N800" s="27"/>
      <c r="O800" s="27"/>
      <c r="P800" s="27"/>
      <c r="Q800" s="27"/>
      <c r="R800" s="27"/>
      <c r="S800" s="29" t="str">
        <f aca="false">IF(OR(B800="",C800=""),"",IF(COUNTIFS($B$5:B800,B800,$C$5:C800,C800)=1,1,0))</f>
        <v/>
      </c>
      <c r="T800" s="29" t="str">
        <f aca="false">IF(OR(B800="",C800="",E800=""),"",IF(COUNTIFS($B$5:B800,B800,$C$5:C800,C800,$E$5:E800,E800)=1,1,0))</f>
        <v/>
      </c>
      <c r="U800" s="28" t="str">
        <f aca="false">IF(COUNTA(B800:C800,E800:F800,H800:P800)=0,"",IF(OR(B800="",C800="",E800=""),"Check: date, player, and context required",IF(AND(ISNUMBER(J800),ISNUMBER(I800),J800&gt;I800),"Check: solid contacts &gt; swings",IF(AND(ISNUMBER(L800),ISNUMBER(K800),L800&gt;K800),"Check: correct &gt; assessed decisions",IF(AND(ISNUMBER(N800),ISNUMBER(M800),N800&gt;M800),"Check: intended &gt; assessed landings",IF(AND(ISNUMBER(J800),I800=""),"Check: solid contacts without swings","OK"))))))</f>
        <v/>
      </c>
    </row>
    <row r="801" customFormat="false" ht="15" hidden="false" customHeight="false" outlineLevel="0" collapsed="false">
      <c r="B801" s="26"/>
      <c r="C801" s="27"/>
      <c r="D801" s="28" t="str">
        <f aca="false">IF(C801="","",IFERROR(INDEX(Players!$C$5:$C$104,MATCH(C801,Players!$B$5:$B$104,0)),"ID not found"))</f>
        <v/>
      </c>
      <c r="E801" s="27"/>
      <c r="F801" s="27"/>
      <c r="G801" s="28" t="str">
        <f aca="false">IF(F801="","",IFERROR(INDEX('Hitting Drills'!$D$6:$D$45,MATCH(F801,'Hitting Drills'!$B$6:$B$45,0)),"Not a hitting drill ID"))</f>
        <v/>
      </c>
      <c r="H801" s="27"/>
      <c r="I801" s="27"/>
      <c r="J801" s="27"/>
      <c r="K801" s="27"/>
      <c r="L801" s="27"/>
      <c r="M801" s="27"/>
      <c r="N801" s="27"/>
      <c r="O801" s="27"/>
      <c r="P801" s="27"/>
      <c r="Q801" s="27"/>
      <c r="R801" s="27"/>
      <c r="S801" s="29" t="str">
        <f aca="false">IF(OR(B801="",C801=""),"",IF(COUNTIFS($B$5:B801,B801,$C$5:C801,C801)=1,1,0))</f>
        <v/>
      </c>
      <c r="T801" s="29" t="str">
        <f aca="false">IF(OR(B801="",C801="",E801=""),"",IF(COUNTIFS($B$5:B801,B801,$C$5:C801,C801,$E$5:E801,E801)=1,1,0))</f>
        <v/>
      </c>
      <c r="U801" s="28" t="str">
        <f aca="false">IF(COUNTA(B801:C801,E801:F801,H801:P801)=0,"",IF(OR(B801="",C801="",E801=""),"Check: date, player, and context required",IF(AND(ISNUMBER(J801),ISNUMBER(I801),J801&gt;I801),"Check: solid contacts &gt; swings",IF(AND(ISNUMBER(L801),ISNUMBER(K801),L801&gt;K801),"Check: correct &gt; assessed decisions",IF(AND(ISNUMBER(N801),ISNUMBER(M801),N801&gt;M801),"Check: intended &gt; assessed landings",IF(AND(ISNUMBER(J801),I801=""),"Check: solid contacts without swings","OK"))))))</f>
        <v/>
      </c>
    </row>
    <row r="802" customFormat="false" ht="15" hidden="false" customHeight="false" outlineLevel="0" collapsed="false">
      <c r="B802" s="26"/>
      <c r="C802" s="27"/>
      <c r="D802" s="28" t="str">
        <f aca="false">IF(C802="","",IFERROR(INDEX(Players!$C$5:$C$104,MATCH(C802,Players!$B$5:$B$104,0)),"ID not found"))</f>
        <v/>
      </c>
      <c r="E802" s="27"/>
      <c r="F802" s="27"/>
      <c r="G802" s="28" t="str">
        <f aca="false">IF(F802="","",IFERROR(INDEX('Hitting Drills'!$D$6:$D$45,MATCH(F802,'Hitting Drills'!$B$6:$B$45,0)),"Not a hitting drill ID"))</f>
        <v/>
      </c>
      <c r="H802" s="27"/>
      <c r="I802" s="27"/>
      <c r="J802" s="27"/>
      <c r="K802" s="27"/>
      <c r="L802" s="27"/>
      <c r="M802" s="27"/>
      <c r="N802" s="27"/>
      <c r="O802" s="27"/>
      <c r="P802" s="27"/>
      <c r="Q802" s="27"/>
      <c r="R802" s="27"/>
      <c r="S802" s="29" t="str">
        <f aca="false">IF(OR(B802="",C802=""),"",IF(COUNTIFS($B$5:B802,B802,$C$5:C802,C802)=1,1,0))</f>
        <v/>
      </c>
      <c r="T802" s="29" t="str">
        <f aca="false">IF(OR(B802="",C802="",E802=""),"",IF(COUNTIFS($B$5:B802,B802,$C$5:C802,C802,$E$5:E802,E802)=1,1,0))</f>
        <v/>
      </c>
      <c r="U802" s="28" t="str">
        <f aca="false">IF(COUNTA(B802:C802,E802:F802,H802:P802)=0,"",IF(OR(B802="",C802="",E802=""),"Check: date, player, and context required",IF(AND(ISNUMBER(J802),ISNUMBER(I802),J802&gt;I802),"Check: solid contacts &gt; swings",IF(AND(ISNUMBER(L802),ISNUMBER(K802),L802&gt;K802),"Check: correct &gt; assessed decisions",IF(AND(ISNUMBER(N802),ISNUMBER(M802),N802&gt;M802),"Check: intended &gt; assessed landings",IF(AND(ISNUMBER(J802),I802=""),"Check: solid contacts without swings","OK"))))))</f>
        <v/>
      </c>
    </row>
    <row r="803" customFormat="false" ht="15" hidden="false" customHeight="false" outlineLevel="0" collapsed="false">
      <c r="B803" s="26"/>
      <c r="C803" s="27"/>
      <c r="D803" s="28" t="str">
        <f aca="false">IF(C803="","",IFERROR(INDEX(Players!$C$5:$C$104,MATCH(C803,Players!$B$5:$B$104,0)),"ID not found"))</f>
        <v/>
      </c>
      <c r="E803" s="27"/>
      <c r="F803" s="27"/>
      <c r="G803" s="28" t="str">
        <f aca="false">IF(F803="","",IFERROR(INDEX('Hitting Drills'!$D$6:$D$45,MATCH(F803,'Hitting Drills'!$B$6:$B$45,0)),"Not a hitting drill ID"))</f>
        <v/>
      </c>
      <c r="H803" s="27"/>
      <c r="I803" s="27"/>
      <c r="J803" s="27"/>
      <c r="K803" s="27"/>
      <c r="L803" s="27"/>
      <c r="M803" s="27"/>
      <c r="N803" s="27"/>
      <c r="O803" s="27"/>
      <c r="P803" s="27"/>
      <c r="Q803" s="27"/>
      <c r="R803" s="27"/>
      <c r="S803" s="29" t="str">
        <f aca="false">IF(OR(B803="",C803=""),"",IF(COUNTIFS($B$5:B803,B803,$C$5:C803,C803)=1,1,0))</f>
        <v/>
      </c>
      <c r="T803" s="29" t="str">
        <f aca="false">IF(OR(B803="",C803="",E803=""),"",IF(COUNTIFS($B$5:B803,B803,$C$5:C803,C803,$E$5:E803,E803)=1,1,0))</f>
        <v/>
      </c>
      <c r="U803" s="28" t="str">
        <f aca="false">IF(COUNTA(B803:C803,E803:F803,H803:P803)=0,"",IF(OR(B803="",C803="",E803=""),"Check: date, player, and context required",IF(AND(ISNUMBER(J803),ISNUMBER(I803),J803&gt;I803),"Check: solid contacts &gt; swings",IF(AND(ISNUMBER(L803),ISNUMBER(K803),L803&gt;K803),"Check: correct &gt; assessed decisions",IF(AND(ISNUMBER(N803),ISNUMBER(M803),N803&gt;M803),"Check: intended &gt; assessed landings",IF(AND(ISNUMBER(J803),I803=""),"Check: solid contacts without swings","OK"))))))</f>
        <v/>
      </c>
    </row>
    <row r="804" customFormat="false" ht="15" hidden="false" customHeight="false" outlineLevel="0" collapsed="false">
      <c r="B804" s="26"/>
      <c r="C804" s="27"/>
      <c r="D804" s="28" t="str">
        <f aca="false">IF(C804="","",IFERROR(INDEX(Players!$C$5:$C$104,MATCH(C804,Players!$B$5:$B$104,0)),"ID not found"))</f>
        <v/>
      </c>
      <c r="E804" s="27"/>
      <c r="F804" s="27"/>
      <c r="G804" s="28" t="str">
        <f aca="false">IF(F804="","",IFERROR(INDEX('Hitting Drills'!$D$6:$D$45,MATCH(F804,'Hitting Drills'!$B$6:$B$45,0)),"Not a hitting drill ID"))</f>
        <v/>
      </c>
      <c r="H804" s="27"/>
      <c r="I804" s="27"/>
      <c r="J804" s="27"/>
      <c r="K804" s="27"/>
      <c r="L804" s="27"/>
      <c r="M804" s="27"/>
      <c r="N804" s="27"/>
      <c r="O804" s="27"/>
      <c r="P804" s="27"/>
      <c r="Q804" s="27"/>
      <c r="R804" s="27"/>
      <c r="S804" s="29" t="str">
        <f aca="false">IF(OR(B804="",C804=""),"",IF(COUNTIFS($B$5:B804,B804,$C$5:C804,C804)=1,1,0))</f>
        <v/>
      </c>
      <c r="T804" s="29" t="str">
        <f aca="false">IF(OR(B804="",C804="",E804=""),"",IF(COUNTIFS($B$5:B804,B804,$C$5:C804,C804,$E$5:E804,E804)=1,1,0))</f>
        <v/>
      </c>
      <c r="U804" s="28" t="str">
        <f aca="false">IF(COUNTA(B804:C804,E804:F804,H804:P804)=0,"",IF(OR(B804="",C804="",E804=""),"Check: date, player, and context required",IF(AND(ISNUMBER(J804),ISNUMBER(I804),J804&gt;I804),"Check: solid contacts &gt; swings",IF(AND(ISNUMBER(L804),ISNUMBER(K804),L804&gt;K804),"Check: correct &gt; assessed decisions",IF(AND(ISNUMBER(N804),ISNUMBER(M804),N804&gt;M804),"Check: intended &gt; assessed landings",IF(AND(ISNUMBER(J804),I804=""),"Check: solid contacts without swings","OK"))))))</f>
        <v/>
      </c>
    </row>
    <row r="805" customFormat="false" ht="15" hidden="false" customHeight="false" outlineLevel="0" collapsed="false">
      <c r="B805" s="26"/>
      <c r="C805" s="27"/>
      <c r="D805" s="28" t="str">
        <f aca="false">IF(C805="","",IFERROR(INDEX(Players!$C$5:$C$104,MATCH(C805,Players!$B$5:$B$104,0)),"ID not found"))</f>
        <v/>
      </c>
      <c r="E805" s="27"/>
      <c r="F805" s="27"/>
      <c r="G805" s="28" t="str">
        <f aca="false">IF(F805="","",IFERROR(INDEX('Hitting Drills'!$D$6:$D$45,MATCH(F805,'Hitting Drills'!$B$6:$B$45,0)),"Not a hitting drill ID"))</f>
        <v/>
      </c>
      <c r="H805" s="27"/>
      <c r="I805" s="27"/>
      <c r="J805" s="27"/>
      <c r="K805" s="27"/>
      <c r="L805" s="27"/>
      <c r="M805" s="27"/>
      <c r="N805" s="27"/>
      <c r="O805" s="27"/>
      <c r="P805" s="27"/>
      <c r="Q805" s="27"/>
      <c r="R805" s="27"/>
      <c r="S805" s="29" t="str">
        <f aca="false">IF(OR(B805="",C805=""),"",IF(COUNTIFS($B$5:B805,B805,$C$5:C805,C805)=1,1,0))</f>
        <v/>
      </c>
      <c r="T805" s="29" t="str">
        <f aca="false">IF(OR(B805="",C805="",E805=""),"",IF(COUNTIFS($B$5:B805,B805,$C$5:C805,C805,$E$5:E805,E805)=1,1,0))</f>
        <v/>
      </c>
      <c r="U805" s="28" t="str">
        <f aca="false">IF(COUNTA(B805:C805,E805:F805,H805:P805)=0,"",IF(OR(B805="",C805="",E805=""),"Check: date, player, and context required",IF(AND(ISNUMBER(J805),ISNUMBER(I805),J805&gt;I805),"Check: solid contacts &gt; swings",IF(AND(ISNUMBER(L805),ISNUMBER(K805),L805&gt;K805),"Check: correct &gt; assessed decisions",IF(AND(ISNUMBER(N805),ISNUMBER(M805),N805&gt;M805),"Check: intended &gt; assessed landings",IF(AND(ISNUMBER(J805),I805=""),"Check: solid contacts without swings","OK"))))))</f>
        <v/>
      </c>
    </row>
    <row r="806" customFormat="false" ht="15" hidden="false" customHeight="false" outlineLevel="0" collapsed="false">
      <c r="B806" s="26"/>
      <c r="C806" s="27"/>
      <c r="D806" s="28" t="str">
        <f aca="false">IF(C806="","",IFERROR(INDEX(Players!$C$5:$C$104,MATCH(C806,Players!$B$5:$B$104,0)),"ID not found"))</f>
        <v/>
      </c>
      <c r="E806" s="27"/>
      <c r="F806" s="27"/>
      <c r="G806" s="28" t="str">
        <f aca="false">IF(F806="","",IFERROR(INDEX('Hitting Drills'!$D$6:$D$45,MATCH(F806,'Hitting Drills'!$B$6:$B$45,0)),"Not a hitting drill ID"))</f>
        <v/>
      </c>
      <c r="H806" s="27"/>
      <c r="I806" s="27"/>
      <c r="J806" s="27"/>
      <c r="K806" s="27"/>
      <c r="L806" s="27"/>
      <c r="M806" s="27"/>
      <c r="N806" s="27"/>
      <c r="O806" s="27"/>
      <c r="P806" s="27"/>
      <c r="Q806" s="27"/>
      <c r="R806" s="27"/>
      <c r="S806" s="29" t="str">
        <f aca="false">IF(OR(B806="",C806=""),"",IF(COUNTIFS($B$5:B806,B806,$C$5:C806,C806)=1,1,0))</f>
        <v/>
      </c>
      <c r="T806" s="29" t="str">
        <f aca="false">IF(OR(B806="",C806="",E806=""),"",IF(COUNTIFS($B$5:B806,B806,$C$5:C806,C806,$E$5:E806,E806)=1,1,0))</f>
        <v/>
      </c>
      <c r="U806" s="28" t="str">
        <f aca="false">IF(COUNTA(B806:C806,E806:F806,H806:P806)=0,"",IF(OR(B806="",C806="",E806=""),"Check: date, player, and context required",IF(AND(ISNUMBER(J806),ISNUMBER(I806),J806&gt;I806),"Check: solid contacts &gt; swings",IF(AND(ISNUMBER(L806),ISNUMBER(K806),L806&gt;K806),"Check: correct &gt; assessed decisions",IF(AND(ISNUMBER(N806),ISNUMBER(M806),N806&gt;M806),"Check: intended &gt; assessed landings",IF(AND(ISNUMBER(J806),I806=""),"Check: solid contacts without swings","OK"))))))</f>
        <v/>
      </c>
    </row>
    <row r="807" customFormat="false" ht="15" hidden="false" customHeight="false" outlineLevel="0" collapsed="false">
      <c r="B807" s="26"/>
      <c r="C807" s="27"/>
      <c r="D807" s="28" t="str">
        <f aca="false">IF(C807="","",IFERROR(INDEX(Players!$C$5:$C$104,MATCH(C807,Players!$B$5:$B$104,0)),"ID not found"))</f>
        <v/>
      </c>
      <c r="E807" s="27"/>
      <c r="F807" s="27"/>
      <c r="G807" s="28" t="str">
        <f aca="false">IF(F807="","",IFERROR(INDEX('Hitting Drills'!$D$6:$D$45,MATCH(F807,'Hitting Drills'!$B$6:$B$45,0)),"Not a hitting drill ID"))</f>
        <v/>
      </c>
      <c r="H807" s="27"/>
      <c r="I807" s="27"/>
      <c r="J807" s="27"/>
      <c r="K807" s="27"/>
      <c r="L807" s="27"/>
      <c r="M807" s="27"/>
      <c r="N807" s="27"/>
      <c r="O807" s="27"/>
      <c r="P807" s="27"/>
      <c r="Q807" s="27"/>
      <c r="R807" s="27"/>
      <c r="S807" s="29" t="str">
        <f aca="false">IF(OR(B807="",C807=""),"",IF(COUNTIFS($B$5:B807,B807,$C$5:C807,C807)=1,1,0))</f>
        <v/>
      </c>
      <c r="T807" s="29" t="str">
        <f aca="false">IF(OR(B807="",C807="",E807=""),"",IF(COUNTIFS($B$5:B807,B807,$C$5:C807,C807,$E$5:E807,E807)=1,1,0))</f>
        <v/>
      </c>
      <c r="U807" s="28" t="str">
        <f aca="false">IF(COUNTA(B807:C807,E807:F807,H807:P807)=0,"",IF(OR(B807="",C807="",E807=""),"Check: date, player, and context required",IF(AND(ISNUMBER(J807),ISNUMBER(I807),J807&gt;I807),"Check: solid contacts &gt; swings",IF(AND(ISNUMBER(L807),ISNUMBER(K807),L807&gt;K807),"Check: correct &gt; assessed decisions",IF(AND(ISNUMBER(N807),ISNUMBER(M807),N807&gt;M807),"Check: intended &gt; assessed landings",IF(AND(ISNUMBER(J807),I807=""),"Check: solid contacts without swings","OK"))))))</f>
        <v/>
      </c>
    </row>
    <row r="808" customFormat="false" ht="15" hidden="false" customHeight="false" outlineLevel="0" collapsed="false">
      <c r="B808" s="26"/>
      <c r="C808" s="27"/>
      <c r="D808" s="28" t="str">
        <f aca="false">IF(C808="","",IFERROR(INDEX(Players!$C$5:$C$104,MATCH(C808,Players!$B$5:$B$104,0)),"ID not found"))</f>
        <v/>
      </c>
      <c r="E808" s="27"/>
      <c r="F808" s="27"/>
      <c r="G808" s="28" t="str">
        <f aca="false">IF(F808="","",IFERROR(INDEX('Hitting Drills'!$D$6:$D$45,MATCH(F808,'Hitting Drills'!$B$6:$B$45,0)),"Not a hitting drill ID"))</f>
        <v/>
      </c>
      <c r="H808" s="27"/>
      <c r="I808" s="27"/>
      <c r="J808" s="27"/>
      <c r="K808" s="27"/>
      <c r="L808" s="27"/>
      <c r="M808" s="27"/>
      <c r="N808" s="27"/>
      <c r="O808" s="27"/>
      <c r="P808" s="27"/>
      <c r="Q808" s="27"/>
      <c r="R808" s="27"/>
      <c r="S808" s="29" t="str">
        <f aca="false">IF(OR(B808="",C808=""),"",IF(COUNTIFS($B$5:B808,B808,$C$5:C808,C808)=1,1,0))</f>
        <v/>
      </c>
      <c r="T808" s="29" t="str">
        <f aca="false">IF(OR(B808="",C808="",E808=""),"",IF(COUNTIFS($B$5:B808,B808,$C$5:C808,C808,$E$5:E808,E808)=1,1,0))</f>
        <v/>
      </c>
      <c r="U808" s="28" t="str">
        <f aca="false">IF(COUNTA(B808:C808,E808:F808,H808:P808)=0,"",IF(OR(B808="",C808="",E808=""),"Check: date, player, and context required",IF(AND(ISNUMBER(J808),ISNUMBER(I808),J808&gt;I808),"Check: solid contacts &gt; swings",IF(AND(ISNUMBER(L808),ISNUMBER(K808),L808&gt;K808),"Check: correct &gt; assessed decisions",IF(AND(ISNUMBER(N808),ISNUMBER(M808),N808&gt;M808),"Check: intended &gt; assessed landings",IF(AND(ISNUMBER(J808),I808=""),"Check: solid contacts without swings","OK"))))))</f>
        <v/>
      </c>
    </row>
    <row r="809" customFormat="false" ht="15" hidden="false" customHeight="false" outlineLevel="0" collapsed="false">
      <c r="B809" s="26"/>
      <c r="C809" s="27"/>
      <c r="D809" s="28" t="str">
        <f aca="false">IF(C809="","",IFERROR(INDEX(Players!$C$5:$C$104,MATCH(C809,Players!$B$5:$B$104,0)),"ID not found"))</f>
        <v/>
      </c>
      <c r="E809" s="27"/>
      <c r="F809" s="27"/>
      <c r="G809" s="28" t="str">
        <f aca="false">IF(F809="","",IFERROR(INDEX('Hitting Drills'!$D$6:$D$45,MATCH(F809,'Hitting Drills'!$B$6:$B$45,0)),"Not a hitting drill ID"))</f>
        <v/>
      </c>
      <c r="H809" s="27"/>
      <c r="I809" s="27"/>
      <c r="J809" s="27"/>
      <c r="K809" s="27"/>
      <c r="L809" s="27"/>
      <c r="M809" s="27"/>
      <c r="N809" s="27"/>
      <c r="O809" s="27"/>
      <c r="P809" s="27"/>
      <c r="Q809" s="27"/>
      <c r="R809" s="27"/>
      <c r="S809" s="29" t="str">
        <f aca="false">IF(OR(B809="",C809=""),"",IF(COUNTIFS($B$5:B809,B809,$C$5:C809,C809)=1,1,0))</f>
        <v/>
      </c>
      <c r="T809" s="29" t="str">
        <f aca="false">IF(OR(B809="",C809="",E809=""),"",IF(COUNTIFS($B$5:B809,B809,$C$5:C809,C809,$E$5:E809,E809)=1,1,0))</f>
        <v/>
      </c>
      <c r="U809" s="28" t="str">
        <f aca="false">IF(COUNTA(B809:C809,E809:F809,H809:P809)=0,"",IF(OR(B809="",C809="",E809=""),"Check: date, player, and context required",IF(AND(ISNUMBER(J809),ISNUMBER(I809),J809&gt;I809),"Check: solid contacts &gt; swings",IF(AND(ISNUMBER(L809),ISNUMBER(K809),L809&gt;K809),"Check: correct &gt; assessed decisions",IF(AND(ISNUMBER(N809),ISNUMBER(M809),N809&gt;M809),"Check: intended &gt; assessed landings",IF(AND(ISNUMBER(J809),I809=""),"Check: solid contacts without swings","OK"))))))</f>
        <v/>
      </c>
    </row>
    <row r="810" customFormat="false" ht="15" hidden="false" customHeight="false" outlineLevel="0" collapsed="false">
      <c r="B810" s="26"/>
      <c r="C810" s="27"/>
      <c r="D810" s="28" t="str">
        <f aca="false">IF(C810="","",IFERROR(INDEX(Players!$C$5:$C$104,MATCH(C810,Players!$B$5:$B$104,0)),"ID not found"))</f>
        <v/>
      </c>
      <c r="E810" s="27"/>
      <c r="F810" s="27"/>
      <c r="G810" s="28" t="str">
        <f aca="false">IF(F810="","",IFERROR(INDEX('Hitting Drills'!$D$6:$D$45,MATCH(F810,'Hitting Drills'!$B$6:$B$45,0)),"Not a hitting drill ID"))</f>
        <v/>
      </c>
      <c r="H810" s="27"/>
      <c r="I810" s="27"/>
      <c r="J810" s="27"/>
      <c r="K810" s="27"/>
      <c r="L810" s="27"/>
      <c r="M810" s="27"/>
      <c r="N810" s="27"/>
      <c r="O810" s="27"/>
      <c r="P810" s="27"/>
      <c r="Q810" s="27"/>
      <c r="R810" s="27"/>
      <c r="S810" s="29" t="str">
        <f aca="false">IF(OR(B810="",C810=""),"",IF(COUNTIFS($B$5:B810,B810,$C$5:C810,C810)=1,1,0))</f>
        <v/>
      </c>
      <c r="T810" s="29" t="str">
        <f aca="false">IF(OR(B810="",C810="",E810=""),"",IF(COUNTIFS($B$5:B810,B810,$C$5:C810,C810,$E$5:E810,E810)=1,1,0))</f>
        <v/>
      </c>
      <c r="U810" s="28" t="str">
        <f aca="false">IF(COUNTA(B810:C810,E810:F810,H810:P810)=0,"",IF(OR(B810="",C810="",E810=""),"Check: date, player, and context required",IF(AND(ISNUMBER(J810),ISNUMBER(I810),J810&gt;I810),"Check: solid contacts &gt; swings",IF(AND(ISNUMBER(L810),ISNUMBER(K810),L810&gt;K810),"Check: correct &gt; assessed decisions",IF(AND(ISNUMBER(N810),ISNUMBER(M810),N810&gt;M810),"Check: intended &gt; assessed landings",IF(AND(ISNUMBER(J810),I810=""),"Check: solid contacts without swings","OK"))))))</f>
        <v/>
      </c>
    </row>
    <row r="811" customFormat="false" ht="15" hidden="false" customHeight="false" outlineLevel="0" collapsed="false">
      <c r="B811" s="26"/>
      <c r="C811" s="27"/>
      <c r="D811" s="28" t="str">
        <f aca="false">IF(C811="","",IFERROR(INDEX(Players!$C$5:$C$104,MATCH(C811,Players!$B$5:$B$104,0)),"ID not found"))</f>
        <v/>
      </c>
      <c r="E811" s="27"/>
      <c r="F811" s="27"/>
      <c r="G811" s="28" t="str">
        <f aca="false">IF(F811="","",IFERROR(INDEX('Hitting Drills'!$D$6:$D$45,MATCH(F811,'Hitting Drills'!$B$6:$B$45,0)),"Not a hitting drill ID"))</f>
        <v/>
      </c>
      <c r="H811" s="27"/>
      <c r="I811" s="27"/>
      <c r="J811" s="27"/>
      <c r="K811" s="27"/>
      <c r="L811" s="27"/>
      <c r="M811" s="27"/>
      <c r="N811" s="27"/>
      <c r="O811" s="27"/>
      <c r="P811" s="27"/>
      <c r="Q811" s="27"/>
      <c r="R811" s="27"/>
      <c r="S811" s="29" t="str">
        <f aca="false">IF(OR(B811="",C811=""),"",IF(COUNTIFS($B$5:B811,B811,$C$5:C811,C811)=1,1,0))</f>
        <v/>
      </c>
      <c r="T811" s="29" t="str">
        <f aca="false">IF(OR(B811="",C811="",E811=""),"",IF(COUNTIFS($B$5:B811,B811,$C$5:C811,C811,$E$5:E811,E811)=1,1,0))</f>
        <v/>
      </c>
      <c r="U811" s="28" t="str">
        <f aca="false">IF(COUNTA(B811:C811,E811:F811,H811:P811)=0,"",IF(OR(B811="",C811="",E811=""),"Check: date, player, and context required",IF(AND(ISNUMBER(J811),ISNUMBER(I811),J811&gt;I811),"Check: solid contacts &gt; swings",IF(AND(ISNUMBER(L811),ISNUMBER(K811),L811&gt;K811),"Check: correct &gt; assessed decisions",IF(AND(ISNUMBER(N811),ISNUMBER(M811),N811&gt;M811),"Check: intended &gt; assessed landings",IF(AND(ISNUMBER(J811),I811=""),"Check: solid contacts without swings","OK"))))))</f>
        <v/>
      </c>
    </row>
    <row r="812" customFormat="false" ht="15" hidden="false" customHeight="false" outlineLevel="0" collapsed="false">
      <c r="B812" s="26"/>
      <c r="C812" s="27"/>
      <c r="D812" s="28" t="str">
        <f aca="false">IF(C812="","",IFERROR(INDEX(Players!$C$5:$C$104,MATCH(C812,Players!$B$5:$B$104,0)),"ID not found"))</f>
        <v/>
      </c>
      <c r="E812" s="27"/>
      <c r="F812" s="27"/>
      <c r="G812" s="28" t="str">
        <f aca="false">IF(F812="","",IFERROR(INDEX('Hitting Drills'!$D$6:$D$45,MATCH(F812,'Hitting Drills'!$B$6:$B$45,0)),"Not a hitting drill ID"))</f>
        <v/>
      </c>
      <c r="H812" s="27"/>
      <c r="I812" s="27"/>
      <c r="J812" s="27"/>
      <c r="K812" s="27"/>
      <c r="L812" s="27"/>
      <c r="M812" s="27"/>
      <c r="N812" s="27"/>
      <c r="O812" s="27"/>
      <c r="P812" s="27"/>
      <c r="Q812" s="27"/>
      <c r="R812" s="27"/>
      <c r="S812" s="29" t="str">
        <f aca="false">IF(OR(B812="",C812=""),"",IF(COUNTIFS($B$5:B812,B812,$C$5:C812,C812)=1,1,0))</f>
        <v/>
      </c>
      <c r="T812" s="29" t="str">
        <f aca="false">IF(OR(B812="",C812="",E812=""),"",IF(COUNTIFS($B$5:B812,B812,$C$5:C812,C812,$E$5:E812,E812)=1,1,0))</f>
        <v/>
      </c>
      <c r="U812" s="28" t="str">
        <f aca="false">IF(COUNTA(B812:C812,E812:F812,H812:P812)=0,"",IF(OR(B812="",C812="",E812=""),"Check: date, player, and context required",IF(AND(ISNUMBER(J812),ISNUMBER(I812),J812&gt;I812),"Check: solid contacts &gt; swings",IF(AND(ISNUMBER(L812),ISNUMBER(K812),L812&gt;K812),"Check: correct &gt; assessed decisions",IF(AND(ISNUMBER(N812),ISNUMBER(M812),N812&gt;M812),"Check: intended &gt; assessed landings",IF(AND(ISNUMBER(J812),I812=""),"Check: solid contacts without swings","OK"))))))</f>
        <v/>
      </c>
    </row>
    <row r="813" customFormat="false" ht="15" hidden="false" customHeight="false" outlineLevel="0" collapsed="false">
      <c r="B813" s="26"/>
      <c r="C813" s="27"/>
      <c r="D813" s="28" t="str">
        <f aca="false">IF(C813="","",IFERROR(INDEX(Players!$C$5:$C$104,MATCH(C813,Players!$B$5:$B$104,0)),"ID not found"))</f>
        <v/>
      </c>
      <c r="E813" s="27"/>
      <c r="F813" s="27"/>
      <c r="G813" s="28" t="str">
        <f aca="false">IF(F813="","",IFERROR(INDEX('Hitting Drills'!$D$6:$D$45,MATCH(F813,'Hitting Drills'!$B$6:$B$45,0)),"Not a hitting drill ID"))</f>
        <v/>
      </c>
      <c r="H813" s="27"/>
      <c r="I813" s="27"/>
      <c r="J813" s="27"/>
      <c r="K813" s="27"/>
      <c r="L813" s="27"/>
      <c r="M813" s="27"/>
      <c r="N813" s="27"/>
      <c r="O813" s="27"/>
      <c r="P813" s="27"/>
      <c r="Q813" s="27"/>
      <c r="R813" s="27"/>
      <c r="S813" s="29" t="str">
        <f aca="false">IF(OR(B813="",C813=""),"",IF(COUNTIFS($B$5:B813,B813,$C$5:C813,C813)=1,1,0))</f>
        <v/>
      </c>
      <c r="T813" s="29" t="str">
        <f aca="false">IF(OR(B813="",C813="",E813=""),"",IF(COUNTIFS($B$5:B813,B813,$C$5:C813,C813,$E$5:E813,E813)=1,1,0))</f>
        <v/>
      </c>
      <c r="U813" s="28" t="str">
        <f aca="false">IF(COUNTA(B813:C813,E813:F813,H813:P813)=0,"",IF(OR(B813="",C813="",E813=""),"Check: date, player, and context required",IF(AND(ISNUMBER(J813),ISNUMBER(I813),J813&gt;I813),"Check: solid contacts &gt; swings",IF(AND(ISNUMBER(L813),ISNUMBER(K813),L813&gt;K813),"Check: correct &gt; assessed decisions",IF(AND(ISNUMBER(N813),ISNUMBER(M813),N813&gt;M813),"Check: intended &gt; assessed landings",IF(AND(ISNUMBER(J813),I813=""),"Check: solid contacts without swings","OK"))))))</f>
        <v/>
      </c>
    </row>
    <row r="814" customFormat="false" ht="15" hidden="false" customHeight="false" outlineLevel="0" collapsed="false">
      <c r="B814" s="26"/>
      <c r="C814" s="27"/>
      <c r="D814" s="28" t="str">
        <f aca="false">IF(C814="","",IFERROR(INDEX(Players!$C$5:$C$104,MATCH(C814,Players!$B$5:$B$104,0)),"ID not found"))</f>
        <v/>
      </c>
      <c r="E814" s="27"/>
      <c r="F814" s="27"/>
      <c r="G814" s="28" t="str">
        <f aca="false">IF(F814="","",IFERROR(INDEX('Hitting Drills'!$D$6:$D$45,MATCH(F814,'Hitting Drills'!$B$6:$B$45,0)),"Not a hitting drill ID"))</f>
        <v/>
      </c>
      <c r="H814" s="27"/>
      <c r="I814" s="27"/>
      <c r="J814" s="27"/>
      <c r="K814" s="27"/>
      <c r="L814" s="27"/>
      <c r="M814" s="27"/>
      <c r="N814" s="27"/>
      <c r="O814" s="27"/>
      <c r="P814" s="27"/>
      <c r="Q814" s="27"/>
      <c r="R814" s="27"/>
      <c r="S814" s="29" t="str">
        <f aca="false">IF(OR(B814="",C814=""),"",IF(COUNTIFS($B$5:B814,B814,$C$5:C814,C814)=1,1,0))</f>
        <v/>
      </c>
      <c r="T814" s="29" t="str">
        <f aca="false">IF(OR(B814="",C814="",E814=""),"",IF(COUNTIFS($B$5:B814,B814,$C$5:C814,C814,$E$5:E814,E814)=1,1,0))</f>
        <v/>
      </c>
      <c r="U814" s="28" t="str">
        <f aca="false">IF(COUNTA(B814:C814,E814:F814,H814:P814)=0,"",IF(OR(B814="",C814="",E814=""),"Check: date, player, and context required",IF(AND(ISNUMBER(J814),ISNUMBER(I814),J814&gt;I814),"Check: solid contacts &gt; swings",IF(AND(ISNUMBER(L814),ISNUMBER(K814),L814&gt;K814),"Check: correct &gt; assessed decisions",IF(AND(ISNUMBER(N814),ISNUMBER(M814),N814&gt;M814),"Check: intended &gt; assessed landings",IF(AND(ISNUMBER(J814),I814=""),"Check: solid contacts without swings","OK"))))))</f>
        <v/>
      </c>
    </row>
    <row r="815" customFormat="false" ht="15" hidden="false" customHeight="false" outlineLevel="0" collapsed="false">
      <c r="B815" s="26"/>
      <c r="C815" s="27"/>
      <c r="D815" s="28" t="str">
        <f aca="false">IF(C815="","",IFERROR(INDEX(Players!$C$5:$C$104,MATCH(C815,Players!$B$5:$B$104,0)),"ID not found"))</f>
        <v/>
      </c>
      <c r="E815" s="27"/>
      <c r="F815" s="27"/>
      <c r="G815" s="28" t="str">
        <f aca="false">IF(F815="","",IFERROR(INDEX('Hitting Drills'!$D$6:$D$45,MATCH(F815,'Hitting Drills'!$B$6:$B$45,0)),"Not a hitting drill ID"))</f>
        <v/>
      </c>
      <c r="H815" s="27"/>
      <c r="I815" s="27"/>
      <c r="J815" s="27"/>
      <c r="K815" s="27"/>
      <c r="L815" s="27"/>
      <c r="M815" s="27"/>
      <c r="N815" s="27"/>
      <c r="O815" s="27"/>
      <c r="P815" s="27"/>
      <c r="Q815" s="27"/>
      <c r="R815" s="27"/>
      <c r="S815" s="29" t="str">
        <f aca="false">IF(OR(B815="",C815=""),"",IF(COUNTIFS($B$5:B815,B815,$C$5:C815,C815)=1,1,0))</f>
        <v/>
      </c>
      <c r="T815" s="29" t="str">
        <f aca="false">IF(OR(B815="",C815="",E815=""),"",IF(COUNTIFS($B$5:B815,B815,$C$5:C815,C815,$E$5:E815,E815)=1,1,0))</f>
        <v/>
      </c>
      <c r="U815" s="28" t="str">
        <f aca="false">IF(COUNTA(B815:C815,E815:F815,H815:P815)=0,"",IF(OR(B815="",C815="",E815=""),"Check: date, player, and context required",IF(AND(ISNUMBER(J815),ISNUMBER(I815),J815&gt;I815),"Check: solid contacts &gt; swings",IF(AND(ISNUMBER(L815),ISNUMBER(K815),L815&gt;K815),"Check: correct &gt; assessed decisions",IF(AND(ISNUMBER(N815),ISNUMBER(M815),N815&gt;M815),"Check: intended &gt; assessed landings",IF(AND(ISNUMBER(J815),I815=""),"Check: solid contacts without swings","OK"))))))</f>
        <v/>
      </c>
    </row>
    <row r="816" customFormat="false" ht="15" hidden="false" customHeight="false" outlineLevel="0" collapsed="false">
      <c r="B816" s="26"/>
      <c r="C816" s="27"/>
      <c r="D816" s="28" t="str">
        <f aca="false">IF(C816="","",IFERROR(INDEX(Players!$C$5:$C$104,MATCH(C816,Players!$B$5:$B$104,0)),"ID not found"))</f>
        <v/>
      </c>
      <c r="E816" s="27"/>
      <c r="F816" s="27"/>
      <c r="G816" s="28" t="str">
        <f aca="false">IF(F816="","",IFERROR(INDEX('Hitting Drills'!$D$6:$D$45,MATCH(F816,'Hitting Drills'!$B$6:$B$45,0)),"Not a hitting drill ID"))</f>
        <v/>
      </c>
      <c r="H816" s="27"/>
      <c r="I816" s="27"/>
      <c r="J816" s="27"/>
      <c r="K816" s="27"/>
      <c r="L816" s="27"/>
      <c r="M816" s="27"/>
      <c r="N816" s="27"/>
      <c r="O816" s="27"/>
      <c r="P816" s="27"/>
      <c r="Q816" s="27"/>
      <c r="R816" s="27"/>
      <c r="S816" s="29" t="str">
        <f aca="false">IF(OR(B816="",C816=""),"",IF(COUNTIFS($B$5:B816,B816,$C$5:C816,C816)=1,1,0))</f>
        <v/>
      </c>
      <c r="T816" s="29" t="str">
        <f aca="false">IF(OR(B816="",C816="",E816=""),"",IF(COUNTIFS($B$5:B816,B816,$C$5:C816,C816,$E$5:E816,E816)=1,1,0))</f>
        <v/>
      </c>
      <c r="U816" s="28" t="str">
        <f aca="false">IF(COUNTA(B816:C816,E816:F816,H816:P816)=0,"",IF(OR(B816="",C816="",E816=""),"Check: date, player, and context required",IF(AND(ISNUMBER(J816),ISNUMBER(I816),J816&gt;I816),"Check: solid contacts &gt; swings",IF(AND(ISNUMBER(L816),ISNUMBER(K816),L816&gt;K816),"Check: correct &gt; assessed decisions",IF(AND(ISNUMBER(N816),ISNUMBER(M816),N816&gt;M816),"Check: intended &gt; assessed landings",IF(AND(ISNUMBER(J816),I816=""),"Check: solid contacts without swings","OK"))))))</f>
        <v/>
      </c>
    </row>
    <row r="817" customFormat="false" ht="15" hidden="false" customHeight="false" outlineLevel="0" collapsed="false">
      <c r="B817" s="26"/>
      <c r="C817" s="27"/>
      <c r="D817" s="28" t="str">
        <f aca="false">IF(C817="","",IFERROR(INDEX(Players!$C$5:$C$104,MATCH(C817,Players!$B$5:$B$104,0)),"ID not found"))</f>
        <v/>
      </c>
      <c r="E817" s="27"/>
      <c r="F817" s="27"/>
      <c r="G817" s="28" t="str">
        <f aca="false">IF(F817="","",IFERROR(INDEX('Hitting Drills'!$D$6:$D$45,MATCH(F817,'Hitting Drills'!$B$6:$B$45,0)),"Not a hitting drill ID"))</f>
        <v/>
      </c>
      <c r="H817" s="27"/>
      <c r="I817" s="27"/>
      <c r="J817" s="27"/>
      <c r="K817" s="27"/>
      <c r="L817" s="27"/>
      <c r="M817" s="27"/>
      <c r="N817" s="27"/>
      <c r="O817" s="27"/>
      <c r="P817" s="27"/>
      <c r="Q817" s="27"/>
      <c r="R817" s="27"/>
      <c r="S817" s="29" t="str">
        <f aca="false">IF(OR(B817="",C817=""),"",IF(COUNTIFS($B$5:B817,B817,$C$5:C817,C817)=1,1,0))</f>
        <v/>
      </c>
      <c r="T817" s="29" t="str">
        <f aca="false">IF(OR(B817="",C817="",E817=""),"",IF(COUNTIFS($B$5:B817,B817,$C$5:C817,C817,$E$5:E817,E817)=1,1,0))</f>
        <v/>
      </c>
      <c r="U817" s="28" t="str">
        <f aca="false">IF(COUNTA(B817:C817,E817:F817,H817:P817)=0,"",IF(OR(B817="",C817="",E817=""),"Check: date, player, and context required",IF(AND(ISNUMBER(J817),ISNUMBER(I817),J817&gt;I817),"Check: solid contacts &gt; swings",IF(AND(ISNUMBER(L817),ISNUMBER(K817),L817&gt;K817),"Check: correct &gt; assessed decisions",IF(AND(ISNUMBER(N817),ISNUMBER(M817),N817&gt;M817),"Check: intended &gt; assessed landings",IF(AND(ISNUMBER(J817),I817=""),"Check: solid contacts without swings","OK"))))))</f>
        <v/>
      </c>
    </row>
    <row r="818" customFormat="false" ht="15" hidden="false" customHeight="false" outlineLevel="0" collapsed="false">
      <c r="B818" s="26"/>
      <c r="C818" s="27"/>
      <c r="D818" s="28" t="str">
        <f aca="false">IF(C818="","",IFERROR(INDEX(Players!$C$5:$C$104,MATCH(C818,Players!$B$5:$B$104,0)),"ID not found"))</f>
        <v/>
      </c>
      <c r="E818" s="27"/>
      <c r="F818" s="27"/>
      <c r="G818" s="28" t="str">
        <f aca="false">IF(F818="","",IFERROR(INDEX('Hitting Drills'!$D$6:$D$45,MATCH(F818,'Hitting Drills'!$B$6:$B$45,0)),"Not a hitting drill ID"))</f>
        <v/>
      </c>
      <c r="H818" s="27"/>
      <c r="I818" s="27"/>
      <c r="J818" s="27"/>
      <c r="K818" s="27"/>
      <c r="L818" s="27"/>
      <c r="M818" s="27"/>
      <c r="N818" s="27"/>
      <c r="O818" s="27"/>
      <c r="P818" s="27"/>
      <c r="Q818" s="27"/>
      <c r="R818" s="27"/>
      <c r="S818" s="29" t="str">
        <f aca="false">IF(OR(B818="",C818=""),"",IF(COUNTIFS($B$5:B818,B818,$C$5:C818,C818)=1,1,0))</f>
        <v/>
      </c>
      <c r="T818" s="29" t="str">
        <f aca="false">IF(OR(B818="",C818="",E818=""),"",IF(COUNTIFS($B$5:B818,B818,$C$5:C818,C818,$E$5:E818,E818)=1,1,0))</f>
        <v/>
      </c>
      <c r="U818" s="28" t="str">
        <f aca="false">IF(COUNTA(B818:C818,E818:F818,H818:P818)=0,"",IF(OR(B818="",C818="",E818=""),"Check: date, player, and context required",IF(AND(ISNUMBER(J818),ISNUMBER(I818),J818&gt;I818),"Check: solid contacts &gt; swings",IF(AND(ISNUMBER(L818),ISNUMBER(K818),L818&gt;K818),"Check: correct &gt; assessed decisions",IF(AND(ISNUMBER(N818),ISNUMBER(M818),N818&gt;M818),"Check: intended &gt; assessed landings",IF(AND(ISNUMBER(J818),I818=""),"Check: solid contacts without swings","OK"))))))</f>
        <v/>
      </c>
    </row>
    <row r="819" customFormat="false" ht="15" hidden="false" customHeight="false" outlineLevel="0" collapsed="false">
      <c r="B819" s="26"/>
      <c r="C819" s="27"/>
      <c r="D819" s="28" t="str">
        <f aca="false">IF(C819="","",IFERROR(INDEX(Players!$C$5:$C$104,MATCH(C819,Players!$B$5:$B$104,0)),"ID not found"))</f>
        <v/>
      </c>
      <c r="E819" s="27"/>
      <c r="F819" s="27"/>
      <c r="G819" s="28" t="str">
        <f aca="false">IF(F819="","",IFERROR(INDEX('Hitting Drills'!$D$6:$D$45,MATCH(F819,'Hitting Drills'!$B$6:$B$45,0)),"Not a hitting drill ID"))</f>
        <v/>
      </c>
      <c r="H819" s="27"/>
      <c r="I819" s="27"/>
      <c r="J819" s="27"/>
      <c r="K819" s="27"/>
      <c r="L819" s="27"/>
      <c r="M819" s="27"/>
      <c r="N819" s="27"/>
      <c r="O819" s="27"/>
      <c r="P819" s="27"/>
      <c r="Q819" s="27"/>
      <c r="R819" s="27"/>
      <c r="S819" s="29" t="str">
        <f aca="false">IF(OR(B819="",C819=""),"",IF(COUNTIFS($B$5:B819,B819,$C$5:C819,C819)=1,1,0))</f>
        <v/>
      </c>
      <c r="T819" s="29" t="str">
        <f aca="false">IF(OR(B819="",C819="",E819=""),"",IF(COUNTIFS($B$5:B819,B819,$C$5:C819,C819,$E$5:E819,E819)=1,1,0))</f>
        <v/>
      </c>
      <c r="U819" s="28" t="str">
        <f aca="false">IF(COUNTA(B819:C819,E819:F819,H819:P819)=0,"",IF(OR(B819="",C819="",E819=""),"Check: date, player, and context required",IF(AND(ISNUMBER(J819),ISNUMBER(I819),J819&gt;I819),"Check: solid contacts &gt; swings",IF(AND(ISNUMBER(L819),ISNUMBER(K819),L819&gt;K819),"Check: correct &gt; assessed decisions",IF(AND(ISNUMBER(N819),ISNUMBER(M819),N819&gt;M819),"Check: intended &gt; assessed landings",IF(AND(ISNUMBER(J819),I819=""),"Check: solid contacts without swings","OK"))))))</f>
        <v/>
      </c>
    </row>
    <row r="820" customFormat="false" ht="15" hidden="false" customHeight="false" outlineLevel="0" collapsed="false">
      <c r="B820" s="26"/>
      <c r="C820" s="27"/>
      <c r="D820" s="28" t="str">
        <f aca="false">IF(C820="","",IFERROR(INDEX(Players!$C$5:$C$104,MATCH(C820,Players!$B$5:$B$104,0)),"ID not found"))</f>
        <v/>
      </c>
      <c r="E820" s="27"/>
      <c r="F820" s="27"/>
      <c r="G820" s="28" t="str">
        <f aca="false">IF(F820="","",IFERROR(INDEX('Hitting Drills'!$D$6:$D$45,MATCH(F820,'Hitting Drills'!$B$6:$B$45,0)),"Not a hitting drill ID"))</f>
        <v/>
      </c>
      <c r="H820" s="27"/>
      <c r="I820" s="27"/>
      <c r="J820" s="27"/>
      <c r="K820" s="27"/>
      <c r="L820" s="27"/>
      <c r="M820" s="27"/>
      <c r="N820" s="27"/>
      <c r="O820" s="27"/>
      <c r="P820" s="27"/>
      <c r="Q820" s="27"/>
      <c r="R820" s="27"/>
      <c r="S820" s="29" t="str">
        <f aca="false">IF(OR(B820="",C820=""),"",IF(COUNTIFS($B$5:B820,B820,$C$5:C820,C820)=1,1,0))</f>
        <v/>
      </c>
      <c r="T820" s="29" t="str">
        <f aca="false">IF(OR(B820="",C820="",E820=""),"",IF(COUNTIFS($B$5:B820,B820,$C$5:C820,C820,$E$5:E820,E820)=1,1,0))</f>
        <v/>
      </c>
      <c r="U820" s="28" t="str">
        <f aca="false">IF(COUNTA(B820:C820,E820:F820,H820:P820)=0,"",IF(OR(B820="",C820="",E820=""),"Check: date, player, and context required",IF(AND(ISNUMBER(J820),ISNUMBER(I820),J820&gt;I820),"Check: solid contacts &gt; swings",IF(AND(ISNUMBER(L820),ISNUMBER(K820),L820&gt;K820),"Check: correct &gt; assessed decisions",IF(AND(ISNUMBER(N820),ISNUMBER(M820),N820&gt;M820),"Check: intended &gt; assessed landings",IF(AND(ISNUMBER(J820),I820=""),"Check: solid contacts without swings","OK"))))))</f>
        <v/>
      </c>
    </row>
    <row r="821" customFormat="false" ht="15" hidden="false" customHeight="false" outlineLevel="0" collapsed="false">
      <c r="B821" s="26"/>
      <c r="C821" s="27"/>
      <c r="D821" s="28" t="str">
        <f aca="false">IF(C821="","",IFERROR(INDEX(Players!$C$5:$C$104,MATCH(C821,Players!$B$5:$B$104,0)),"ID not found"))</f>
        <v/>
      </c>
      <c r="E821" s="27"/>
      <c r="F821" s="27"/>
      <c r="G821" s="28" t="str">
        <f aca="false">IF(F821="","",IFERROR(INDEX('Hitting Drills'!$D$6:$D$45,MATCH(F821,'Hitting Drills'!$B$6:$B$45,0)),"Not a hitting drill ID"))</f>
        <v/>
      </c>
      <c r="H821" s="27"/>
      <c r="I821" s="27"/>
      <c r="J821" s="27"/>
      <c r="K821" s="27"/>
      <c r="L821" s="27"/>
      <c r="M821" s="27"/>
      <c r="N821" s="27"/>
      <c r="O821" s="27"/>
      <c r="P821" s="27"/>
      <c r="Q821" s="27"/>
      <c r="R821" s="27"/>
      <c r="S821" s="29" t="str">
        <f aca="false">IF(OR(B821="",C821=""),"",IF(COUNTIFS($B$5:B821,B821,$C$5:C821,C821)=1,1,0))</f>
        <v/>
      </c>
      <c r="T821" s="29" t="str">
        <f aca="false">IF(OR(B821="",C821="",E821=""),"",IF(COUNTIFS($B$5:B821,B821,$C$5:C821,C821,$E$5:E821,E821)=1,1,0))</f>
        <v/>
      </c>
      <c r="U821" s="28" t="str">
        <f aca="false">IF(COUNTA(B821:C821,E821:F821,H821:P821)=0,"",IF(OR(B821="",C821="",E821=""),"Check: date, player, and context required",IF(AND(ISNUMBER(J821),ISNUMBER(I821),J821&gt;I821),"Check: solid contacts &gt; swings",IF(AND(ISNUMBER(L821),ISNUMBER(K821),L821&gt;K821),"Check: correct &gt; assessed decisions",IF(AND(ISNUMBER(N821),ISNUMBER(M821),N821&gt;M821),"Check: intended &gt; assessed landings",IF(AND(ISNUMBER(J821),I821=""),"Check: solid contacts without swings","OK"))))))</f>
        <v/>
      </c>
    </row>
    <row r="822" customFormat="false" ht="15" hidden="false" customHeight="false" outlineLevel="0" collapsed="false">
      <c r="B822" s="26"/>
      <c r="C822" s="27"/>
      <c r="D822" s="28" t="str">
        <f aca="false">IF(C822="","",IFERROR(INDEX(Players!$C$5:$C$104,MATCH(C822,Players!$B$5:$B$104,0)),"ID not found"))</f>
        <v/>
      </c>
      <c r="E822" s="27"/>
      <c r="F822" s="27"/>
      <c r="G822" s="28" t="str">
        <f aca="false">IF(F822="","",IFERROR(INDEX('Hitting Drills'!$D$6:$D$45,MATCH(F822,'Hitting Drills'!$B$6:$B$45,0)),"Not a hitting drill ID"))</f>
        <v/>
      </c>
      <c r="H822" s="27"/>
      <c r="I822" s="27"/>
      <c r="J822" s="27"/>
      <c r="K822" s="27"/>
      <c r="L822" s="27"/>
      <c r="M822" s="27"/>
      <c r="N822" s="27"/>
      <c r="O822" s="27"/>
      <c r="P822" s="27"/>
      <c r="Q822" s="27"/>
      <c r="R822" s="27"/>
      <c r="S822" s="29" t="str">
        <f aca="false">IF(OR(B822="",C822=""),"",IF(COUNTIFS($B$5:B822,B822,$C$5:C822,C822)=1,1,0))</f>
        <v/>
      </c>
      <c r="T822" s="29" t="str">
        <f aca="false">IF(OR(B822="",C822="",E822=""),"",IF(COUNTIFS($B$5:B822,B822,$C$5:C822,C822,$E$5:E822,E822)=1,1,0))</f>
        <v/>
      </c>
      <c r="U822" s="28" t="str">
        <f aca="false">IF(COUNTA(B822:C822,E822:F822,H822:P822)=0,"",IF(OR(B822="",C822="",E822=""),"Check: date, player, and context required",IF(AND(ISNUMBER(J822),ISNUMBER(I822),J822&gt;I822),"Check: solid contacts &gt; swings",IF(AND(ISNUMBER(L822),ISNUMBER(K822),L822&gt;K822),"Check: correct &gt; assessed decisions",IF(AND(ISNUMBER(N822),ISNUMBER(M822),N822&gt;M822),"Check: intended &gt; assessed landings",IF(AND(ISNUMBER(J822),I822=""),"Check: solid contacts without swings","OK"))))))</f>
        <v/>
      </c>
    </row>
    <row r="823" customFormat="false" ht="15" hidden="false" customHeight="false" outlineLevel="0" collapsed="false">
      <c r="B823" s="26"/>
      <c r="C823" s="27"/>
      <c r="D823" s="28" t="str">
        <f aca="false">IF(C823="","",IFERROR(INDEX(Players!$C$5:$C$104,MATCH(C823,Players!$B$5:$B$104,0)),"ID not found"))</f>
        <v/>
      </c>
      <c r="E823" s="27"/>
      <c r="F823" s="27"/>
      <c r="G823" s="28" t="str">
        <f aca="false">IF(F823="","",IFERROR(INDEX('Hitting Drills'!$D$6:$D$45,MATCH(F823,'Hitting Drills'!$B$6:$B$45,0)),"Not a hitting drill ID"))</f>
        <v/>
      </c>
      <c r="H823" s="27"/>
      <c r="I823" s="27"/>
      <c r="J823" s="27"/>
      <c r="K823" s="27"/>
      <c r="L823" s="27"/>
      <c r="M823" s="27"/>
      <c r="N823" s="27"/>
      <c r="O823" s="27"/>
      <c r="P823" s="27"/>
      <c r="Q823" s="27"/>
      <c r="R823" s="27"/>
      <c r="S823" s="29" t="str">
        <f aca="false">IF(OR(B823="",C823=""),"",IF(COUNTIFS($B$5:B823,B823,$C$5:C823,C823)=1,1,0))</f>
        <v/>
      </c>
      <c r="T823" s="29" t="str">
        <f aca="false">IF(OR(B823="",C823="",E823=""),"",IF(COUNTIFS($B$5:B823,B823,$C$5:C823,C823,$E$5:E823,E823)=1,1,0))</f>
        <v/>
      </c>
      <c r="U823" s="28" t="str">
        <f aca="false">IF(COUNTA(B823:C823,E823:F823,H823:P823)=0,"",IF(OR(B823="",C823="",E823=""),"Check: date, player, and context required",IF(AND(ISNUMBER(J823),ISNUMBER(I823),J823&gt;I823),"Check: solid contacts &gt; swings",IF(AND(ISNUMBER(L823),ISNUMBER(K823),L823&gt;K823),"Check: correct &gt; assessed decisions",IF(AND(ISNUMBER(N823),ISNUMBER(M823),N823&gt;M823),"Check: intended &gt; assessed landings",IF(AND(ISNUMBER(J823),I823=""),"Check: solid contacts without swings","OK"))))))</f>
        <v/>
      </c>
    </row>
    <row r="824" customFormat="false" ht="15" hidden="false" customHeight="false" outlineLevel="0" collapsed="false">
      <c r="B824" s="26"/>
      <c r="C824" s="27"/>
      <c r="D824" s="28" t="str">
        <f aca="false">IF(C824="","",IFERROR(INDEX(Players!$C$5:$C$104,MATCH(C824,Players!$B$5:$B$104,0)),"ID not found"))</f>
        <v/>
      </c>
      <c r="E824" s="27"/>
      <c r="F824" s="27"/>
      <c r="G824" s="28" t="str">
        <f aca="false">IF(F824="","",IFERROR(INDEX('Hitting Drills'!$D$6:$D$45,MATCH(F824,'Hitting Drills'!$B$6:$B$45,0)),"Not a hitting drill ID"))</f>
        <v/>
      </c>
      <c r="H824" s="27"/>
      <c r="I824" s="27"/>
      <c r="J824" s="27"/>
      <c r="K824" s="27"/>
      <c r="L824" s="27"/>
      <c r="M824" s="27"/>
      <c r="N824" s="27"/>
      <c r="O824" s="27"/>
      <c r="P824" s="27"/>
      <c r="Q824" s="27"/>
      <c r="R824" s="27"/>
      <c r="S824" s="29" t="str">
        <f aca="false">IF(OR(B824="",C824=""),"",IF(COUNTIFS($B$5:B824,B824,$C$5:C824,C824)=1,1,0))</f>
        <v/>
      </c>
      <c r="T824" s="29" t="str">
        <f aca="false">IF(OR(B824="",C824="",E824=""),"",IF(COUNTIFS($B$5:B824,B824,$C$5:C824,C824,$E$5:E824,E824)=1,1,0))</f>
        <v/>
      </c>
      <c r="U824" s="28" t="str">
        <f aca="false">IF(COUNTA(B824:C824,E824:F824,H824:P824)=0,"",IF(OR(B824="",C824="",E824=""),"Check: date, player, and context required",IF(AND(ISNUMBER(J824),ISNUMBER(I824),J824&gt;I824),"Check: solid contacts &gt; swings",IF(AND(ISNUMBER(L824),ISNUMBER(K824),L824&gt;K824),"Check: correct &gt; assessed decisions",IF(AND(ISNUMBER(N824),ISNUMBER(M824),N824&gt;M824),"Check: intended &gt; assessed landings",IF(AND(ISNUMBER(J824),I824=""),"Check: solid contacts without swings","OK"))))))</f>
        <v/>
      </c>
    </row>
    <row r="825" customFormat="false" ht="15" hidden="false" customHeight="false" outlineLevel="0" collapsed="false">
      <c r="B825" s="26"/>
      <c r="C825" s="27"/>
      <c r="D825" s="28" t="str">
        <f aca="false">IF(C825="","",IFERROR(INDEX(Players!$C$5:$C$104,MATCH(C825,Players!$B$5:$B$104,0)),"ID not found"))</f>
        <v/>
      </c>
      <c r="E825" s="27"/>
      <c r="F825" s="27"/>
      <c r="G825" s="28" t="str">
        <f aca="false">IF(F825="","",IFERROR(INDEX('Hitting Drills'!$D$6:$D$45,MATCH(F825,'Hitting Drills'!$B$6:$B$45,0)),"Not a hitting drill ID"))</f>
        <v/>
      </c>
      <c r="H825" s="27"/>
      <c r="I825" s="27"/>
      <c r="J825" s="27"/>
      <c r="K825" s="27"/>
      <c r="L825" s="27"/>
      <c r="M825" s="27"/>
      <c r="N825" s="27"/>
      <c r="O825" s="27"/>
      <c r="P825" s="27"/>
      <c r="Q825" s="27"/>
      <c r="R825" s="27"/>
      <c r="S825" s="29" t="str">
        <f aca="false">IF(OR(B825="",C825=""),"",IF(COUNTIFS($B$5:B825,B825,$C$5:C825,C825)=1,1,0))</f>
        <v/>
      </c>
      <c r="T825" s="29" t="str">
        <f aca="false">IF(OR(B825="",C825="",E825=""),"",IF(COUNTIFS($B$5:B825,B825,$C$5:C825,C825,$E$5:E825,E825)=1,1,0))</f>
        <v/>
      </c>
      <c r="U825" s="28" t="str">
        <f aca="false">IF(COUNTA(B825:C825,E825:F825,H825:P825)=0,"",IF(OR(B825="",C825="",E825=""),"Check: date, player, and context required",IF(AND(ISNUMBER(J825),ISNUMBER(I825),J825&gt;I825),"Check: solid contacts &gt; swings",IF(AND(ISNUMBER(L825),ISNUMBER(K825),L825&gt;K825),"Check: correct &gt; assessed decisions",IF(AND(ISNUMBER(N825),ISNUMBER(M825),N825&gt;M825),"Check: intended &gt; assessed landings",IF(AND(ISNUMBER(J825),I825=""),"Check: solid contacts without swings","OK"))))))</f>
        <v/>
      </c>
    </row>
    <row r="826" customFormat="false" ht="15" hidden="false" customHeight="false" outlineLevel="0" collapsed="false">
      <c r="B826" s="26"/>
      <c r="C826" s="27"/>
      <c r="D826" s="28" t="str">
        <f aca="false">IF(C826="","",IFERROR(INDEX(Players!$C$5:$C$104,MATCH(C826,Players!$B$5:$B$104,0)),"ID not found"))</f>
        <v/>
      </c>
      <c r="E826" s="27"/>
      <c r="F826" s="27"/>
      <c r="G826" s="28" t="str">
        <f aca="false">IF(F826="","",IFERROR(INDEX('Hitting Drills'!$D$6:$D$45,MATCH(F826,'Hitting Drills'!$B$6:$B$45,0)),"Not a hitting drill ID"))</f>
        <v/>
      </c>
      <c r="H826" s="27"/>
      <c r="I826" s="27"/>
      <c r="J826" s="27"/>
      <c r="K826" s="27"/>
      <c r="L826" s="27"/>
      <c r="M826" s="27"/>
      <c r="N826" s="27"/>
      <c r="O826" s="27"/>
      <c r="P826" s="27"/>
      <c r="Q826" s="27"/>
      <c r="R826" s="27"/>
      <c r="S826" s="29" t="str">
        <f aca="false">IF(OR(B826="",C826=""),"",IF(COUNTIFS($B$5:B826,B826,$C$5:C826,C826)=1,1,0))</f>
        <v/>
      </c>
      <c r="T826" s="29" t="str">
        <f aca="false">IF(OR(B826="",C826="",E826=""),"",IF(COUNTIFS($B$5:B826,B826,$C$5:C826,C826,$E$5:E826,E826)=1,1,0))</f>
        <v/>
      </c>
      <c r="U826" s="28" t="str">
        <f aca="false">IF(COUNTA(B826:C826,E826:F826,H826:P826)=0,"",IF(OR(B826="",C826="",E826=""),"Check: date, player, and context required",IF(AND(ISNUMBER(J826),ISNUMBER(I826),J826&gt;I826),"Check: solid contacts &gt; swings",IF(AND(ISNUMBER(L826),ISNUMBER(K826),L826&gt;K826),"Check: correct &gt; assessed decisions",IF(AND(ISNUMBER(N826),ISNUMBER(M826),N826&gt;M826),"Check: intended &gt; assessed landings",IF(AND(ISNUMBER(J826),I826=""),"Check: solid contacts without swings","OK"))))))</f>
        <v/>
      </c>
    </row>
    <row r="827" customFormat="false" ht="15" hidden="false" customHeight="false" outlineLevel="0" collapsed="false">
      <c r="B827" s="26"/>
      <c r="C827" s="27"/>
      <c r="D827" s="28" t="str">
        <f aca="false">IF(C827="","",IFERROR(INDEX(Players!$C$5:$C$104,MATCH(C827,Players!$B$5:$B$104,0)),"ID not found"))</f>
        <v/>
      </c>
      <c r="E827" s="27"/>
      <c r="F827" s="27"/>
      <c r="G827" s="28" t="str">
        <f aca="false">IF(F827="","",IFERROR(INDEX('Hitting Drills'!$D$6:$D$45,MATCH(F827,'Hitting Drills'!$B$6:$B$45,0)),"Not a hitting drill ID"))</f>
        <v/>
      </c>
      <c r="H827" s="27"/>
      <c r="I827" s="27"/>
      <c r="J827" s="27"/>
      <c r="K827" s="27"/>
      <c r="L827" s="27"/>
      <c r="M827" s="27"/>
      <c r="N827" s="27"/>
      <c r="O827" s="27"/>
      <c r="P827" s="27"/>
      <c r="Q827" s="27"/>
      <c r="R827" s="27"/>
      <c r="S827" s="29" t="str">
        <f aca="false">IF(OR(B827="",C827=""),"",IF(COUNTIFS($B$5:B827,B827,$C$5:C827,C827)=1,1,0))</f>
        <v/>
      </c>
      <c r="T827" s="29" t="str">
        <f aca="false">IF(OR(B827="",C827="",E827=""),"",IF(COUNTIFS($B$5:B827,B827,$C$5:C827,C827,$E$5:E827,E827)=1,1,0))</f>
        <v/>
      </c>
      <c r="U827" s="28" t="str">
        <f aca="false">IF(COUNTA(B827:C827,E827:F827,H827:P827)=0,"",IF(OR(B827="",C827="",E827=""),"Check: date, player, and context required",IF(AND(ISNUMBER(J827),ISNUMBER(I827),J827&gt;I827),"Check: solid contacts &gt; swings",IF(AND(ISNUMBER(L827),ISNUMBER(K827),L827&gt;K827),"Check: correct &gt; assessed decisions",IF(AND(ISNUMBER(N827),ISNUMBER(M827),N827&gt;M827),"Check: intended &gt; assessed landings",IF(AND(ISNUMBER(J827),I827=""),"Check: solid contacts without swings","OK"))))))</f>
        <v/>
      </c>
    </row>
    <row r="828" customFormat="false" ht="15" hidden="false" customHeight="false" outlineLevel="0" collapsed="false">
      <c r="B828" s="26"/>
      <c r="C828" s="27"/>
      <c r="D828" s="28" t="str">
        <f aca="false">IF(C828="","",IFERROR(INDEX(Players!$C$5:$C$104,MATCH(C828,Players!$B$5:$B$104,0)),"ID not found"))</f>
        <v/>
      </c>
      <c r="E828" s="27"/>
      <c r="F828" s="27"/>
      <c r="G828" s="28" t="str">
        <f aca="false">IF(F828="","",IFERROR(INDEX('Hitting Drills'!$D$6:$D$45,MATCH(F828,'Hitting Drills'!$B$6:$B$45,0)),"Not a hitting drill ID"))</f>
        <v/>
      </c>
      <c r="H828" s="27"/>
      <c r="I828" s="27"/>
      <c r="J828" s="27"/>
      <c r="K828" s="27"/>
      <c r="L828" s="27"/>
      <c r="M828" s="27"/>
      <c r="N828" s="27"/>
      <c r="O828" s="27"/>
      <c r="P828" s="27"/>
      <c r="Q828" s="27"/>
      <c r="R828" s="27"/>
      <c r="S828" s="29" t="str">
        <f aca="false">IF(OR(B828="",C828=""),"",IF(COUNTIFS($B$5:B828,B828,$C$5:C828,C828)=1,1,0))</f>
        <v/>
      </c>
      <c r="T828" s="29" t="str">
        <f aca="false">IF(OR(B828="",C828="",E828=""),"",IF(COUNTIFS($B$5:B828,B828,$C$5:C828,C828,$E$5:E828,E828)=1,1,0))</f>
        <v/>
      </c>
      <c r="U828" s="28" t="str">
        <f aca="false">IF(COUNTA(B828:C828,E828:F828,H828:P828)=0,"",IF(OR(B828="",C828="",E828=""),"Check: date, player, and context required",IF(AND(ISNUMBER(J828),ISNUMBER(I828),J828&gt;I828),"Check: solid contacts &gt; swings",IF(AND(ISNUMBER(L828),ISNUMBER(K828),L828&gt;K828),"Check: correct &gt; assessed decisions",IF(AND(ISNUMBER(N828),ISNUMBER(M828),N828&gt;M828),"Check: intended &gt; assessed landings",IF(AND(ISNUMBER(J828),I828=""),"Check: solid contacts without swings","OK"))))))</f>
        <v/>
      </c>
    </row>
    <row r="829" customFormat="false" ht="15" hidden="false" customHeight="false" outlineLevel="0" collapsed="false">
      <c r="B829" s="26"/>
      <c r="C829" s="27"/>
      <c r="D829" s="28" t="str">
        <f aca="false">IF(C829="","",IFERROR(INDEX(Players!$C$5:$C$104,MATCH(C829,Players!$B$5:$B$104,0)),"ID not found"))</f>
        <v/>
      </c>
      <c r="E829" s="27"/>
      <c r="F829" s="27"/>
      <c r="G829" s="28" t="str">
        <f aca="false">IF(F829="","",IFERROR(INDEX('Hitting Drills'!$D$6:$D$45,MATCH(F829,'Hitting Drills'!$B$6:$B$45,0)),"Not a hitting drill ID"))</f>
        <v/>
      </c>
      <c r="H829" s="27"/>
      <c r="I829" s="27"/>
      <c r="J829" s="27"/>
      <c r="K829" s="27"/>
      <c r="L829" s="27"/>
      <c r="M829" s="27"/>
      <c r="N829" s="27"/>
      <c r="O829" s="27"/>
      <c r="P829" s="27"/>
      <c r="Q829" s="27"/>
      <c r="R829" s="27"/>
      <c r="S829" s="29" t="str">
        <f aca="false">IF(OR(B829="",C829=""),"",IF(COUNTIFS($B$5:B829,B829,$C$5:C829,C829)=1,1,0))</f>
        <v/>
      </c>
      <c r="T829" s="29" t="str">
        <f aca="false">IF(OR(B829="",C829="",E829=""),"",IF(COUNTIFS($B$5:B829,B829,$C$5:C829,C829,$E$5:E829,E829)=1,1,0))</f>
        <v/>
      </c>
      <c r="U829" s="28" t="str">
        <f aca="false">IF(COUNTA(B829:C829,E829:F829,H829:P829)=0,"",IF(OR(B829="",C829="",E829=""),"Check: date, player, and context required",IF(AND(ISNUMBER(J829),ISNUMBER(I829),J829&gt;I829),"Check: solid contacts &gt; swings",IF(AND(ISNUMBER(L829),ISNUMBER(K829),L829&gt;K829),"Check: correct &gt; assessed decisions",IF(AND(ISNUMBER(N829),ISNUMBER(M829),N829&gt;M829),"Check: intended &gt; assessed landings",IF(AND(ISNUMBER(J829),I829=""),"Check: solid contacts without swings","OK"))))))</f>
        <v/>
      </c>
    </row>
    <row r="830" customFormat="false" ht="15" hidden="false" customHeight="false" outlineLevel="0" collapsed="false">
      <c r="B830" s="26"/>
      <c r="C830" s="27"/>
      <c r="D830" s="28" t="str">
        <f aca="false">IF(C830="","",IFERROR(INDEX(Players!$C$5:$C$104,MATCH(C830,Players!$B$5:$B$104,0)),"ID not found"))</f>
        <v/>
      </c>
      <c r="E830" s="27"/>
      <c r="F830" s="27"/>
      <c r="G830" s="28" t="str">
        <f aca="false">IF(F830="","",IFERROR(INDEX('Hitting Drills'!$D$6:$D$45,MATCH(F830,'Hitting Drills'!$B$6:$B$45,0)),"Not a hitting drill ID"))</f>
        <v/>
      </c>
      <c r="H830" s="27"/>
      <c r="I830" s="27"/>
      <c r="J830" s="27"/>
      <c r="K830" s="27"/>
      <c r="L830" s="27"/>
      <c r="M830" s="27"/>
      <c r="N830" s="27"/>
      <c r="O830" s="27"/>
      <c r="P830" s="27"/>
      <c r="Q830" s="27"/>
      <c r="R830" s="27"/>
      <c r="S830" s="29" t="str">
        <f aca="false">IF(OR(B830="",C830=""),"",IF(COUNTIFS($B$5:B830,B830,$C$5:C830,C830)=1,1,0))</f>
        <v/>
      </c>
      <c r="T830" s="29" t="str">
        <f aca="false">IF(OR(B830="",C830="",E830=""),"",IF(COUNTIFS($B$5:B830,B830,$C$5:C830,C830,$E$5:E830,E830)=1,1,0))</f>
        <v/>
      </c>
      <c r="U830" s="28" t="str">
        <f aca="false">IF(COUNTA(B830:C830,E830:F830,H830:P830)=0,"",IF(OR(B830="",C830="",E830=""),"Check: date, player, and context required",IF(AND(ISNUMBER(J830),ISNUMBER(I830),J830&gt;I830),"Check: solid contacts &gt; swings",IF(AND(ISNUMBER(L830),ISNUMBER(K830),L830&gt;K830),"Check: correct &gt; assessed decisions",IF(AND(ISNUMBER(N830),ISNUMBER(M830),N830&gt;M830),"Check: intended &gt; assessed landings",IF(AND(ISNUMBER(J830),I830=""),"Check: solid contacts without swings","OK"))))))</f>
        <v/>
      </c>
    </row>
    <row r="831" customFormat="false" ht="15" hidden="false" customHeight="false" outlineLevel="0" collapsed="false">
      <c r="B831" s="26"/>
      <c r="C831" s="27"/>
      <c r="D831" s="28" t="str">
        <f aca="false">IF(C831="","",IFERROR(INDEX(Players!$C$5:$C$104,MATCH(C831,Players!$B$5:$B$104,0)),"ID not found"))</f>
        <v/>
      </c>
      <c r="E831" s="27"/>
      <c r="F831" s="27"/>
      <c r="G831" s="28" t="str">
        <f aca="false">IF(F831="","",IFERROR(INDEX('Hitting Drills'!$D$6:$D$45,MATCH(F831,'Hitting Drills'!$B$6:$B$45,0)),"Not a hitting drill ID"))</f>
        <v/>
      </c>
      <c r="H831" s="27"/>
      <c r="I831" s="27"/>
      <c r="J831" s="27"/>
      <c r="K831" s="27"/>
      <c r="L831" s="27"/>
      <c r="M831" s="27"/>
      <c r="N831" s="27"/>
      <c r="O831" s="27"/>
      <c r="P831" s="27"/>
      <c r="Q831" s="27"/>
      <c r="R831" s="27"/>
      <c r="S831" s="29" t="str">
        <f aca="false">IF(OR(B831="",C831=""),"",IF(COUNTIFS($B$5:B831,B831,$C$5:C831,C831)=1,1,0))</f>
        <v/>
      </c>
      <c r="T831" s="29" t="str">
        <f aca="false">IF(OR(B831="",C831="",E831=""),"",IF(COUNTIFS($B$5:B831,B831,$C$5:C831,C831,$E$5:E831,E831)=1,1,0))</f>
        <v/>
      </c>
      <c r="U831" s="28" t="str">
        <f aca="false">IF(COUNTA(B831:C831,E831:F831,H831:P831)=0,"",IF(OR(B831="",C831="",E831=""),"Check: date, player, and context required",IF(AND(ISNUMBER(J831),ISNUMBER(I831),J831&gt;I831),"Check: solid contacts &gt; swings",IF(AND(ISNUMBER(L831),ISNUMBER(K831),L831&gt;K831),"Check: correct &gt; assessed decisions",IF(AND(ISNUMBER(N831),ISNUMBER(M831),N831&gt;M831),"Check: intended &gt; assessed landings",IF(AND(ISNUMBER(J831),I831=""),"Check: solid contacts without swings","OK"))))))</f>
        <v/>
      </c>
    </row>
    <row r="832" customFormat="false" ht="15" hidden="false" customHeight="false" outlineLevel="0" collapsed="false">
      <c r="B832" s="26"/>
      <c r="C832" s="27"/>
      <c r="D832" s="28" t="str">
        <f aca="false">IF(C832="","",IFERROR(INDEX(Players!$C$5:$C$104,MATCH(C832,Players!$B$5:$B$104,0)),"ID not found"))</f>
        <v/>
      </c>
      <c r="E832" s="27"/>
      <c r="F832" s="27"/>
      <c r="G832" s="28" t="str">
        <f aca="false">IF(F832="","",IFERROR(INDEX('Hitting Drills'!$D$6:$D$45,MATCH(F832,'Hitting Drills'!$B$6:$B$45,0)),"Not a hitting drill ID"))</f>
        <v/>
      </c>
      <c r="H832" s="27"/>
      <c r="I832" s="27"/>
      <c r="J832" s="27"/>
      <c r="K832" s="27"/>
      <c r="L832" s="27"/>
      <c r="M832" s="27"/>
      <c r="N832" s="27"/>
      <c r="O832" s="27"/>
      <c r="P832" s="27"/>
      <c r="Q832" s="27"/>
      <c r="R832" s="27"/>
      <c r="S832" s="29" t="str">
        <f aca="false">IF(OR(B832="",C832=""),"",IF(COUNTIFS($B$5:B832,B832,$C$5:C832,C832)=1,1,0))</f>
        <v/>
      </c>
      <c r="T832" s="29" t="str">
        <f aca="false">IF(OR(B832="",C832="",E832=""),"",IF(COUNTIFS($B$5:B832,B832,$C$5:C832,C832,$E$5:E832,E832)=1,1,0))</f>
        <v/>
      </c>
      <c r="U832" s="28" t="str">
        <f aca="false">IF(COUNTA(B832:C832,E832:F832,H832:P832)=0,"",IF(OR(B832="",C832="",E832=""),"Check: date, player, and context required",IF(AND(ISNUMBER(J832),ISNUMBER(I832),J832&gt;I832),"Check: solid contacts &gt; swings",IF(AND(ISNUMBER(L832),ISNUMBER(K832),L832&gt;K832),"Check: correct &gt; assessed decisions",IF(AND(ISNUMBER(N832),ISNUMBER(M832),N832&gt;M832),"Check: intended &gt; assessed landings",IF(AND(ISNUMBER(J832),I832=""),"Check: solid contacts without swings","OK"))))))</f>
        <v/>
      </c>
    </row>
    <row r="833" customFormat="false" ht="15" hidden="false" customHeight="false" outlineLevel="0" collapsed="false">
      <c r="B833" s="26"/>
      <c r="C833" s="27"/>
      <c r="D833" s="28" t="str">
        <f aca="false">IF(C833="","",IFERROR(INDEX(Players!$C$5:$C$104,MATCH(C833,Players!$B$5:$B$104,0)),"ID not found"))</f>
        <v/>
      </c>
      <c r="E833" s="27"/>
      <c r="F833" s="27"/>
      <c r="G833" s="28" t="str">
        <f aca="false">IF(F833="","",IFERROR(INDEX('Hitting Drills'!$D$6:$D$45,MATCH(F833,'Hitting Drills'!$B$6:$B$45,0)),"Not a hitting drill ID"))</f>
        <v/>
      </c>
      <c r="H833" s="27"/>
      <c r="I833" s="27"/>
      <c r="J833" s="27"/>
      <c r="K833" s="27"/>
      <c r="L833" s="27"/>
      <c r="M833" s="27"/>
      <c r="N833" s="27"/>
      <c r="O833" s="27"/>
      <c r="P833" s="27"/>
      <c r="Q833" s="27"/>
      <c r="R833" s="27"/>
      <c r="S833" s="29" t="str">
        <f aca="false">IF(OR(B833="",C833=""),"",IF(COUNTIFS($B$5:B833,B833,$C$5:C833,C833)=1,1,0))</f>
        <v/>
      </c>
      <c r="T833" s="29" t="str">
        <f aca="false">IF(OR(B833="",C833="",E833=""),"",IF(COUNTIFS($B$5:B833,B833,$C$5:C833,C833,$E$5:E833,E833)=1,1,0))</f>
        <v/>
      </c>
      <c r="U833" s="28" t="str">
        <f aca="false">IF(COUNTA(B833:C833,E833:F833,H833:P833)=0,"",IF(OR(B833="",C833="",E833=""),"Check: date, player, and context required",IF(AND(ISNUMBER(J833),ISNUMBER(I833),J833&gt;I833),"Check: solid contacts &gt; swings",IF(AND(ISNUMBER(L833),ISNUMBER(K833),L833&gt;K833),"Check: correct &gt; assessed decisions",IF(AND(ISNUMBER(N833),ISNUMBER(M833),N833&gt;M833),"Check: intended &gt; assessed landings",IF(AND(ISNUMBER(J833),I833=""),"Check: solid contacts without swings","OK"))))))</f>
        <v/>
      </c>
    </row>
    <row r="834" customFormat="false" ht="15" hidden="false" customHeight="false" outlineLevel="0" collapsed="false">
      <c r="B834" s="26"/>
      <c r="C834" s="27"/>
      <c r="D834" s="28" t="str">
        <f aca="false">IF(C834="","",IFERROR(INDEX(Players!$C$5:$C$104,MATCH(C834,Players!$B$5:$B$104,0)),"ID not found"))</f>
        <v/>
      </c>
      <c r="E834" s="27"/>
      <c r="F834" s="27"/>
      <c r="G834" s="28" t="str">
        <f aca="false">IF(F834="","",IFERROR(INDEX('Hitting Drills'!$D$6:$D$45,MATCH(F834,'Hitting Drills'!$B$6:$B$45,0)),"Not a hitting drill ID"))</f>
        <v/>
      </c>
      <c r="H834" s="27"/>
      <c r="I834" s="27"/>
      <c r="J834" s="27"/>
      <c r="K834" s="27"/>
      <c r="L834" s="27"/>
      <c r="M834" s="27"/>
      <c r="N834" s="27"/>
      <c r="O834" s="27"/>
      <c r="P834" s="27"/>
      <c r="Q834" s="27"/>
      <c r="R834" s="27"/>
      <c r="S834" s="29" t="str">
        <f aca="false">IF(OR(B834="",C834=""),"",IF(COUNTIFS($B$5:B834,B834,$C$5:C834,C834)=1,1,0))</f>
        <v/>
      </c>
      <c r="T834" s="29" t="str">
        <f aca="false">IF(OR(B834="",C834="",E834=""),"",IF(COUNTIFS($B$5:B834,B834,$C$5:C834,C834,$E$5:E834,E834)=1,1,0))</f>
        <v/>
      </c>
      <c r="U834" s="28" t="str">
        <f aca="false">IF(COUNTA(B834:C834,E834:F834,H834:P834)=0,"",IF(OR(B834="",C834="",E834=""),"Check: date, player, and context required",IF(AND(ISNUMBER(J834),ISNUMBER(I834),J834&gt;I834),"Check: solid contacts &gt; swings",IF(AND(ISNUMBER(L834),ISNUMBER(K834),L834&gt;K834),"Check: correct &gt; assessed decisions",IF(AND(ISNUMBER(N834),ISNUMBER(M834),N834&gt;M834),"Check: intended &gt; assessed landings",IF(AND(ISNUMBER(J834),I834=""),"Check: solid contacts without swings","OK"))))))</f>
        <v/>
      </c>
    </row>
    <row r="835" customFormat="false" ht="15" hidden="false" customHeight="false" outlineLevel="0" collapsed="false">
      <c r="B835" s="26"/>
      <c r="C835" s="27"/>
      <c r="D835" s="28" t="str">
        <f aca="false">IF(C835="","",IFERROR(INDEX(Players!$C$5:$C$104,MATCH(C835,Players!$B$5:$B$104,0)),"ID not found"))</f>
        <v/>
      </c>
      <c r="E835" s="27"/>
      <c r="F835" s="27"/>
      <c r="G835" s="28" t="str">
        <f aca="false">IF(F835="","",IFERROR(INDEX('Hitting Drills'!$D$6:$D$45,MATCH(F835,'Hitting Drills'!$B$6:$B$45,0)),"Not a hitting drill ID"))</f>
        <v/>
      </c>
      <c r="H835" s="27"/>
      <c r="I835" s="27"/>
      <c r="J835" s="27"/>
      <c r="K835" s="27"/>
      <c r="L835" s="27"/>
      <c r="M835" s="27"/>
      <c r="N835" s="27"/>
      <c r="O835" s="27"/>
      <c r="P835" s="27"/>
      <c r="Q835" s="27"/>
      <c r="R835" s="27"/>
      <c r="S835" s="29" t="str">
        <f aca="false">IF(OR(B835="",C835=""),"",IF(COUNTIFS($B$5:B835,B835,$C$5:C835,C835)=1,1,0))</f>
        <v/>
      </c>
      <c r="T835" s="29" t="str">
        <f aca="false">IF(OR(B835="",C835="",E835=""),"",IF(COUNTIFS($B$5:B835,B835,$C$5:C835,C835,$E$5:E835,E835)=1,1,0))</f>
        <v/>
      </c>
      <c r="U835" s="28" t="str">
        <f aca="false">IF(COUNTA(B835:C835,E835:F835,H835:P835)=0,"",IF(OR(B835="",C835="",E835=""),"Check: date, player, and context required",IF(AND(ISNUMBER(J835),ISNUMBER(I835),J835&gt;I835),"Check: solid contacts &gt; swings",IF(AND(ISNUMBER(L835),ISNUMBER(K835),L835&gt;K835),"Check: correct &gt; assessed decisions",IF(AND(ISNUMBER(N835),ISNUMBER(M835),N835&gt;M835),"Check: intended &gt; assessed landings",IF(AND(ISNUMBER(J835),I835=""),"Check: solid contacts without swings","OK"))))))</f>
        <v/>
      </c>
    </row>
    <row r="836" customFormat="false" ht="15" hidden="false" customHeight="false" outlineLevel="0" collapsed="false">
      <c r="B836" s="26"/>
      <c r="C836" s="27"/>
      <c r="D836" s="28" t="str">
        <f aca="false">IF(C836="","",IFERROR(INDEX(Players!$C$5:$C$104,MATCH(C836,Players!$B$5:$B$104,0)),"ID not found"))</f>
        <v/>
      </c>
      <c r="E836" s="27"/>
      <c r="F836" s="27"/>
      <c r="G836" s="28" t="str">
        <f aca="false">IF(F836="","",IFERROR(INDEX('Hitting Drills'!$D$6:$D$45,MATCH(F836,'Hitting Drills'!$B$6:$B$45,0)),"Not a hitting drill ID"))</f>
        <v/>
      </c>
      <c r="H836" s="27"/>
      <c r="I836" s="27"/>
      <c r="J836" s="27"/>
      <c r="K836" s="27"/>
      <c r="L836" s="27"/>
      <c r="M836" s="27"/>
      <c r="N836" s="27"/>
      <c r="O836" s="27"/>
      <c r="P836" s="27"/>
      <c r="Q836" s="27"/>
      <c r="R836" s="27"/>
      <c r="S836" s="29" t="str">
        <f aca="false">IF(OR(B836="",C836=""),"",IF(COUNTIFS($B$5:B836,B836,$C$5:C836,C836)=1,1,0))</f>
        <v/>
      </c>
      <c r="T836" s="29" t="str">
        <f aca="false">IF(OR(B836="",C836="",E836=""),"",IF(COUNTIFS($B$5:B836,B836,$C$5:C836,C836,$E$5:E836,E836)=1,1,0))</f>
        <v/>
      </c>
      <c r="U836" s="28" t="str">
        <f aca="false">IF(COUNTA(B836:C836,E836:F836,H836:P836)=0,"",IF(OR(B836="",C836="",E836=""),"Check: date, player, and context required",IF(AND(ISNUMBER(J836),ISNUMBER(I836),J836&gt;I836),"Check: solid contacts &gt; swings",IF(AND(ISNUMBER(L836),ISNUMBER(K836),L836&gt;K836),"Check: correct &gt; assessed decisions",IF(AND(ISNUMBER(N836),ISNUMBER(M836),N836&gt;M836),"Check: intended &gt; assessed landings",IF(AND(ISNUMBER(J836),I836=""),"Check: solid contacts without swings","OK"))))))</f>
        <v/>
      </c>
    </row>
    <row r="837" customFormat="false" ht="15" hidden="false" customHeight="false" outlineLevel="0" collapsed="false">
      <c r="B837" s="26"/>
      <c r="C837" s="27"/>
      <c r="D837" s="28" t="str">
        <f aca="false">IF(C837="","",IFERROR(INDEX(Players!$C$5:$C$104,MATCH(C837,Players!$B$5:$B$104,0)),"ID not found"))</f>
        <v/>
      </c>
      <c r="E837" s="27"/>
      <c r="F837" s="27"/>
      <c r="G837" s="28" t="str">
        <f aca="false">IF(F837="","",IFERROR(INDEX('Hitting Drills'!$D$6:$D$45,MATCH(F837,'Hitting Drills'!$B$6:$B$45,0)),"Not a hitting drill ID"))</f>
        <v/>
      </c>
      <c r="H837" s="27"/>
      <c r="I837" s="27"/>
      <c r="J837" s="27"/>
      <c r="K837" s="27"/>
      <c r="L837" s="27"/>
      <c r="M837" s="27"/>
      <c r="N837" s="27"/>
      <c r="O837" s="27"/>
      <c r="P837" s="27"/>
      <c r="Q837" s="27"/>
      <c r="R837" s="27"/>
      <c r="S837" s="29" t="str">
        <f aca="false">IF(OR(B837="",C837=""),"",IF(COUNTIFS($B$5:B837,B837,$C$5:C837,C837)=1,1,0))</f>
        <v/>
      </c>
      <c r="T837" s="29" t="str">
        <f aca="false">IF(OR(B837="",C837="",E837=""),"",IF(COUNTIFS($B$5:B837,B837,$C$5:C837,C837,$E$5:E837,E837)=1,1,0))</f>
        <v/>
      </c>
      <c r="U837" s="28" t="str">
        <f aca="false">IF(COUNTA(B837:C837,E837:F837,H837:P837)=0,"",IF(OR(B837="",C837="",E837=""),"Check: date, player, and context required",IF(AND(ISNUMBER(J837),ISNUMBER(I837),J837&gt;I837),"Check: solid contacts &gt; swings",IF(AND(ISNUMBER(L837),ISNUMBER(K837),L837&gt;K837),"Check: correct &gt; assessed decisions",IF(AND(ISNUMBER(N837),ISNUMBER(M837),N837&gt;M837),"Check: intended &gt; assessed landings",IF(AND(ISNUMBER(J837),I837=""),"Check: solid contacts without swings","OK"))))))</f>
        <v/>
      </c>
    </row>
    <row r="838" customFormat="false" ht="15" hidden="false" customHeight="false" outlineLevel="0" collapsed="false">
      <c r="B838" s="26"/>
      <c r="C838" s="27"/>
      <c r="D838" s="28" t="str">
        <f aca="false">IF(C838="","",IFERROR(INDEX(Players!$C$5:$C$104,MATCH(C838,Players!$B$5:$B$104,0)),"ID not found"))</f>
        <v/>
      </c>
      <c r="E838" s="27"/>
      <c r="F838" s="27"/>
      <c r="G838" s="28" t="str">
        <f aca="false">IF(F838="","",IFERROR(INDEX('Hitting Drills'!$D$6:$D$45,MATCH(F838,'Hitting Drills'!$B$6:$B$45,0)),"Not a hitting drill ID"))</f>
        <v/>
      </c>
      <c r="H838" s="27"/>
      <c r="I838" s="27"/>
      <c r="J838" s="27"/>
      <c r="K838" s="27"/>
      <c r="L838" s="27"/>
      <c r="M838" s="27"/>
      <c r="N838" s="27"/>
      <c r="O838" s="27"/>
      <c r="P838" s="27"/>
      <c r="Q838" s="27"/>
      <c r="R838" s="27"/>
      <c r="S838" s="29" t="str">
        <f aca="false">IF(OR(B838="",C838=""),"",IF(COUNTIFS($B$5:B838,B838,$C$5:C838,C838)=1,1,0))</f>
        <v/>
      </c>
      <c r="T838" s="29" t="str">
        <f aca="false">IF(OR(B838="",C838="",E838=""),"",IF(COUNTIFS($B$5:B838,B838,$C$5:C838,C838,$E$5:E838,E838)=1,1,0))</f>
        <v/>
      </c>
      <c r="U838" s="28" t="str">
        <f aca="false">IF(COUNTA(B838:C838,E838:F838,H838:P838)=0,"",IF(OR(B838="",C838="",E838=""),"Check: date, player, and context required",IF(AND(ISNUMBER(J838),ISNUMBER(I838),J838&gt;I838),"Check: solid contacts &gt; swings",IF(AND(ISNUMBER(L838),ISNUMBER(K838),L838&gt;K838),"Check: correct &gt; assessed decisions",IF(AND(ISNUMBER(N838),ISNUMBER(M838),N838&gt;M838),"Check: intended &gt; assessed landings",IF(AND(ISNUMBER(J838),I838=""),"Check: solid contacts without swings","OK"))))))</f>
        <v/>
      </c>
    </row>
    <row r="839" customFormat="false" ht="15" hidden="false" customHeight="false" outlineLevel="0" collapsed="false">
      <c r="B839" s="26"/>
      <c r="C839" s="27"/>
      <c r="D839" s="28" t="str">
        <f aca="false">IF(C839="","",IFERROR(INDEX(Players!$C$5:$C$104,MATCH(C839,Players!$B$5:$B$104,0)),"ID not found"))</f>
        <v/>
      </c>
      <c r="E839" s="27"/>
      <c r="F839" s="27"/>
      <c r="G839" s="28" t="str">
        <f aca="false">IF(F839="","",IFERROR(INDEX('Hitting Drills'!$D$6:$D$45,MATCH(F839,'Hitting Drills'!$B$6:$B$45,0)),"Not a hitting drill ID"))</f>
        <v/>
      </c>
      <c r="H839" s="27"/>
      <c r="I839" s="27"/>
      <c r="J839" s="27"/>
      <c r="K839" s="27"/>
      <c r="L839" s="27"/>
      <c r="M839" s="27"/>
      <c r="N839" s="27"/>
      <c r="O839" s="27"/>
      <c r="P839" s="27"/>
      <c r="Q839" s="27"/>
      <c r="R839" s="27"/>
      <c r="S839" s="29" t="str">
        <f aca="false">IF(OR(B839="",C839=""),"",IF(COUNTIFS($B$5:B839,B839,$C$5:C839,C839)=1,1,0))</f>
        <v/>
      </c>
      <c r="T839" s="29" t="str">
        <f aca="false">IF(OR(B839="",C839="",E839=""),"",IF(COUNTIFS($B$5:B839,B839,$C$5:C839,C839,$E$5:E839,E839)=1,1,0))</f>
        <v/>
      </c>
      <c r="U839" s="28" t="str">
        <f aca="false">IF(COUNTA(B839:C839,E839:F839,H839:P839)=0,"",IF(OR(B839="",C839="",E839=""),"Check: date, player, and context required",IF(AND(ISNUMBER(J839),ISNUMBER(I839),J839&gt;I839),"Check: solid contacts &gt; swings",IF(AND(ISNUMBER(L839),ISNUMBER(K839),L839&gt;K839),"Check: correct &gt; assessed decisions",IF(AND(ISNUMBER(N839),ISNUMBER(M839),N839&gt;M839),"Check: intended &gt; assessed landings",IF(AND(ISNUMBER(J839),I839=""),"Check: solid contacts without swings","OK"))))))</f>
        <v/>
      </c>
    </row>
    <row r="840" customFormat="false" ht="15" hidden="false" customHeight="false" outlineLevel="0" collapsed="false">
      <c r="B840" s="26"/>
      <c r="C840" s="27"/>
      <c r="D840" s="28" t="str">
        <f aca="false">IF(C840="","",IFERROR(INDEX(Players!$C$5:$C$104,MATCH(C840,Players!$B$5:$B$104,0)),"ID not found"))</f>
        <v/>
      </c>
      <c r="E840" s="27"/>
      <c r="F840" s="27"/>
      <c r="G840" s="28" t="str">
        <f aca="false">IF(F840="","",IFERROR(INDEX('Hitting Drills'!$D$6:$D$45,MATCH(F840,'Hitting Drills'!$B$6:$B$45,0)),"Not a hitting drill ID"))</f>
        <v/>
      </c>
      <c r="H840" s="27"/>
      <c r="I840" s="27"/>
      <c r="J840" s="27"/>
      <c r="K840" s="27"/>
      <c r="L840" s="27"/>
      <c r="M840" s="27"/>
      <c r="N840" s="27"/>
      <c r="O840" s="27"/>
      <c r="P840" s="27"/>
      <c r="Q840" s="27"/>
      <c r="R840" s="27"/>
      <c r="S840" s="29" t="str">
        <f aca="false">IF(OR(B840="",C840=""),"",IF(COUNTIFS($B$5:B840,B840,$C$5:C840,C840)=1,1,0))</f>
        <v/>
      </c>
      <c r="T840" s="29" t="str">
        <f aca="false">IF(OR(B840="",C840="",E840=""),"",IF(COUNTIFS($B$5:B840,B840,$C$5:C840,C840,$E$5:E840,E840)=1,1,0))</f>
        <v/>
      </c>
      <c r="U840" s="28" t="str">
        <f aca="false">IF(COUNTA(B840:C840,E840:F840,H840:P840)=0,"",IF(OR(B840="",C840="",E840=""),"Check: date, player, and context required",IF(AND(ISNUMBER(J840),ISNUMBER(I840),J840&gt;I840),"Check: solid contacts &gt; swings",IF(AND(ISNUMBER(L840),ISNUMBER(K840),L840&gt;K840),"Check: correct &gt; assessed decisions",IF(AND(ISNUMBER(N840),ISNUMBER(M840),N840&gt;M840),"Check: intended &gt; assessed landings",IF(AND(ISNUMBER(J840),I840=""),"Check: solid contacts without swings","OK"))))))</f>
        <v/>
      </c>
    </row>
    <row r="841" customFormat="false" ht="15" hidden="false" customHeight="false" outlineLevel="0" collapsed="false">
      <c r="B841" s="26"/>
      <c r="C841" s="27"/>
      <c r="D841" s="28" t="str">
        <f aca="false">IF(C841="","",IFERROR(INDEX(Players!$C$5:$C$104,MATCH(C841,Players!$B$5:$B$104,0)),"ID not found"))</f>
        <v/>
      </c>
      <c r="E841" s="27"/>
      <c r="F841" s="27"/>
      <c r="G841" s="28" t="str">
        <f aca="false">IF(F841="","",IFERROR(INDEX('Hitting Drills'!$D$6:$D$45,MATCH(F841,'Hitting Drills'!$B$6:$B$45,0)),"Not a hitting drill ID"))</f>
        <v/>
      </c>
      <c r="H841" s="27"/>
      <c r="I841" s="27"/>
      <c r="J841" s="27"/>
      <c r="K841" s="27"/>
      <c r="L841" s="27"/>
      <c r="M841" s="27"/>
      <c r="N841" s="27"/>
      <c r="O841" s="27"/>
      <c r="P841" s="27"/>
      <c r="Q841" s="27"/>
      <c r="R841" s="27"/>
      <c r="S841" s="29" t="str">
        <f aca="false">IF(OR(B841="",C841=""),"",IF(COUNTIFS($B$5:B841,B841,$C$5:C841,C841)=1,1,0))</f>
        <v/>
      </c>
      <c r="T841" s="29" t="str">
        <f aca="false">IF(OR(B841="",C841="",E841=""),"",IF(COUNTIFS($B$5:B841,B841,$C$5:C841,C841,$E$5:E841,E841)=1,1,0))</f>
        <v/>
      </c>
      <c r="U841" s="28" t="str">
        <f aca="false">IF(COUNTA(B841:C841,E841:F841,H841:P841)=0,"",IF(OR(B841="",C841="",E841=""),"Check: date, player, and context required",IF(AND(ISNUMBER(J841),ISNUMBER(I841),J841&gt;I841),"Check: solid contacts &gt; swings",IF(AND(ISNUMBER(L841),ISNUMBER(K841),L841&gt;K841),"Check: correct &gt; assessed decisions",IF(AND(ISNUMBER(N841),ISNUMBER(M841),N841&gt;M841),"Check: intended &gt; assessed landings",IF(AND(ISNUMBER(J841),I841=""),"Check: solid contacts without swings","OK"))))))</f>
        <v/>
      </c>
    </row>
    <row r="842" customFormat="false" ht="15" hidden="false" customHeight="false" outlineLevel="0" collapsed="false">
      <c r="B842" s="26"/>
      <c r="C842" s="27"/>
      <c r="D842" s="28" t="str">
        <f aca="false">IF(C842="","",IFERROR(INDEX(Players!$C$5:$C$104,MATCH(C842,Players!$B$5:$B$104,0)),"ID not found"))</f>
        <v/>
      </c>
      <c r="E842" s="27"/>
      <c r="F842" s="27"/>
      <c r="G842" s="28" t="str">
        <f aca="false">IF(F842="","",IFERROR(INDEX('Hitting Drills'!$D$6:$D$45,MATCH(F842,'Hitting Drills'!$B$6:$B$45,0)),"Not a hitting drill ID"))</f>
        <v/>
      </c>
      <c r="H842" s="27"/>
      <c r="I842" s="27"/>
      <c r="J842" s="27"/>
      <c r="K842" s="27"/>
      <c r="L842" s="27"/>
      <c r="M842" s="27"/>
      <c r="N842" s="27"/>
      <c r="O842" s="27"/>
      <c r="P842" s="27"/>
      <c r="Q842" s="27"/>
      <c r="R842" s="27"/>
      <c r="S842" s="29" t="str">
        <f aca="false">IF(OR(B842="",C842=""),"",IF(COUNTIFS($B$5:B842,B842,$C$5:C842,C842)=1,1,0))</f>
        <v/>
      </c>
      <c r="T842" s="29" t="str">
        <f aca="false">IF(OR(B842="",C842="",E842=""),"",IF(COUNTIFS($B$5:B842,B842,$C$5:C842,C842,$E$5:E842,E842)=1,1,0))</f>
        <v/>
      </c>
      <c r="U842" s="28" t="str">
        <f aca="false">IF(COUNTA(B842:C842,E842:F842,H842:P842)=0,"",IF(OR(B842="",C842="",E842=""),"Check: date, player, and context required",IF(AND(ISNUMBER(J842),ISNUMBER(I842),J842&gt;I842),"Check: solid contacts &gt; swings",IF(AND(ISNUMBER(L842),ISNUMBER(K842),L842&gt;K842),"Check: correct &gt; assessed decisions",IF(AND(ISNUMBER(N842),ISNUMBER(M842),N842&gt;M842),"Check: intended &gt; assessed landings",IF(AND(ISNUMBER(J842),I842=""),"Check: solid contacts without swings","OK"))))))</f>
        <v/>
      </c>
    </row>
    <row r="843" customFormat="false" ht="15" hidden="false" customHeight="false" outlineLevel="0" collapsed="false">
      <c r="B843" s="26"/>
      <c r="C843" s="27"/>
      <c r="D843" s="28" t="str">
        <f aca="false">IF(C843="","",IFERROR(INDEX(Players!$C$5:$C$104,MATCH(C843,Players!$B$5:$B$104,0)),"ID not found"))</f>
        <v/>
      </c>
      <c r="E843" s="27"/>
      <c r="F843" s="27"/>
      <c r="G843" s="28" t="str">
        <f aca="false">IF(F843="","",IFERROR(INDEX('Hitting Drills'!$D$6:$D$45,MATCH(F843,'Hitting Drills'!$B$6:$B$45,0)),"Not a hitting drill ID"))</f>
        <v/>
      </c>
      <c r="H843" s="27"/>
      <c r="I843" s="27"/>
      <c r="J843" s="27"/>
      <c r="K843" s="27"/>
      <c r="L843" s="27"/>
      <c r="M843" s="27"/>
      <c r="N843" s="27"/>
      <c r="O843" s="27"/>
      <c r="P843" s="27"/>
      <c r="Q843" s="27"/>
      <c r="R843" s="27"/>
      <c r="S843" s="29" t="str">
        <f aca="false">IF(OR(B843="",C843=""),"",IF(COUNTIFS($B$5:B843,B843,$C$5:C843,C843)=1,1,0))</f>
        <v/>
      </c>
      <c r="T843" s="29" t="str">
        <f aca="false">IF(OR(B843="",C843="",E843=""),"",IF(COUNTIFS($B$5:B843,B843,$C$5:C843,C843,$E$5:E843,E843)=1,1,0))</f>
        <v/>
      </c>
      <c r="U843" s="28" t="str">
        <f aca="false">IF(COUNTA(B843:C843,E843:F843,H843:P843)=0,"",IF(OR(B843="",C843="",E843=""),"Check: date, player, and context required",IF(AND(ISNUMBER(J843),ISNUMBER(I843),J843&gt;I843),"Check: solid contacts &gt; swings",IF(AND(ISNUMBER(L843),ISNUMBER(K843),L843&gt;K843),"Check: correct &gt; assessed decisions",IF(AND(ISNUMBER(N843),ISNUMBER(M843),N843&gt;M843),"Check: intended &gt; assessed landings",IF(AND(ISNUMBER(J843),I843=""),"Check: solid contacts without swings","OK"))))))</f>
        <v/>
      </c>
    </row>
    <row r="844" customFormat="false" ht="15" hidden="false" customHeight="false" outlineLevel="0" collapsed="false">
      <c r="B844" s="26"/>
      <c r="C844" s="27"/>
      <c r="D844" s="28" t="str">
        <f aca="false">IF(C844="","",IFERROR(INDEX(Players!$C$5:$C$104,MATCH(C844,Players!$B$5:$B$104,0)),"ID not found"))</f>
        <v/>
      </c>
      <c r="E844" s="27"/>
      <c r="F844" s="27"/>
      <c r="G844" s="28" t="str">
        <f aca="false">IF(F844="","",IFERROR(INDEX('Hitting Drills'!$D$6:$D$45,MATCH(F844,'Hitting Drills'!$B$6:$B$45,0)),"Not a hitting drill ID"))</f>
        <v/>
      </c>
      <c r="H844" s="27"/>
      <c r="I844" s="27"/>
      <c r="J844" s="27"/>
      <c r="K844" s="27"/>
      <c r="L844" s="27"/>
      <c r="M844" s="27"/>
      <c r="N844" s="27"/>
      <c r="O844" s="27"/>
      <c r="P844" s="27"/>
      <c r="Q844" s="27"/>
      <c r="R844" s="27"/>
      <c r="S844" s="29" t="str">
        <f aca="false">IF(OR(B844="",C844=""),"",IF(COUNTIFS($B$5:B844,B844,$C$5:C844,C844)=1,1,0))</f>
        <v/>
      </c>
      <c r="T844" s="29" t="str">
        <f aca="false">IF(OR(B844="",C844="",E844=""),"",IF(COUNTIFS($B$5:B844,B844,$C$5:C844,C844,$E$5:E844,E844)=1,1,0))</f>
        <v/>
      </c>
      <c r="U844" s="28" t="str">
        <f aca="false">IF(COUNTA(B844:C844,E844:F844,H844:P844)=0,"",IF(OR(B844="",C844="",E844=""),"Check: date, player, and context required",IF(AND(ISNUMBER(J844),ISNUMBER(I844),J844&gt;I844),"Check: solid contacts &gt; swings",IF(AND(ISNUMBER(L844),ISNUMBER(K844),L844&gt;K844),"Check: correct &gt; assessed decisions",IF(AND(ISNUMBER(N844),ISNUMBER(M844),N844&gt;M844),"Check: intended &gt; assessed landings",IF(AND(ISNUMBER(J844),I844=""),"Check: solid contacts without swings","OK"))))))</f>
        <v/>
      </c>
    </row>
    <row r="845" customFormat="false" ht="15" hidden="false" customHeight="false" outlineLevel="0" collapsed="false">
      <c r="B845" s="26"/>
      <c r="C845" s="27"/>
      <c r="D845" s="28" t="str">
        <f aca="false">IF(C845="","",IFERROR(INDEX(Players!$C$5:$C$104,MATCH(C845,Players!$B$5:$B$104,0)),"ID not found"))</f>
        <v/>
      </c>
      <c r="E845" s="27"/>
      <c r="F845" s="27"/>
      <c r="G845" s="28" t="str">
        <f aca="false">IF(F845="","",IFERROR(INDEX('Hitting Drills'!$D$6:$D$45,MATCH(F845,'Hitting Drills'!$B$6:$B$45,0)),"Not a hitting drill ID"))</f>
        <v/>
      </c>
      <c r="H845" s="27"/>
      <c r="I845" s="27"/>
      <c r="J845" s="27"/>
      <c r="K845" s="27"/>
      <c r="L845" s="27"/>
      <c r="M845" s="27"/>
      <c r="N845" s="27"/>
      <c r="O845" s="27"/>
      <c r="P845" s="27"/>
      <c r="Q845" s="27"/>
      <c r="R845" s="27"/>
      <c r="S845" s="29" t="str">
        <f aca="false">IF(OR(B845="",C845=""),"",IF(COUNTIFS($B$5:B845,B845,$C$5:C845,C845)=1,1,0))</f>
        <v/>
      </c>
      <c r="T845" s="29" t="str">
        <f aca="false">IF(OR(B845="",C845="",E845=""),"",IF(COUNTIFS($B$5:B845,B845,$C$5:C845,C845,$E$5:E845,E845)=1,1,0))</f>
        <v/>
      </c>
      <c r="U845" s="28" t="str">
        <f aca="false">IF(COUNTA(B845:C845,E845:F845,H845:P845)=0,"",IF(OR(B845="",C845="",E845=""),"Check: date, player, and context required",IF(AND(ISNUMBER(J845),ISNUMBER(I845),J845&gt;I845),"Check: solid contacts &gt; swings",IF(AND(ISNUMBER(L845),ISNUMBER(K845),L845&gt;K845),"Check: correct &gt; assessed decisions",IF(AND(ISNUMBER(N845),ISNUMBER(M845),N845&gt;M845),"Check: intended &gt; assessed landings",IF(AND(ISNUMBER(J845),I845=""),"Check: solid contacts without swings","OK"))))))</f>
        <v/>
      </c>
    </row>
    <row r="846" customFormat="false" ht="15" hidden="false" customHeight="false" outlineLevel="0" collapsed="false">
      <c r="B846" s="26"/>
      <c r="C846" s="27"/>
      <c r="D846" s="28" t="str">
        <f aca="false">IF(C846="","",IFERROR(INDEX(Players!$C$5:$C$104,MATCH(C846,Players!$B$5:$B$104,0)),"ID not found"))</f>
        <v/>
      </c>
      <c r="E846" s="27"/>
      <c r="F846" s="27"/>
      <c r="G846" s="28" t="str">
        <f aca="false">IF(F846="","",IFERROR(INDEX('Hitting Drills'!$D$6:$D$45,MATCH(F846,'Hitting Drills'!$B$6:$B$45,0)),"Not a hitting drill ID"))</f>
        <v/>
      </c>
      <c r="H846" s="27"/>
      <c r="I846" s="27"/>
      <c r="J846" s="27"/>
      <c r="K846" s="27"/>
      <c r="L846" s="27"/>
      <c r="M846" s="27"/>
      <c r="N846" s="27"/>
      <c r="O846" s="27"/>
      <c r="P846" s="27"/>
      <c r="Q846" s="27"/>
      <c r="R846" s="27"/>
      <c r="S846" s="29" t="str">
        <f aca="false">IF(OR(B846="",C846=""),"",IF(COUNTIFS($B$5:B846,B846,$C$5:C846,C846)=1,1,0))</f>
        <v/>
      </c>
      <c r="T846" s="29" t="str">
        <f aca="false">IF(OR(B846="",C846="",E846=""),"",IF(COUNTIFS($B$5:B846,B846,$C$5:C846,C846,$E$5:E846,E846)=1,1,0))</f>
        <v/>
      </c>
      <c r="U846" s="28" t="str">
        <f aca="false">IF(COUNTA(B846:C846,E846:F846,H846:P846)=0,"",IF(OR(B846="",C846="",E846=""),"Check: date, player, and context required",IF(AND(ISNUMBER(J846),ISNUMBER(I846),J846&gt;I846),"Check: solid contacts &gt; swings",IF(AND(ISNUMBER(L846),ISNUMBER(K846),L846&gt;K846),"Check: correct &gt; assessed decisions",IF(AND(ISNUMBER(N846),ISNUMBER(M846),N846&gt;M846),"Check: intended &gt; assessed landings",IF(AND(ISNUMBER(J846),I846=""),"Check: solid contacts without swings","OK"))))))</f>
        <v/>
      </c>
    </row>
    <row r="847" customFormat="false" ht="15" hidden="false" customHeight="false" outlineLevel="0" collapsed="false">
      <c r="B847" s="26"/>
      <c r="C847" s="27"/>
      <c r="D847" s="28" t="str">
        <f aca="false">IF(C847="","",IFERROR(INDEX(Players!$C$5:$C$104,MATCH(C847,Players!$B$5:$B$104,0)),"ID not found"))</f>
        <v/>
      </c>
      <c r="E847" s="27"/>
      <c r="F847" s="27"/>
      <c r="G847" s="28" t="str">
        <f aca="false">IF(F847="","",IFERROR(INDEX('Hitting Drills'!$D$6:$D$45,MATCH(F847,'Hitting Drills'!$B$6:$B$45,0)),"Not a hitting drill ID"))</f>
        <v/>
      </c>
      <c r="H847" s="27"/>
      <c r="I847" s="27"/>
      <c r="J847" s="27"/>
      <c r="K847" s="27"/>
      <c r="L847" s="27"/>
      <c r="M847" s="27"/>
      <c r="N847" s="27"/>
      <c r="O847" s="27"/>
      <c r="P847" s="27"/>
      <c r="Q847" s="27"/>
      <c r="R847" s="27"/>
      <c r="S847" s="29" t="str">
        <f aca="false">IF(OR(B847="",C847=""),"",IF(COUNTIFS($B$5:B847,B847,$C$5:C847,C847)=1,1,0))</f>
        <v/>
      </c>
      <c r="T847" s="29" t="str">
        <f aca="false">IF(OR(B847="",C847="",E847=""),"",IF(COUNTIFS($B$5:B847,B847,$C$5:C847,C847,$E$5:E847,E847)=1,1,0))</f>
        <v/>
      </c>
      <c r="U847" s="28" t="str">
        <f aca="false">IF(COUNTA(B847:C847,E847:F847,H847:P847)=0,"",IF(OR(B847="",C847="",E847=""),"Check: date, player, and context required",IF(AND(ISNUMBER(J847),ISNUMBER(I847),J847&gt;I847),"Check: solid contacts &gt; swings",IF(AND(ISNUMBER(L847),ISNUMBER(K847),L847&gt;K847),"Check: correct &gt; assessed decisions",IF(AND(ISNUMBER(N847),ISNUMBER(M847),N847&gt;M847),"Check: intended &gt; assessed landings",IF(AND(ISNUMBER(J847),I847=""),"Check: solid contacts without swings","OK"))))))</f>
        <v/>
      </c>
    </row>
    <row r="848" customFormat="false" ht="15" hidden="false" customHeight="false" outlineLevel="0" collapsed="false">
      <c r="B848" s="26"/>
      <c r="C848" s="27"/>
      <c r="D848" s="28" t="str">
        <f aca="false">IF(C848="","",IFERROR(INDEX(Players!$C$5:$C$104,MATCH(C848,Players!$B$5:$B$104,0)),"ID not found"))</f>
        <v/>
      </c>
      <c r="E848" s="27"/>
      <c r="F848" s="27"/>
      <c r="G848" s="28" t="str">
        <f aca="false">IF(F848="","",IFERROR(INDEX('Hitting Drills'!$D$6:$D$45,MATCH(F848,'Hitting Drills'!$B$6:$B$45,0)),"Not a hitting drill ID"))</f>
        <v/>
      </c>
      <c r="H848" s="27"/>
      <c r="I848" s="27"/>
      <c r="J848" s="27"/>
      <c r="K848" s="27"/>
      <c r="L848" s="27"/>
      <c r="M848" s="27"/>
      <c r="N848" s="27"/>
      <c r="O848" s="27"/>
      <c r="P848" s="27"/>
      <c r="Q848" s="27"/>
      <c r="R848" s="27"/>
      <c r="S848" s="29" t="str">
        <f aca="false">IF(OR(B848="",C848=""),"",IF(COUNTIFS($B$5:B848,B848,$C$5:C848,C848)=1,1,0))</f>
        <v/>
      </c>
      <c r="T848" s="29" t="str">
        <f aca="false">IF(OR(B848="",C848="",E848=""),"",IF(COUNTIFS($B$5:B848,B848,$C$5:C848,C848,$E$5:E848,E848)=1,1,0))</f>
        <v/>
      </c>
      <c r="U848" s="28" t="str">
        <f aca="false">IF(COUNTA(B848:C848,E848:F848,H848:P848)=0,"",IF(OR(B848="",C848="",E848=""),"Check: date, player, and context required",IF(AND(ISNUMBER(J848),ISNUMBER(I848),J848&gt;I848),"Check: solid contacts &gt; swings",IF(AND(ISNUMBER(L848),ISNUMBER(K848),L848&gt;K848),"Check: correct &gt; assessed decisions",IF(AND(ISNUMBER(N848),ISNUMBER(M848),N848&gt;M848),"Check: intended &gt; assessed landings",IF(AND(ISNUMBER(J848),I848=""),"Check: solid contacts without swings","OK"))))))</f>
        <v/>
      </c>
    </row>
    <row r="849" customFormat="false" ht="15" hidden="false" customHeight="false" outlineLevel="0" collapsed="false">
      <c r="B849" s="26"/>
      <c r="C849" s="27"/>
      <c r="D849" s="28" t="str">
        <f aca="false">IF(C849="","",IFERROR(INDEX(Players!$C$5:$C$104,MATCH(C849,Players!$B$5:$B$104,0)),"ID not found"))</f>
        <v/>
      </c>
      <c r="E849" s="27"/>
      <c r="F849" s="27"/>
      <c r="G849" s="28" t="str">
        <f aca="false">IF(F849="","",IFERROR(INDEX('Hitting Drills'!$D$6:$D$45,MATCH(F849,'Hitting Drills'!$B$6:$B$45,0)),"Not a hitting drill ID"))</f>
        <v/>
      </c>
      <c r="H849" s="27"/>
      <c r="I849" s="27"/>
      <c r="J849" s="27"/>
      <c r="K849" s="27"/>
      <c r="L849" s="27"/>
      <c r="M849" s="27"/>
      <c r="N849" s="27"/>
      <c r="O849" s="27"/>
      <c r="P849" s="27"/>
      <c r="Q849" s="27"/>
      <c r="R849" s="27"/>
      <c r="S849" s="29" t="str">
        <f aca="false">IF(OR(B849="",C849=""),"",IF(COUNTIFS($B$5:B849,B849,$C$5:C849,C849)=1,1,0))</f>
        <v/>
      </c>
      <c r="T849" s="29" t="str">
        <f aca="false">IF(OR(B849="",C849="",E849=""),"",IF(COUNTIFS($B$5:B849,B849,$C$5:C849,C849,$E$5:E849,E849)=1,1,0))</f>
        <v/>
      </c>
      <c r="U849" s="28" t="str">
        <f aca="false">IF(COUNTA(B849:C849,E849:F849,H849:P849)=0,"",IF(OR(B849="",C849="",E849=""),"Check: date, player, and context required",IF(AND(ISNUMBER(J849),ISNUMBER(I849),J849&gt;I849),"Check: solid contacts &gt; swings",IF(AND(ISNUMBER(L849),ISNUMBER(K849),L849&gt;K849),"Check: correct &gt; assessed decisions",IF(AND(ISNUMBER(N849),ISNUMBER(M849),N849&gt;M849),"Check: intended &gt; assessed landings",IF(AND(ISNUMBER(J849),I849=""),"Check: solid contacts without swings","OK"))))))</f>
        <v/>
      </c>
    </row>
    <row r="850" customFormat="false" ht="15" hidden="false" customHeight="false" outlineLevel="0" collapsed="false">
      <c r="B850" s="26"/>
      <c r="C850" s="27"/>
      <c r="D850" s="28" t="str">
        <f aca="false">IF(C850="","",IFERROR(INDEX(Players!$C$5:$C$104,MATCH(C850,Players!$B$5:$B$104,0)),"ID not found"))</f>
        <v/>
      </c>
      <c r="E850" s="27"/>
      <c r="F850" s="27"/>
      <c r="G850" s="28" t="str">
        <f aca="false">IF(F850="","",IFERROR(INDEX('Hitting Drills'!$D$6:$D$45,MATCH(F850,'Hitting Drills'!$B$6:$B$45,0)),"Not a hitting drill ID"))</f>
        <v/>
      </c>
      <c r="H850" s="27"/>
      <c r="I850" s="27"/>
      <c r="J850" s="27"/>
      <c r="K850" s="27"/>
      <c r="L850" s="27"/>
      <c r="M850" s="27"/>
      <c r="N850" s="27"/>
      <c r="O850" s="27"/>
      <c r="P850" s="27"/>
      <c r="Q850" s="27"/>
      <c r="R850" s="27"/>
      <c r="S850" s="29" t="str">
        <f aca="false">IF(OR(B850="",C850=""),"",IF(COUNTIFS($B$5:B850,B850,$C$5:C850,C850)=1,1,0))</f>
        <v/>
      </c>
      <c r="T850" s="29" t="str">
        <f aca="false">IF(OR(B850="",C850="",E850=""),"",IF(COUNTIFS($B$5:B850,B850,$C$5:C850,C850,$E$5:E850,E850)=1,1,0))</f>
        <v/>
      </c>
      <c r="U850" s="28" t="str">
        <f aca="false">IF(COUNTA(B850:C850,E850:F850,H850:P850)=0,"",IF(OR(B850="",C850="",E850=""),"Check: date, player, and context required",IF(AND(ISNUMBER(J850),ISNUMBER(I850),J850&gt;I850),"Check: solid contacts &gt; swings",IF(AND(ISNUMBER(L850),ISNUMBER(K850),L850&gt;K850),"Check: correct &gt; assessed decisions",IF(AND(ISNUMBER(N850),ISNUMBER(M850),N850&gt;M850),"Check: intended &gt; assessed landings",IF(AND(ISNUMBER(J850),I850=""),"Check: solid contacts without swings","OK"))))))</f>
        <v/>
      </c>
    </row>
    <row r="851" customFormat="false" ht="15" hidden="false" customHeight="false" outlineLevel="0" collapsed="false">
      <c r="B851" s="26"/>
      <c r="C851" s="27"/>
      <c r="D851" s="28" t="str">
        <f aca="false">IF(C851="","",IFERROR(INDEX(Players!$C$5:$C$104,MATCH(C851,Players!$B$5:$B$104,0)),"ID not found"))</f>
        <v/>
      </c>
      <c r="E851" s="27"/>
      <c r="F851" s="27"/>
      <c r="G851" s="28" t="str">
        <f aca="false">IF(F851="","",IFERROR(INDEX('Hitting Drills'!$D$6:$D$45,MATCH(F851,'Hitting Drills'!$B$6:$B$45,0)),"Not a hitting drill ID"))</f>
        <v/>
      </c>
      <c r="H851" s="27"/>
      <c r="I851" s="27"/>
      <c r="J851" s="27"/>
      <c r="K851" s="27"/>
      <c r="L851" s="27"/>
      <c r="M851" s="27"/>
      <c r="N851" s="27"/>
      <c r="O851" s="27"/>
      <c r="P851" s="27"/>
      <c r="Q851" s="27"/>
      <c r="R851" s="27"/>
      <c r="S851" s="29" t="str">
        <f aca="false">IF(OR(B851="",C851=""),"",IF(COUNTIFS($B$5:B851,B851,$C$5:C851,C851)=1,1,0))</f>
        <v/>
      </c>
      <c r="T851" s="29" t="str">
        <f aca="false">IF(OR(B851="",C851="",E851=""),"",IF(COUNTIFS($B$5:B851,B851,$C$5:C851,C851,$E$5:E851,E851)=1,1,0))</f>
        <v/>
      </c>
      <c r="U851" s="28" t="str">
        <f aca="false">IF(COUNTA(B851:C851,E851:F851,H851:P851)=0,"",IF(OR(B851="",C851="",E851=""),"Check: date, player, and context required",IF(AND(ISNUMBER(J851),ISNUMBER(I851),J851&gt;I851),"Check: solid contacts &gt; swings",IF(AND(ISNUMBER(L851),ISNUMBER(K851),L851&gt;K851),"Check: correct &gt; assessed decisions",IF(AND(ISNUMBER(N851),ISNUMBER(M851),N851&gt;M851),"Check: intended &gt; assessed landings",IF(AND(ISNUMBER(J851),I851=""),"Check: solid contacts without swings","OK"))))))</f>
        <v/>
      </c>
    </row>
    <row r="852" customFormat="false" ht="15" hidden="false" customHeight="false" outlineLevel="0" collapsed="false">
      <c r="B852" s="26"/>
      <c r="C852" s="27"/>
      <c r="D852" s="28" t="str">
        <f aca="false">IF(C852="","",IFERROR(INDEX(Players!$C$5:$C$104,MATCH(C852,Players!$B$5:$B$104,0)),"ID not found"))</f>
        <v/>
      </c>
      <c r="E852" s="27"/>
      <c r="F852" s="27"/>
      <c r="G852" s="28" t="str">
        <f aca="false">IF(F852="","",IFERROR(INDEX('Hitting Drills'!$D$6:$D$45,MATCH(F852,'Hitting Drills'!$B$6:$B$45,0)),"Not a hitting drill ID"))</f>
        <v/>
      </c>
      <c r="H852" s="27"/>
      <c r="I852" s="27"/>
      <c r="J852" s="27"/>
      <c r="K852" s="27"/>
      <c r="L852" s="27"/>
      <c r="M852" s="27"/>
      <c r="N852" s="27"/>
      <c r="O852" s="27"/>
      <c r="P852" s="27"/>
      <c r="Q852" s="27"/>
      <c r="R852" s="27"/>
      <c r="S852" s="29" t="str">
        <f aca="false">IF(OR(B852="",C852=""),"",IF(COUNTIFS($B$5:B852,B852,$C$5:C852,C852)=1,1,0))</f>
        <v/>
      </c>
      <c r="T852" s="29" t="str">
        <f aca="false">IF(OR(B852="",C852="",E852=""),"",IF(COUNTIFS($B$5:B852,B852,$C$5:C852,C852,$E$5:E852,E852)=1,1,0))</f>
        <v/>
      </c>
      <c r="U852" s="28" t="str">
        <f aca="false">IF(COUNTA(B852:C852,E852:F852,H852:P852)=0,"",IF(OR(B852="",C852="",E852=""),"Check: date, player, and context required",IF(AND(ISNUMBER(J852),ISNUMBER(I852),J852&gt;I852),"Check: solid contacts &gt; swings",IF(AND(ISNUMBER(L852),ISNUMBER(K852),L852&gt;K852),"Check: correct &gt; assessed decisions",IF(AND(ISNUMBER(N852),ISNUMBER(M852),N852&gt;M852),"Check: intended &gt; assessed landings",IF(AND(ISNUMBER(J852),I852=""),"Check: solid contacts without swings","OK"))))))</f>
        <v/>
      </c>
    </row>
    <row r="853" customFormat="false" ht="15" hidden="false" customHeight="false" outlineLevel="0" collapsed="false">
      <c r="B853" s="26"/>
      <c r="C853" s="27"/>
      <c r="D853" s="28" t="str">
        <f aca="false">IF(C853="","",IFERROR(INDEX(Players!$C$5:$C$104,MATCH(C853,Players!$B$5:$B$104,0)),"ID not found"))</f>
        <v/>
      </c>
      <c r="E853" s="27"/>
      <c r="F853" s="27"/>
      <c r="G853" s="28" t="str">
        <f aca="false">IF(F853="","",IFERROR(INDEX('Hitting Drills'!$D$6:$D$45,MATCH(F853,'Hitting Drills'!$B$6:$B$45,0)),"Not a hitting drill ID"))</f>
        <v/>
      </c>
      <c r="H853" s="27"/>
      <c r="I853" s="27"/>
      <c r="J853" s="27"/>
      <c r="K853" s="27"/>
      <c r="L853" s="27"/>
      <c r="M853" s="27"/>
      <c r="N853" s="27"/>
      <c r="O853" s="27"/>
      <c r="P853" s="27"/>
      <c r="Q853" s="27"/>
      <c r="R853" s="27"/>
      <c r="S853" s="29" t="str">
        <f aca="false">IF(OR(B853="",C853=""),"",IF(COUNTIFS($B$5:B853,B853,$C$5:C853,C853)=1,1,0))</f>
        <v/>
      </c>
      <c r="T853" s="29" t="str">
        <f aca="false">IF(OR(B853="",C853="",E853=""),"",IF(COUNTIFS($B$5:B853,B853,$C$5:C853,C853,$E$5:E853,E853)=1,1,0))</f>
        <v/>
      </c>
      <c r="U853" s="28" t="str">
        <f aca="false">IF(COUNTA(B853:C853,E853:F853,H853:P853)=0,"",IF(OR(B853="",C853="",E853=""),"Check: date, player, and context required",IF(AND(ISNUMBER(J853),ISNUMBER(I853),J853&gt;I853),"Check: solid contacts &gt; swings",IF(AND(ISNUMBER(L853),ISNUMBER(K853),L853&gt;K853),"Check: correct &gt; assessed decisions",IF(AND(ISNUMBER(N853),ISNUMBER(M853),N853&gt;M853),"Check: intended &gt; assessed landings",IF(AND(ISNUMBER(J853),I853=""),"Check: solid contacts without swings","OK"))))))</f>
        <v/>
      </c>
    </row>
    <row r="854" customFormat="false" ht="15" hidden="false" customHeight="false" outlineLevel="0" collapsed="false">
      <c r="B854" s="26"/>
      <c r="C854" s="27"/>
      <c r="D854" s="28" t="str">
        <f aca="false">IF(C854="","",IFERROR(INDEX(Players!$C$5:$C$104,MATCH(C854,Players!$B$5:$B$104,0)),"ID not found"))</f>
        <v/>
      </c>
      <c r="E854" s="27"/>
      <c r="F854" s="27"/>
      <c r="G854" s="28" t="str">
        <f aca="false">IF(F854="","",IFERROR(INDEX('Hitting Drills'!$D$6:$D$45,MATCH(F854,'Hitting Drills'!$B$6:$B$45,0)),"Not a hitting drill ID"))</f>
        <v/>
      </c>
      <c r="H854" s="27"/>
      <c r="I854" s="27"/>
      <c r="J854" s="27"/>
      <c r="K854" s="27"/>
      <c r="L854" s="27"/>
      <c r="M854" s="27"/>
      <c r="N854" s="27"/>
      <c r="O854" s="27"/>
      <c r="P854" s="27"/>
      <c r="Q854" s="27"/>
      <c r="R854" s="27"/>
      <c r="S854" s="29" t="str">
        <f aca="false">IF(OR(B854="",C854=""),"",IF(COUNTIFS($B$5:B854,B854,$C$5:C854,C854)=1,1,0))</f>
        <v/>
      </c>
      <c r="T854" s="29" t="str">
        <f aca="false">IF(OR(B854="",C854="",E854=""),"",IF(COUNTIFS($B$5:B854,B854,$C$5:C854,C854,$E$5:E854,E854)=1,1,0))</f>
        <v/>
      </c>
      <c r="U854" s="28" t="str">
        <f aca="false">IF(COUNTA(B854:C854,E854:F854,H854:P854)=0,"",IF(OR(B854="",C854="",E854=""),"Check: date, player, and context required",IF(AND(ISNUMBER(J854),ISNUMBER(I854),J854&gt;I854),"Check: solid contacts &gt; swings",IF(AND(ISNUMBER(L854),ISNUMBER(K854),L854&gt;K854),"Check: correct &gt; assessed decisions",IF(AND(ISNUMBER(N854),ISNUMBER(M854),N854&gt;M854),"Check: intended &gt; assessed landings",IF(AND(ISNUMBER(J854),I854=""),"Check: solid contacts without swings","OK"))))))</f>
        <v/>
      </c>
    </row>
    <row r="855" customFormat="false" ht="15" hidden="false" customHeight="false" outlineLevel="0" collapsed="false">
      <c r="B855" s="26"/>
      <c r="C855" s="27"/>
      <c r="D855" s="28" t="str">
        <f aca="false">IF(C855="","",IFERROR(INDEX(Players!$C$5:$C$104,MATCH(C855,Players!$B$5:$B$104,0)),"ID not found"))</f>
        <v/>
      </c>
      <c r="E855" s="27"/>
      <c r="F855" s="27"/>
      <c r="G855" s="28" t="str">
        <f aca="false">IF(F855="","",IFERROR(INDEX('Hitting Drills'!$D$6:$D$45,MATCH(F855,'Hitting Drills'!$B$6:$B$45,0)),"Not a hitting drill ID"))</f>
        <v/>
      </c>
      <c r="H855" s="27"/>
      <c r="I855" s="27"/>
      <c r="J855" s="27"/>
      <c r="K855" s="27"/>
      <c r="L855" s="27"/>
      <c r="M855" s="27"/>
      <c r="N855" s="27"/>
      <c r="O855" s="27"/>
      <c r="P855" s="27"/>
      <c r="Q855" s="27"/>
      <c r="R855" s="27"/>
      <c r="S855" s="29" t="str">
        <f aca="false">IF(OR(B855="",C855=""),"",IF(COUNTIFS($B$5:B855,B855,$C$5:C855,C855)=1,1,0))</f>
        <v/>
      </c>
      <c r="T855" s="29" t="str">
        <f aca="false">IF(OR(B855="",C855="",E855=""),"",IF(COUNTIFS($B$5:B855,B855,$C$5:C855,C855,$E$5:E855,E855)=1,1,0))</f>
        <v/>
      </c>
      <c r="U855" s="28" t="str">
        <f aca="false">IF(COUNTA(B855:C855,E855:F855,H855:P855)=0,"",IF(OR(B855="",C855="",E855=""),"Check: date, player, and context required",IF(AND(ISNUMBER(J855),ISNUMBER(I855),J855&gt;I855),"Check: solid contacts &gt; swings",IF(AND(ISNUMBER(L855),ISNUMBER(K855),L855&gt;K855),"Check: correct &gt; assessed decisions",IF(AND(ISNUMBER(N855),ISNUMBER(M855),N855&gt;M855),"Check: intended &gt; assessed landings",IF(AND(ISNUMBER(J855),I855=""),"Check: solid contacts without swings","OK"))))))</f>
        <v/>
      </c>
    </row>
    <row r="856" customFormat="false" ht="15" hidden="false" customHeight="false" outlineLevel="0" collapsed="false">
      <c r="B856" s="26"/>
      <c r="C856" s="27"/>
      <c r="D856" s="28" t="str">
        <f aca="false">IF(C856="","",IFERROR(INDEX(Players!$C$5:$C$104,MATCH(C856,Players!$B$5:$B$104,0)),"ID not found"))</f>
        <v/>
      </c>
      <c r="E856" s="27"/>
      <c r="F856" s="27"/>
      <c r="G856" s="28" t="str">
        <f aca="false">IF(F856="","",IFERROR(INDEX('Hitting Drills'!$D$6:$D$45,MATCH(F856,'Hitting Drills'!$B$6:$B$45,0)),"Not a hitting drill ID"))</f>
        <v/>
      </c>
      <c r="H856" s="27"/>
      <c r="I856" s="27"/>
      <c r="J856" s="27"/>
      <c r="K856" s="27"/>
      <c r="L856" s="27"/>
      <c r="M856" s="27"/>
      <c r="N856" s="27"/>
      <c r="O856" s="27"/>
      <c r="P856" s="27"/>
      <c r="Q856" s="27"/>
      <c r="R856" s="27"/>
      <c r="S856" s="29" t="str">
        <f aca="false">IF(OR(B856="",C856=""),"",IF(COUNTIFS($B$5:B856,B856,$C$5:C856,C856)=1,1,0))</f>
        <v/>
      </c>
      <c r="T856" s="29" t="str">
        <f aca="false">IF(OR(B856="",C856="",E856=""),"",IF(COUNTIFS($B$5:B856,B856,$C$5:C856,C856,$E$5:E856,E856)=1,1,0))</f>
        <v/>
      </c>
      <c r="U856" s="28" t="str">
        <f aca="false">IF(COUNTA(B856:C856,E856:F856,H856:P856)=0,"",IF(OR(B856="",C856="",E856=""),"Check: date, player, and context required",IF(AND(ISNUMBER(J856),ISNUMBER(I856),J856&gt;I856),"Check: solid contacts &gt; swings",IF(AND(ISNUMBER(L856),ISNUMBER(K856),L856&gt;K856),"Check: correct &gt; assessed decisions",IF(AND(ISNUMBER(N856),ISNUMBER(M856),N856&gt;M856),"Check: intended &gt; assessed landings",IF(AND(ISNUMBER(J856),I856=""),"Check: solid contacts without swings","OK"))))))</f>
        <v/>
      </c>
    </row>
    <row r="857" customFormat="false" ht="15" hidden="false" customHeight="false" outlineLevel="0" collapsed="false">
      <c r="B857" s="26"/>
      <c r="C857" s="27"/>
      <c r="D857" s="28" t="str">
        <f aca="false">IF(C857="","",IFERROR(INDEX(Players!$C$5:$C$104,MATCH(C857,Players!$B$5:$B$104,0)),"ID not found"))</f>
        <v/>
      </c>
      <c r="E857" s="27"/>
      <c r="F857" s="27"/>
      <c r="G857" s="28" t="str">
        <f aca="false">IF(F857="","",IFERROR(INDEX('Hitting Drills'!$D$6:$D$45,MATCH(F857,'Hitting Drills'!$B$6:$B$45,0)),"Not a hitting drill ID"))</f>
        <v/>
      </c>
      <c r="H857" s="27"/>
      <c r="I857" s="27"/>
      <c r="J857" s="27"/>
      <c r="K857" s="27"/>
      <c r="L857" s="27"/>
      <c r="M857" s="27"/>
      <c r="N857" s="27"/>
      <c r="O857" s="27"/>
      <c r="P857" s="27"/>
      <c r="Q857" s="27"/>
      <c r="R857" s="27"/>
      <c r="S857" s="29" t="str">
        <f aca="false">IF(OR(B857="",C857=""),"",IF(COUNTIFS($B$5:B857,B857,$C$5:C857,C857)=1,1,0))</f>
        <v/>
      </c>
      <c r="T857" s="29" t="str">
        <f aca="false">IF(OR(B857="",C857="",E857=""),"",IF(COUNTIFS($B$5:B857,B857,$C$5:C857,C857,$E$5:E857,E857)=1,1,0))</f>
        <v/>
      </c>
      <c r="U857" s="28" t="str">
        <f aca="false">IF(COUNTA(B857:C857,E857:F857,H857:P857)=0,"",IF(OR(B857="",C857="",E857=""),"Check: date, player, and context required",IF(AND(ISNUMBER(J857),ISNUMBER(I857),J857&gt;I857),"Check: solid contacts &gt; swings",IF(AND(ISNUMBER(L857),ISNUMBER(K857),L857&gt;K857),"Check: correct &gt; assessed decisions",IF(AND(ISNUMBER(N857),ISNUMBER(M857),N857&gt;M857),"Check: intended &gt; assessed landings",IF(AND(ISNUMBER(J857),I857=""),"Check: solid contacts without swings","OK"))))))</f>
        <v/>
      </c>
    </row>
    <row r="858" customFormat="false" ht="15" hidden="false" customHeight="false" outlineLevel="0" collapsed="false">
      <c r="B858" s="26"/>
      <c r="C858" s="27"/>
      <c r="D858" s="28" t="str">
        <f aca="false">IF(C858="","",IFERROR(INDEX(Players!$C$5:$C$104,MATCH(C858,Players!$B$5:$B$104,0)),"ID not found"))</f>
        <v/>
      </c>
      <c r="E858" s="27"/>
      <c r="F858" s="27"/>
      <c r="G858" s="28" t="str">
        <f aca="false">IF(F858="","",IFERROR(INDEX('Hitting Drills'!$D$6:$D$45,MATCH(F858,'Hitting Drills'!$B$6:$B$45,0)),"Not a hitting drill ID"))</f>
        <v/>
      </c>
      <c r="H858" s="27"/>
      <c r="I858" s="27"/>
      <c r="J858" s="27"/>
      <c r="K858" s="27"/>
      <c r="L858" s="27"/>
      <c r="M858" s="27"/>
      <c r="N858" s="27"/>
      <c r="O858" s="27"/>
      <c r="P858" s="27"/>
      <c r="Q858" s="27"/>
      <c r="R858" s="27"/>
      <c r="S858" s="29" t="str">
        <f aca="false">IF(OR(B858="",C858=""),"",IF(COUNTIFS($B$5:B858,B858,$C$5:C858,C858)=1,1,0))</f>
        <v/>
      </c>
      <c r="T858" s="29" t="str">
        <f aca="false">IF(OR(B858="",C858="",E858=""),"",IF(COUNTIFS($B$5:B858,B858,$C$5:C858,C858,$E$5:E858,E858)=1,1,0))</f>
        <v/>
      </c>
      <c r="U858" s="28" t="str">
        <f aca="false">IF(COUNTA(B858:C858,E858:F858,H858:P858)=0,"",IF(OR(B858="",C858="",E858=""),"Check: date, player, and context required",IF(AND(ISNUMBER(J858),ISNUMBER(I858),J858&gt;I858),"Check: solid contacts &gt; swings",IF(AND(ISNUMBER(L858),ISNUMBER(K858),L858&gt;K858),"Check: correct &gt; assessed decisions",IF(AND(ISNUMBER(N858),ISNUMBER(M858),N858&gt;M858),"Check: intended &gt; assessed landings",IF(AND(ISNUMBER(J858),I858=""),"Check: solid contacts without swings","OK"))))))</f>
        <v/>
      </c>
    </row>
    <row r="859" customFormat="false" ht="15" hidden="false" customHeight="false" outlineLevel="0" collapsed="false">
      <c r="B859" s="26"/>
      <c r="C859" s="27"/>
      <c r="D859" s="28" t="str">
        <f aca="false">IF(C859="","",IFERROR(INDEX(Players!$C$5:$C$104,MATCH(C859,Players!$B$5:$B$104,0)),"ID not found"))</f>
        <v/>
      </c>
      <c r="E859" s="27"/>
      <c r="F859" s="27"/>
      <c r="G859" s="28" t="str">
        <f aca="false">IF(F859="","",IFERROR(INDEX('Hitting Drills'!$D$6:$D$45,MATCH(F859,'Hitting Drills'!$B$6:$B$45,0)),"Not a hitting drill ID"))</f>
        <v/>
      </c>
      <c r="H859" s="27"/>
      <c r="I859" s="27"/>
      <c r="J859" s="27"/>
      <c r="K859" s="27"/>
      <c r="L859" s="27"/>
      <c r="M859" s="27"/>
      <c r="N859" s="27"/>
      <c r="O859" s="27"/>
      <c r="P859" s="27"/>
      <c r="Q859" s="27"/>
      <c r="R859" s="27"/>
      <c r="S859" s="29" t="str">
        <f aca="false">IF(OR(B859="",C859=""),"",IF(COUNTIFS($B$5:B859,B859,$C$5:C859,C859)=1,1,0))</f>
        <v/>
      </c>
      <c r="T859" s="29" t="str">
        <f aca="false">IF(OR(B859="",C859="",E859=""),"",IF(COUNTIFS($B$5:B859,B859,$C$5:C859,C859,$E$5:E859,E859)=1,1,0))</f>
        <v/>
      </c>
      <c r="U859" s="28" t="str">
        <f aca="false">IF(COUNTA(B859:C859,E859:F859,H859:P859)=0,"",IF(OR(B859="",C859="",E859=""),"Check: date, player, and context required",IF(AND(ISNUMBER(J859),ISNUMBER(I859),J859&gt;I859),"Check: solid contacts &gt; swings",IF(AND(ISNUMBER(L859),ISNUMBER(K859),L859&gt;K859),"Check: correct &gt; assessed decisions",IF(AND(ISNUMBER(N859),ISNUMBER(M859),N859&gt;M859),"Check: intended &gt; assessed landings",IF(AND(ISNUMBER(J859),I859=""),"Check: solid contacts without swings","OK"))))))</f>
        <v/>
      </c>
    </row>
    <row r="860" customFormat="false" ht="15" hidden="false" customHeight="false" outlineLevel="0" collapsed="false">
      <c r="B860" s="26"/>
      <c r="C860" s="27"/>
      <c r="D860" s="28" t="str">
        <f aca="false">IF(C860="","",IFERROR(INDEX(Players!$C$5:$C$104,MATCH(C860,Players!$B$5:$B$104,0)),"ID not found"))</f>
        <v/>
      </c>
      <c r="E860" s="27"/>
      <c r="F860" s="27"/>
      <c r="G860" s="28" t="str">
        <f aca="false">IF(F860="","",IFERROR(INDEX('Hitting Drills'!$D$6:$D$45,MATCH(F860,'Hitting Drills'!$B$6:$B$45,0)),"Not a hitting drill ID"))</f>
        <v/>
      </c>
      <c r="H860" s="27"/>
      <c r="I860" s="27"/>
      <c r="J860" s="27"/>
      <c r="K860" s="27"/>
      <c r="L860" s="27"/>
      <c r="M860" s="27"/>
      <c r="N860" s="27"/>
      <c r="O860" s="27"/>
      <c r="P860" s="27"/>
      <c r="Q860" s="27"/>
      <c r="R860" s="27"/>
      <c r="S860" s="29" t="str">
        <f aca="false">IF(OR(B860="",C860=""),"",IF(COUNTIFS($B$5:B860,B860,$C$5:C860,C860)=1,1,0))</f>
        <v/>
      </c>
      <c r="T860" s="29" t="str">
        <f aca="false">IF(OR(B860="",C860="",E860=""),"",IF(COUNTIFS($B$5:B860,B860,$C$5:C860,C860,$E$5:E860,E860)=1,1,0))</f>
        <v/>
      </c>
      <c r="U860" s="28" t="str">
        <f aca="false">IF(COUNTA(B860:C860,E860:F860,H860:P860)=0,"",IF(OR(B860="",C860="",E860=""),"Check: date, player, and context required",IF(AND(ISNUMBER(J860),ISNUMBER(I860),J860&gt;I860),"Check: solid contacts &gt; swings",IF(AND(ISNUMBER(L860),ISNUMBER(K860),L860&gt;K860),"Check: correct &gt; assessed decisions",IF(AND(ISNUMBER(N860),ISNUMBER(M860),N860&gt;M860),"Check: intended &gt; assessed landings",IF(AND(ISNUMBER(J860),I860=""),"Check: solid contacts without swings","OK"))))))</f>
        <v/>
      </c>
    </row>
    <row r="861" customFormat="false" ht="15" hidden="false" customHeight="false" outlineLevel="0" collapsed="false">
      <c r="B861" s="26"/>
      <c r="C861" s="27"/>
      <c r="D861" s="28" t="str">
        <f aca="false">IF(C861="","",IFERROR(INDEX(Players!$C$5:$C$104,MATCH(C861,Players!$B$5:$B$104,0)),"ID not found"))</f>
        <v/>
      </c>
      <c r="E861" s="27"/>
      <c r="F861" s="27"/>
      <c r="G861" s="28" t="str">
        <f aca="false">IF(F861="","",IFERROR(INDEX('Hitting Drills'!$D$6:$D$45,MATCH(F861,'Hitting Drills'!$B$6:$B$45,0)),"Not a hitting drill ID"))</f>
        <v/>
      </c>
      <c r="H861" s="27"/>
      <c r="I861" s="27"/>
      <c r="J861" s="27"/>
      <c r="K861" s="27"/>
      <c r="L861" s="27"/>
      <c r="M861" s="27"/>
      <c r="N861" s="27"/>
      <c r="O861" s="27"/>
      <c r="P861" s="27"/>
      <c r="Q861" s="27"/>
      <c r="R861" s="27"/>
      <c r="S861" s="29" t="str">
        <f aca="false">IF(OR(B861="",C861=""),"",IF(COUNTIFS($B$5:B861,B861,$C$5:C861,C861)=1,1,0))</f>
        <v/>
      </c>
      <c r="T861" s="29" t="str">
        <f aca="false">IF(OR(B861="",C861="",E861=""),"",IF(COUNTIFS($B$5:B861,B861,$C$5:C861,C861,$E$5:E861,E861)=1,1,0))</f>
        <v/>
      </c>
      <c r="U861" s="28" t="str">
        <f aca="false">IF(COUNTA(B861:C861,E861:F861,H861:P861)=0,"",IF(OR(B861="",C861="",E861=""),"Check: date, player, and context required",IF(AND(ISNUMBER(J861),ISNUMBER(I861),J861&gt;I861),"Check: solid contacts &gt; swings",IF(AND(ISNUMBER(L861),ISNUMBER(K861),L861&gt;K861),"Check: correct &gt; assessed decisions",IF(AND(ISNUMBER(N861),ISNUMBER(M861),N861&gt;M861),"Check: intended &gt; assessed landings",IF(AND(ISNUMBER(J861),I861=""),"Check: solid contacts without swings","OK"))))))</f>
        <v/>
      </c>
    </row>
    <row r="862" customFormat="false" ht="15" hidden="false" customHeight="false" outlineLevel="0" collapsed="false">
      <c r="B862" s="26"/>
      <c r="C862" s="27"/>
      <c r="D862" s="28" t="str">
        <f aca="false">IF(C862="","",IFERROR(INDEX(Players!$C$5:$C$104,MATCH(C862,Players!$B$5:$B$104,0)),"ID not found"))</f>
        <v/>
      </c>
      <c r="E862" s="27"/>
      <c r="F862" s="27"/>
      <c r="G862" s="28" t="str">
        <f aca="false">IF(F862="","",IFERROR(INDEX('Hitting Drills'!$D$6:$D$45,MATCH(F862,'Hitting Drills'!$B$6:$B$45,0)),"Not a hitting drill ID"))</f>
        <v/>
      </c>
      <c r="H862" s="27"/>
      <c r="I862" s="27"/>
      <c r="J862" s="27"/>
      <c r="K862" s="27"/>
      <c r="L862" s="27"/>
      <c r="M862" s="27"/>
      <c r="N862" s="27"/>
      <c r="O862" s="27"/>
      <c r="P862" s="27"/>
      <c r="Q862" s="27"/>
      <c r="R862" s="27"/>
      <c r="S862" s="29" t="str">
        <f aca="false">IF(OR(B862="",C862=""),"",IF(COUNTIFS($B$5:B862,B862,$C$5:C862,C862)=1,1,0))</f>
        <v/>
      </c>
      <c r="T862" s="29" t="str">
        <f aca="false">IF(OR(B862="",C862="",E862=""),"",IF(COUNTIFS($B$5:B862,B862,$C$5:C862,C862,$E$5:E862,E862)=1,1,0))</f>
        <v/>
      </c>
      <c r="U862" s="28" t="str">
        <f aca="false">IF(COUNTA(B862:C862,E862:F862,H862:P862)=0,"",IF(OR(B862="",C862="",E862=""),"Check: date, player, and context required",IF(AND(ISNUMBER(J862),ISNUMBER(I862),J862&gt;I862),"Check: solid contacts &gt; swings",IF(AND(ISNUMBER(L862),ISNUMBER(K862),L862&gt;K862),"Check: correct &gt; assessed decisions",IF(AND(ISNUMBER(N862),ISNUMBER(M862),N862&gt;M862),"Check: intended &gt; assessed landings",IF(AND(ISNUMBER(J862),I862=""),"Check: solid contacts without swings","OK"))))))</f>
        <v/>
      </c>
    </row>
    <row r="863" customFormat="false" ht="15" hidden="false" customHeight="false" outlineLevel="0" collapsed="false">
      <c r="B863" s="26"/>
      <c r="C863" s="27"/>
      <c r="D863" s="28" t="str">
        <f aca="false">IF(C863="","",IFERROR(INDEX(Players!$C$5:$C$104,MATCH(C863,Players!$B$5:$B$104,0)),"ID not found"))</f>
        <v/>
      </c>
      <c r="E863" s="27"/>
      <c r="F863" s="27"/>
      <c r="G863" s="28" t="str">
        <f aca="false">IF(F863="","",IFERROR(INDEX('Hitting Drills'!$D$6:$D$45,MATCH(F863,'Hitting Drills'!$B$6:$B$45,0)),"Not a hitting drill ID"))</f>
        <v/>
      </c>
      <c r="H863" s="27"/>
      <c r="I863" s="27"/>
      <c r="J863" s="27"/>
      <c r="K863" s="27"/>
      <c r="L863" s="27"/>
      <c r="M863" s="27"/>
      <c r="N863" s="27"/>
      <c r="O863" s="27"/>
      <c r="P863" s="27"/>
      <c r="Q863" s="27"/>
      <c r="R863" s="27"/>
      <c r="S863" s="29" t="str">
        <f aca="false">IF(OR(B863="",C863=""),"",IF(COUNTIFS($B$5:B863,B863,$C$5:C863,C863)=1,1,0))</f>
        <v/>
      </c>
      <c r="T863" s="29" t="str">
        <f aca="false">IF(OR(B863="",C863="",E863=""),"",IF(COUNTIFS($B$5:B863,B863,$C$5:C863,C863,$E$5:E863,E863)=1,1,0))</f>
        <v/>
      </c>
      <c r="U863" s="28" t="str">
        <f aca="false">IF(COUNTA(B863:C863,E863:F863,H863:P863)=0,"",IF(OR(B863="",C863="",E863=""),"Check: date, player, and context required",IF(AND(ISNUMBER(J863),ISNUMBER(I863),J863&gt;I863),"Check: solid contacts &gt; swings",IF(AND(ISNUMBER(L863),ISNUMBER(K863),L863&gt;K863),"Check: correct &gt; assessed decisions",IF(AND(ISNUMBER(N863),ISNUMBER(M863),N863&gt;M863),"Check: intended &gt; assessed landings",IF(AND(ISNUMBER(J863),I863=""),"Check: solid contacts without swings","OK"))))))</f>
        <v/>
      </c>
    </row>
    <row r="864" customFormat="false" ht="15" hidden="false" customHeight="false" outlineLevel="0" collapsed="false">
      <c r="B864" s="26"/>
      <c r="C864" s="27"/>
      <c r="D864" s="28" t="str">
        <f aca="false">IF(C864="","",IFERROR(INDEX(Players!$C$5:$C$104,MATCH(C864,Players!$B$5:$B$104,0)),"ID not found"))</f>
        <v/>
      </c>
      <c r="E864" s="27"/>
      <c r="F864" s="27"/>
      <c r="G864" s="28" t="str">
        <f aca="false">IF(F864="","",IFERROR(INDEX('Hitting Drills'!$D$6:$D$45,MATCH(F864,'Hitting Drills'!$B$6:$B$45,0)),"Not a hitting drill ID"))</f>
        <v/>
      </c>
      <c r="H864" s="27"/>
      <c r="I864" s="27"/>
      <c r="J864" s="27"/>
      <c r="K864" s="27"/>
      <c r="L864" s="27"/>
      <c r="M864" s="27"/>
      <c r="N864" s="27"/>
      <c r="O864" s="27"/>
      <c r="P864" s="27"/>
      <c r="Q864" s="27"/>
      <c r="R864" s="27"/>
      <c r="S864" s="29" t="str">
        <f aca="false">IF(OR(B864="",C864=""),"",IF(COUNTIFS($B$5:B864,B864,$C$5:C864,C864)=1,1,0))</f>
        <v/>
      </c>
      <c r="T864" s="29" t="str">
        <f aca="false">IF(OR(B864="",C864="",E864=""),"",IF(COUNTIFS($B$5:B864,B864,$C$5:C864,C864,$E$5:E864,E864)=1,1,0))</f>
        <v/>
      </c>
      <c r="U864" s="28" t="str">
        <f aca="false">IF(COUNTA(B864:C864,E864:F864,H864:P864)=0,"",IF(OR(B864="",C864="",E864=""),"Check: date, player, and context required",IF(AND(ISNUMBER(J864),ISNUMBER(I864),J864&gt;I864),"Check: solid contacts &gt; swings",IF(AND(ISNUMBER(L864),ISNUMBER(K864),L864&gt;K864),"Check: correct &gt; assessed decisions",IF(AND(ISNUMBER(N864),ISNUMBER(M864),N864&gt;M864),"Check: intended &gt; assessed landings",IF(AND(ISNUMBER(J864),I864=""),"Check: solid contacts without swings","OK"))))))</f>
        <v/>
      </c>
    </row>
    <row r="865" customFormat="false" ht="15" hidden="false" customHeight="false" outlineLevel="0" collapsed="false">
      <c r="B865" s="26"/>
      <c r="C865" s="27"/>
      <c r="D865" s="28" t="str">
        <f aca="false">IF(C865="","",IFERROR(INDEX(Players!$C$5:$C$104,MATCH(C865,Players!$B$5:$B$104,0)),"ID not found"))</f>
        <v/>
      </c>
      <c r="E865" s="27"/>
      <c r="F865" s="27"/>
      <c r="G865" s="28" t="str">
        <f aca="false">IF(F865="","",IFERROR(INDEX('Hitting Drills'!$D$6:$D$45,MATCH(F865,'Hitting Drills'!$B$6:$B$45,0)),"Not a hitting drill ID"))</f>
        <v/>
      </c>
      <c r="H865" s="27"/>
      <c r="I865" s="27"/>
      <c r="J865" s="27"/>
      <c r="K865" s="27"/>
      <c r="L865" s="27"/>
      <c r="M865" s="27"/>
      <c r="N865" s="27"/>
      <c r="O865" s="27"/>
      <c r="P865" s="27"/>
      <c r="Q865" s="27"/>
      <c r="R865" s="27"/>
      <c r="S865" s="29" t="str">
        <f aca="false">IF(OR(B865="",C865=""),"",IF(COUNTIFS($B$5:B865,B865,$C$5:C865,C865)=1,1,0))</f>
        <v/>
      </c>
      <c r="T865" s="29" t="str">
        <f aca="false">IF(OR(B865="",C865="",E865=""),"",IF(COUNTIFS($B$5:B865,B865,$C$5:C865,C865,$E$5:E865,E865)=1,1,0))</f>
        <v/>
      </c>
      <c r="U865" s="28" t="str">
        <f aca="false">IF(COUNTA(B865:C865,E865:F865,H865:P865)=0,"",IF(OR(B865="",C865="",E865=""),"Check: date, player, and context required",IF(AND(ISNUMBER(J865),ISNUMBER(I865),J865&gt;I865),"Check: solid contacts &gt; swings",IF(AND(ISNUMBER(L865),ISNUMBER(K865),L865&gt;K865),"Check: correct &gt; assessed decisions",IF(AND(ISNUMBER(N865),ISNUMBER(M865),N865&gt;M865),"Check: intended &gt; assessed landings",IF(AND(ISNUMBER(J865),I865=""),"Check: solid contacts without swings","OK"))))))</f>
        <v/>
      </c>
    </row>
    <row r="866" customFormat="false" ht="15" hidden="false" customHeight="false" outlineLevel="0" collapsed="false">
      <c r="B866" s="26"/>
      <c r="C866" s="27"/>
      <c r="D866" s="28" t="str">
        <f aca="false">IF(C866="","",IFERROR(INDEX(Players!$C$5:$C$104,MATCH(C866,Players!$B$5:$B$104,0)),"ID not found"))</f>
        <v/>
      </c>
      <c r="E866" s="27"/>
      <c r="F866" s="27"/>
      <c r="G866" s="28" t="str">
        <f aca="false">IF(F866="","",IFERROR(INDEX('Hitting Drills'!$D$6:$D$45,MATCH(F866,'Hitting Drills'!$B$6:$B$45,0)),"Not a hitting drill ID"))</f>
        <v/>
      </c>
      <c r="H866" s="27"/>
      <c r="I866" s="27"/>
      <c r="J866" s="27"/>
      <c r="K866" s="27"/>
      <c r="L866" s="27"/>
      <c r="M866" s="27"/>
      <c r="N866" s="27"/>
      <c r="O866" s="27"/>
      <c r="P866" s="27"/>
      <c r="Q866" s="27"/>
      <c r="R866" s="27"/>
      <c r="S866" s="29" t="str">
        <f aca="false">IF(OR(B866="",C866=""),"",IF(COUNTIFS($B$5:B866,B866,$C$5:C866,C866)=1,1,0))</f>
        <v/>
      </c>
      <c r="T866" s="29" t="str">
        <f aca="false">IF(OR(B866="",C866="",E866=""),"",IF(COUNTIFS($B$5:B866,B866,$C$5:C866,C866,$E$5:E866,E866)=1,1,0))</f>
        <v/>
      </c>
      <c r="U866" s="28" t="str">
        <f aca="false">IF(COUNTA(B866:C866,E866:F866,H866:P866)=0,"",IF(OR(B866="",C866="",E866=""),"Check: date, player, and context required",IF(AND(ISNUMBER(J866),ISNUMBER(I866),J866&gt;I866),"Check: solid contacts &gt; swings",IF(AND(ISNUMBER(L866),ISNUMBER(K866),L866&gt;K866),"Check: correct &gt; assessed decisions",IF(AND(ISNUMBER(N866),ISNUMBER(M866),N866&gt;M866),"Check: intended &gt; assessed landings",IF(AND(ISNUMBER(J866),I866=""),"Check: solid contacts without swings","OK"))))))</f>
        <v/>
      </c>
    </row>
    <row r="867" customFormat="false" ht="15" hidden="false" customHeight="false" outlineLevel="0" collapsed="false">
      <c r="B867" s="26"/>
      <c r="C867" s="27"/>
      <c r="D867" s="28" t="str">
        <f aca="false">IF(C867="","",IFERROR(INDEX(Players!$C$5:$C$104,MATCH(C867,Players!$B$5:$B$104,0)),"ID not found"))</f>
        <v/>
      </c>
      <c r="E867" s="27"/>
      <c r="F867" s="27"/>
      <c r="G867" s="28" t="str">
        <f aca="false">IF(F867="","",IFERROR(INDEX('Hitting Drills'!$D$6:$D$45,MATCH(F867,'Hitting Drills'!$B$6:$B$45,0)),"Not a hitting drill ID"))</f>
        <v/>
      </c>
      <c r="H867" s="27"/>
      <c r="I867" s="27"/>
      <c r="J867" s="27"/>
      <c r="K867" s="27"/>
      <c r="L867" s="27"/>
      <c r="M867" s="27"/>
      <c r="N867" s="27"/>
      <c r="O867" s="27"/>
      <c r="P867" s="27"/>
      <c r="Q867" s="27"/>
      <c r="R867" s="27"/>
      <c r="S867" s="29" t="str">
        <f aca="false">IF(OR(B867="",C867=""),"",IF(COUNTIFS($B$5:B867,B867,$C$5:C867,C867)=1,1,0))</f>
        <v/>
      </c>
      <c r="T867" s="29" t="str">
        <f aca="false">IF(OR(B867="",C867="",E867=""),"",IF(COUNTIFS($B$5:B867,B867,$C$5:C867,C867,$E$5:E867,E867)=1,1,0))</f>
        <v/>
      </c>
      <c r="U867" s="28" t="str">
        <f aca="false">IF(COUNTA(B867:C867,E867:F867,H867:P867)=0,"",IF(OR(B867="",C867="",E867=""),"Check: date, player, and context required",IF(AND(ISNUMBER(J867),ISNUMBER(I867),J867&gt;I867),"Check: solid contacts &gt; swings",IF(AND(ISNUMBER(L867),ISNUMBER(K867),L867&gt;K867),"Check: correct &gt; assessed decisions",IF(AND(ISNUMBER(N867),ISNUMBER(M867),N867&gt;M867),"Check: intended &gt; assessed landings",IF(AND(ISNUMBER(J867),I867=""),"Check: solid contacts without swings","OK"))))))</f>
        <v/>
      </c>
    </row>
    <row r="868" customFormat="false" ht="15" hidden="false" customHeight="false" outlineLevel="0" collapsed="false">
      <c r="B868" s="26"/>
      <c r="C868" s="27"/>
      <c r="D868" s="28" t="str">
        <f aca="false">IF(C868="","",IFERROR(INDEX(Players!$C$5:$C$104,MATCH(C868,Players!$B$5:$B$104,0)),"ID not found"))</f>
        <v/>
      </c>
      <c r="E868" s="27"/>
      <c r="F868" s="27"/>
      <c r="G868" s="28" t="str">
        <f aca="false">IF(F868="","",IFERROR(INDEX('Hitting Drills'!$D$6:$D$45,MATCH(F868,'Hitting Drills'!$B$6:$B$45,0)),"Not a hitting drill ID"))</f>
        <v/>
      </c>
      <c r="H868" s="27"/>
      <c r="I868" s="27"/>
      <c r="J868" s="27"/>
      <c r="K868" s="27"/>
      <c r="L868" s="27"/>
      <c r="M868" s="27"/>
      <c r="N868" s="27"/>
      <c r="O868" s="27"/>
      <c r="P868" s="27"/>
      <c r="Q868" s="27"/>
      <c r="R868" s="27"/>
      <c r="S868" s="29" t="str">
        <f aca="false">IF(OR(B868="",C868=""),"",IF(COUNTIFS($B$5:B868,B868,$C$5:C868,C868)=1,1,0))</f>
        <v/>
      </c>
      <c r="T868" s="29" t="str">
        <f aca="false">IF(OR(B868="",C868="",E868=""),"",IF(COUNTIFS($B$5:B868,B868,$C$5:C868,C868,$E$5:E868,E868)=1,1,0))</f>
        <v/>
      </c>
      <c r="U868" s="28" t="str">
        <f aca="false">IF(COUNTA(B868:C868,E868:F868,H868:P868)=0,"",IF(OR(B868="",C868="",E868=""),"Check: date, player, and context required",IF(AND(ISNUMBER(J868),ISNUMBER(I868),J868&gt;I868),"Check: solid contacts &gt; swings",IF(AND(ISNUMBER(L868),ISNUMBER(K868),L868&gt;K868),"Check: correct &gt; assessed decisions",IF(AND(ISNUMBER(N868),ISNUMBER(M868),N868&gt;M868),"Check: intended &gt; assessed landings",IF(AND(ISNUMBER(J868),I868=""),"Check: solid contacts without swings","OK"))))))</f>
        <v/>
      </c>
    </row>
    <row r="869" customFormat="false" ht="15" hidden="false" customHeight="false" outlineLevel="0" collapsed="false">
      <c r="B869" s="26"/>
      <c r="C869" s="27"/>
      <c r="D869" s="28" t="str">
        <f aca="false">IF(C869="","",IFERROR(INDEX(Players!$C$5:$C$104,MATCH(C869,Players!$B$5:$B$104,0)),"ID not found"))</f>
        <v/>
      </c>
      <c r="E869" s="27"/>
      <c r="F869" s="27"/>
      <c r="G869" s="28" t="str">
        <f aca="false">IF(F869="","",IFERROR(INDEX('Hitting Drills'!$D$6:$D$45,MATCH(F869,'Hitting Drills'!$B$6:$B$45,0)),"Not a hitting drill ID"))</f>
        <v/>
      </c>
      <c r="H869" s="27"/>
      <c r="I869" s="27"/>
      <c r="J869" s="27"/>
      <c r="K869" s="27"/>
      <c r="L869" s="27"/>
      <c r="M869" s="27"/>
      <c r="N869" s="27"/>
      <c r="O869" s="27"/>
      <c r="P869" s="27"/>
      <c r="Q869" s="27"/>
      <c r="R869" s="27"/>
      <c r="S869" s="29" t="str">
        <f aca="false">IF(OR(B869="",C869=""),"",IF(COUNTIFS($B$5:B869,B869,$C$5:C869,C869)=1,1,0))</f>
        <v/>
      </c>
      <c r="T869" s="29" t="str">
        <f aca="false">IF(OR(B869="",C869="",E869=""),"",IF(COUNTIFS($B$5:B869,B869,$C$5:C869,C869,$E$5:E869,E869)=1,1,0))</f>
        <v/>
      </c>
      <c r="U869" s="28" t="str">
        <f aca="false">IF(COUNTA(B869:C869,E869:F869,H869:P869)=0,"",IF(OR(B869="",C869="",E869=""),"Check: date, player, and context required",IF(AND(ISNUMBER(J869),ISNUMBER(I869),J869&gt;I869),"Check: solid contacts &gt; swings",IF(AND(ISNUMBER(L869),ISNUMBER(K869),L869&gt;K869),"Check: correct &gt; assessed decisions",IF(AND(ISNUMBER(N869),ISNUMBER(M869),N869&gt;M869),"Check: intended &gt; assessed landings",IF(AND(ISNUMBER(J869),I869=""),"Check: solid contacts without swings","OK"))))))</f>
        <v/>
      </c>
    </row>
    <row r="870" customFormat="false" ht="15" hidden="false" customHeight="false" outlineLevel="0" collapsed="false">
      <c r="B870" s="26"/>
      <c r="C870" s="27"/>
      <c r="D870" s="28" t="str">
        <f aca="false">IF(C870="","",IFERROR(INDEX(Players!$C$5:$C$104,MATCH(C870,Players!$B$5:$B$104,0)),"ID not found"))</f>
        <v/>
      </c>
      <c r="E870" s="27"/>
      <c r="F870" s="27"/>
      <c r="G870" s="28" t="str">
        <f aca="false">IF(F870="","",IFERROR(INDEX('Hitting Drills'!$D$6:$D$45,MATCH(F870,'Hitting Drills'!$B$6:$B$45,0)),"Not a hitting drill ID"))</f>
        <v/>
      </c>
      <c r="H870" s="27"/>
      <c r="I870" s="27"/>
      <c r="J870" s="27"/>
      <c r="K870" s="27"/>
      <c r="L870" s="27"/>
      <c r="M870" s="27"/>
      <c r="N870" s="27"/>
      <c r="O870" s="27"/>
      <c r="P870" s="27"/>
      <c r="Q870" s="27"/>
      <c r="R870" s="27"/>
      <c r="S870" s="29" t="str">
        <f aca="false">IF(OR(B870="",C870=""),"",IF(COUNTIFS($B$5:B870,B870,$C$5:C870,C870)=1,1,0))</f>
        <v/>
      </c>
      <c r="T870" s="29" t="str">
        <f aca="false">IF(OR(B870="",C870="",E870=""),"",IF(COUNTIFS($B$5:B870,B870,$C$5:C870,C870,$E$5:E870,E870)=1,1,0))</f>
        <v/>
      </c>
      <c r="U870" s="28" t="str">
        <f aca="false">IF(COUNTA(B870:C870,E870:F870,H870:P870)=0,"",IF(OR(B870="",C870="",E870=""),"Check: date, player, and context required",IF(AND(ISNUMBER(J870),ISNUMBER(I870),J870&gt;I870),"Check: solid contacts &gt; swings",IF(AND(ISNUMBER(L870),ISNUMBER(K870),L870&gt;K870),"Check: correct &gt; assessed decisions",IF(AND(ISNUMBER(N870),ISNUMBER(M870),N870&gt;M870),"Check: intended &gt; assessed landings",IF(AND(ISNUMBER(J870),I870=""),"Check: solid contacts without swings","OK"))))))</f>
        <v/>
      </c>
    </row>
    <row r="871" customFormat="false" ht="15" hidden="false" customHeight="false" outlineLevel="0" collapsed="false">
      <c r="B871" s="26"/>
      <c r="C871" s="27"/>
      <c r="D871" s="28" t="str">
        <f aca="false">IF(C871="","",IFERROR(INDEX(Players!$C$5:$C$104,MATCH(C871,Players!$B$5:$B$104,0)),"ID not found"))</f>
        <v/>
      </c>
      <c r="E871" s="27"/>
      <c r="F871" s="27"/>
      <c r="G871" s="28" t="str">
        <f aca="false">IF(F871="","",IFERROR(INDEX('Hitting Drills'!$D$6:$D$45,MATCH(F871,'Hitting Drills'!$B$6:$B$45,0)),"Not a hitting drill ID"))</f>
        <v/>
      </c>
      <c r="H871" s="27"/>
      <c r="I871" s="27"/>
      <c r="J871" s="27"/>
      <c r="K871" s="27"/>
      <c r="L871" s="27"/>
      <c r="M871" s="27"/>
      <c r="N871" s="27"/>
      <c r="O871" s="27"/>
      <c r="P871" s="27"/>
      <c r="Q871" s="27"/>
      <c r="R871" s="27"/>
      <c r="S871" s="29" t="str">
        <f aca="false">IF(OR(B871="",C871=""),"",IF(COUNTIFS($B$5:B871,B871,$C$5:C871,C871)=1,1,0))</f>
        <v/>
      </c>
      <c r="T871" s="29" t="str">
        <f aca="false">IF(OR(B871="",C871="",E871=""),"",IF(COUNTIFS($B$5:B871,B871,$C$5:C871,C871,$E$5:E871,E871)=1,1,0))</f>
        <v/>
      </c>
      <c r="U871" s="28" t="str">
        <f aca="false">IF(COUNTA(B871:C871,E871:F871,H871:P871)=0,"",IF(OR(B871="",C871="",E871=""),"Check: date, player, and context required",IF(AND(ISNUMBER(J871),ISNUMBER(I871),J871&gt;I871),"Check: solid contacts &gt; swings",IF(AND(ISNUMBER(L871),ISNUMBER(K871),L871&gt;K871),"Check: correct &gt; assessed decisions",IF(AND(ISNUMBER(N871),ISNUMBER(M871),N871&gt;M871),"Check: intended &gt; assessed landings",IF(AND(ISNUMBER(J871),I871=""),"Check: solid contacts without swings","OK"))))))</f>
        <v/>
      </c>
    </row>
    <row r="872" customFormat="false" ht="15" hidden="false" customHeight="false" outlineLevel="0" collapsed="false">
      <c r="B872" s="26"/>
      <c r="C872" s="27"/>
      <c r="D872" s="28" t="str">
        <f aca="false">IF(C872="","",IFERROR(INDEX(Players!$C$5:$C$104,MATCH(C872,Players!$B$5:$B$104,0)),"ID not found"))</f>
        <v/>
      </c>
      <c r="E872" s="27"/>
      <c r="F872" s="27"/>
      <c r="G872" s="28" t="str">
        <f aca="false">IF(F872="","",IFERROR(INDEX('Hitting Drills'!$D$6:$D$45,MATCH(F872,'Hitting Drills'!$B$6:$B$45,0)),"Not a hitting drill ID"))</f>
        <v/>
      </c>
      <c r="H872" s="27"/>
      <c r="I872" s="27"/>
      <c r="J872" s="27"/>
      <c r="K872" s="27"/>
      <c r="L872" s="27"/>
      <c r="M872" s="27"/>
      <c r="N872" s="27"/>
      <c r="O872" s="27"/>
      <c r="P872" s="27"/>
      <c r="Q872" s="27"/>
      <c r="R872" s="27"/>
      <c r="S872" s="29" t="str">
        <f aca="false">IF(OR(B872="",C872=""),"",IF(COUNTIFS($B$5:B872,B872,$C$5:C872,C872)=1,1,0))</f>
        <v/>
      </c>
      <c r="T872" s="29" t="str">
        <f aca="false">IF(OR(B872="",C872="",E872=""),"",IF(COUNTIFS($B$5:B872,B872,$C$5:C872,C872,$E$5:E872,E872)=1,1,0))</f>
        <v/>
      </c>
      <c r="U872" s="28" t="str">
        <f aca="false">IF(COUNTA(B872:C872,E872:F872,H872:P872)=0,"",IF(OR(B872="",C872="",E872=""),"Check: date, player, and context required",IF(AND(ISNUMBER(J872),ISNUMBER(I872),J872&gt;I872),"Check: solid contacts &gt; swings",IF(AND(ISNUMBER(L872),ISNUMBER(K872),L872&gt;K872),"Check: correct &gt; assessed decisions",IF(AND(ISNUMBER(N872),ISNUMBER(M872),N872&gt;M872),"Check: intended &gt; assessed landings",IF(AND(ISNUMBER(J872),I872=""),"Check: solid contacts without swings","OK"))))))</f>
        <v/>
      </c>
    </row>
    <row r="873" customFormat="false" ht="15" hidden="false" customHeight="false" outlineLevel="0" collapsed="false">
      <c r="B873" s="26"/>
      <c r="C873" s="27"/>
      <c r="D873" s="28" t="str">
        <f aca="false">IF(C873="","",IFERROR(INDEX(Players!$C$5:$C$104,MATCH(C873,Players!$B$5:$B$104,0)),"ID not found"))</f>
        <v/>
      </c>
      <c r="E873" s="27"/>
      <c r="F873" s="27"/>
      <c r="G873" s="28" t="str">
        <f aca="false">IF(F873="","",IFERROR(INDEX('Hitting Drills'!$D$6:$D$45,MATCH(F873,'Hitting Drills'!$B$6:$B$45,0)),"Not a hitting drill ID"))</f>
        <v/>
      </c>
      <c r="H873" s="27"/>
      <c r="I873" s="27"/>
      <c r="J873" s="27"/>
      <c r="K873" s="27"/>
      <c r="L873" s="27"/>
      <c r="M873" s="27"/>
      <c r="N873" s="27"/>
      <c r="O873" s="27"/>
      <c r="P873" s="27"/>
      <c r="Q873" s="27"/>
      <c r="R873" s="27"/>
      <c r="S873" s="29" t="str">
        <f aca="false">IF(OR(B873="",C873=""),"",IF(COUNTIFS($B$5:B873,B873,$C$5:C873,C873)=1,1,0))</f>
        <v/>
      </c>
      <c r="T873" s="29" t="str">
        <f aca="false">IF(OR(B873="",C873="",E873=""),"",IF(COUNTIFS($B$5:B873,B873,$C$5:C873,C873,$E$5:E873,E873)=1,1,0))</f>
        <v/>
      </c>
      <c r="U873" s="28" t="str">
        <f aca="false">IF(COUNTA(B873:C873,E873:F873,H873:P873)=0,"",IF(OR(B873="",C873="",E873=""),"Check: date, player, and context required",IF(AND(ISNUMBER(J873),ISNUMBER(I873),J873&gt;I873),"Check: solid contacts &gt; swings",IF(AND(ISNUMBER(L873),ISNUMBER(K873),L873&gt;K873),"Check: correct &gt; assessed decisions",IF(AND(ISNUMBER(N873),ISNUMBER(M873),N873&gt;M873),"Check: intended &gt; assessed landings",IF(AND(ISNUMBER(J873),I873=""),"Check: solid contacts without swings","OK"))))))</f>
        <v/>
      </c>
    </row>
    <row r="874" customFormat="false" ht="15" hidden="false" customHeight="false" outlineLevel="0" collapsed="false">
      <c r="B874" s="26"/>
      <c r="C874" s="27"/>
      <c r="D874" s="28" t="str">
        <f aca="false">IF(C874="","",IFERROR(INDEX(Players!$C$5:$C$104,MATCH(C874,Players!$B$5:$B$104,0)),"ID not found"))</f>
        <v/>
      </c>
      <c r="E874" s="27"/>
      <c r="F874" s="27"/>
      <c r="G874" s="28" t="str">
        <f aca="false">IF(F874="","",IFERROR(INDEX('Hitting Drills'!$D$6:$D$45,MATCH(F874,'Hitting Drills'!$B$6:$B$45,0)),"Not a hitting drill ID"))</f>
        <v/>
      </c>
      <c r="H874" s="27"/>
      <c r="I874" s="27"/>
      <c r="J874" s="27"/>
      <c r="K874" s="27"/>
      <c r="L874" s="27"/>
      <c r="M874" s="27"/>
      <c r="N874" s="27"/>
      <c r="O874" s="27"/>
      <c r="P874" s="27"/>
      <c r="Q874" s="27"/>
      <c r="R874" s="27"/>
      <c r="S874" s="29" t="str">
        <f aca="false">IF(OR(B874="",C874=""),"",IF(COUNTIFS($B$5:B874,B874,$C$5:C874,C874)=1,1,0))</f>
        <v/>
      </c>
      <c r="T874" s="29" t="str">
        <f aca="false">IF(OR(B874="",C874="",E874=""),"",IF(COUNTIFS($B$5:B874,B874,$C$5:C874,C874,$E$5:E874,E874)=1,1,0))</f>
        <v/>
      </c>
      <c r="U874" s="28" t="str">
        <f aca="false">IF(COUNTA(B874:C874,E874:F874,H874:P874)=0,"",IF(OR(B874="",C874="",E874=""),"Check: date, player, and context required",IF(AND(ISNUMBER(J874),ISNUMBER(I874),J874&gt;I874),"Check: solid contacts &gt; swings",IF(AND(ISNUMBER(L874),ISNUMBER(K874),L874&gt;K874),"Check: correct &gt; assessed decisions",IF(AND(ISNUMBER(N874),ISNUMBER(M874),N874&gt;M874),"Check: intended &gt; assessed landings",IF(AND(ISNUMBER(J874),I874=""),"Check: solid contacts without swings","OK"))))))</f>
        <v/>
      </c>
    </row>
    <row r="875" customFormat="false" ht="15" hidden="false" customHeight="false" outlineLevel="0" collapsed="false">
      <c r="B875" s="26"/>
      <c r="C875" s="27"/>
      <c r="D875" s="28" t="str">
        <f aca="false">IF(C875="","",IFERROR(INDEX(Players!$C$5:$C$104,MATCH(C875,Players!$B$5:$B$104,0)),"ID not found"))</f>
        <v/>
      </c>
      <c r="E875" s="27"/>
      <c r="F875" s="27"/>
      <c r="G875" s="28" t="str">
        <f aca="false">IF(F875="","",IFERROR(INDEX('Hitting Drills'!$D$6:$D$45,MATCH(F875,'Hitting Drills'!$B$6:$B$45,0)),"Not a hitting drill ID"))</f>
        <v/>
      </c>
      <c r="H875" s="27"/>
      <c r="I875" s="27"/>
      <c r="J875" s="27"/>
      <c r="K875" s="27"/>
      <c r="L875" s="27"/>
      <c r="M875" s="27"/>
      <c r="N875" s="27"/>
      <c r="O875" s="27"/>
      <c r="P875" s="27"/>
      <c r="Q875" s="27"/>
      <c r="R875" s="27"/>
      <c r="S875" s="29" t="str">
        <f aca="false">IF(OR(B875="",C875=""),"",IF(COUNTIFS($B$5:B875,B875,$C$5:C875,C875)=1,1,0))</f>
        <v/>
      </c>
      <c r="T875" s="29" t="str">
        <f aca="false">IF(OR(B875="",C875="",E875=""),"",IF(COUNTIFS($B$5:B875,B875,$C$5:C875,C875,$E$5:E875,E875)=1,1,0))</f>
        <v/>
      </c>
      <c r="U875" s="28" t="str">
        <f aca="false">IF(COUNTA(B875:C875,E875:F875,H875:P875)=0,"",IF(OR(B875="",C875="",E875=""),"Check: date, player, and context required",IF(AND(ISNUMBER(J875),ISNUMBER(I875),J875&gt;I875),"Check: solid contacts &gt; swings",IF(AND(ISNUMBER(L875),ISNUMBER(K875),L875&gt;K875),"Check: correct &gt; assessed decisions",IF(AND(ISNUMBER(N875),ISNUMBER(M875),N875&gt;M875),"Check: intended &gt; assessed landings",IF(AND(ISNUMBER(J875),I875=""),"Check: solid contacts without swings","OK"))))))</f>
        <v/>
      </c>
    </row>
    <row r="876" customFormat="false" ht="15" hidden="false" customHeight="false" outlineLevel="0" collapsed="false">
      <c r="B876" s="26"/>
      <c r="C876" s="27"/>
      <c r="D876" s="28" t="str">
        <f aca="false">IF(C876="","",IFERROR(INDEX(Players!$C$5:$C$104,MATCH(C876,Players!$B$5:$B$104,0)),"ID not found"))</f>
        <v/>
      </c>
      <c r="E876" s="27"/>
      <c r="F876" s="27"/>
      <c r="G876" s="28" t="str">
        <f aca="false">IF(F876="","",IFERROR(INDEX('Hitting Drills'!$D$6:$D$45,MATCH(F876,'Hitting Drills'!$B$6:$B$45,0)),"Not a hitting drill ID"))</f>
        <v/>
      </c>
      <c r="H876" s="27"/>
      <c r="I876" s="27"/>
      <c r="J876" s="27"/>
      <c r="K876" s="27"/>
      <c r="L876" s="27"/>
      <c r="M876" s="27"/>
      <c r="N876" s="27"/>
      <c r="O876" s="27"/>
      <c r="P876" s="27"/>
      <c r="Q876" s="27"/>
      <c r="R876" s="27"/>
      <c r="S876" s="29" t="str">
        <f aca="false">IF(OR(B876="",C876=""),"",IF(COUNTIFS($B$5:B876,B876,$C$5:C876,C876)=1,1,0))</f>
        <v/>
      </c>
      <c r="T876" s="29" t="str">
        <f aca="false">IF(OR(B876="",C876="",E876=""),"",IF(COUNTIFS($B$5:B876,B876,$C$5:C876,C876,$E$5:E876,E876)=1,1,0))</f>
        <v/>
      </c>
      <c r="U876" s="28" t="str">
        <f aca="false">IF(COUNTA(B876:C876,E876:F876,H876:P876)=0,"",IF(OR(B876="",C876="",E876=""),"Check: date, player, and context required",IF(AND(ISNUMBER(J876),ISNUMBER(I876),J876&gt;I876),"Check: solid contacts &gt; swings",IF(AND(ISNUMBER(L876),ISNUMBER(K876),L876&gt;K876),"Check: correct &gt; assessed decisions",IF(AND(ISNUMBER(N876),ISNUMBER(M876),N876&gt;M876),"Check: intended &gt; assessed landings",IF(AND(ISNUMBER(J876),I876=""),"Check: solid contacts without swings","OK"))))))</f>
        <v/>
      </c>
    </row>
    <row r="877" customFormat="false" ht="15" hidden="false" customHeight="false" outlineLevel="0" collapsed="false">
      <c r="B877" s="26"/>
      <c r="C877" s="27"/>
      <c r="D877" s="28" t="str">
        <f aca="false">IF(C877="","",IFERROR(INDEX(Players!$C$5:$C$104,MATCH(C877,Players!$B$5:$B$104,0)),"ID not found"))</f>
        <v/>
      </c>
      <c r="E877" s="27"/>
      <c r="F877" s="27"/>
      <c r="G877" s="28" t="str">
        <f aca="false">IF(F877="","",IFERROR(INDEX('Hitting Drills'!$D$6:$D$45,MATCH(F877,'Hitting Drills'!$B$6:$B$45,0)),"Not a hitting drill ID"))</f>
        <v/>
      </c>
      <c r="H877" s="27"/>
      <c r="I877" s="27"/>
      <c r="J877" s="27"/>
      <c r="K877" s="27"/>
      <c r="L877" s="27"/>
      <c r="M877" s="27"/>
      <c r="N877" s="27"/>
      <c r="O877" s="27"/>
      <c r="P877" s="27"/>
      <c r="Q877" s="27"/>
      <c r="R877" s="27"/>
      <c r="S877" s="29" t="str">
        <f aca="false">IF(OR(B877="",C877=""),"",IF(COUNTIFS($B$5:B877,B877,$C$5:C877,C877)=1,1,0))</f>
        <v/>
      </c>
      <c r="T877" s="29" t="str">
        <f aca="false">IF(OR(B877="",C877="",E877=""),"",IF(COUNTIFS($B$5:B877,B877,$C$5:C877,C877,$E$5:E877,E877)=1,1,0))</f>
        <v/>
      </c>
      <c r="U877" s="28" t="str">
        <f aca="false">IF(COUNTA(B877:C877,E877:F877,H877:P877)=0,"",IF(OR(B877="",C877="",E877=""),"Check: date, player, and context required",IF(AND(ISNUMBER(J877),ISNUMBER(I877),J877&gt;I877),"Check: solid contacts &gt; swings",IF(AND(ISNUMBER(L877),ISNUMBER(K877),L877&gt;K877),"Check: correct &gt; assessed decisions",IF(AND(ISNUMBER(N877),ISNUMBER(M877),N877&gt;M877),"Check: intended &gt; assessed landings",IF(AND(ISNUMBER(J877),I877=""),"Check: solid contacts without swings","OK"))))))</f>
        <v/>
      </c>
    </row>
    <row r="878" customFormat="false" ht="15" hidden="false" customHeight="false" outlineLevel="0" collapsed="false">
      <c r="B878" s="26"/>
      <c r="C878" s="27"/>
      <c r="D878" s="28" t="str">
        <f aca="false">IF(C878="","",IFERROR(INDEX(Players!$C$5:$C$104,MATCH(C878,Players!$B$5:$B$104,0)),"ID not found"))</f>
        <v/>
      </c>
      <c r="E878" s="27"/>
      <c r="F878" s="27"/>
      <c r="G878" s="28" t="str">
        <f aca="false">IF(F878="","",IFERROR(INDEX('Hitting Drills'!$D$6:$D$45,MATCH(F878,'Hitting Drills'!$B$6:$B$45,0)),"Not a hitting drill ID"))</f>
        <v/>
      </c>
      <c r="H878" s="27"/>
      <c r="I878" s="27"/>
      <c r="J878" s="27"/>
      <c r="K878" s="27"/>
      <c r="L878" s="27"/>
      <c r="M878" s="27"/>
      <c r="N878" s="27"/>
      <c r="O878" s="27"/>
      <c r="P878" s="27"/>
      <c r="Q878" s="27"/>
      <c r="R878" s="27"/>
      <c r="S878" s="29" t="str">
        <f aca="false">IF(OR(B878="",C878=""),"",IF(COUNTIFS($B$5:B878,B878,$C$5:C878,C878)=1,1,0))</f>
        <v/>
      </c>
      <c r="T878" s="29" t="str">
        <f aca="false">IF(OR(B878="",C878="",E878=""),"",IF(COUNTIFS($B$5:B878,B878,$C$5:C878,C878,$E$5:E878,E878)=1,1,0))</f>
        <v/>
      </c>
      <c r="U878" s="28" t="str">
        <f aca="false">IF(COUNTA(B878:C878,E878:F878,H878:P878)=0,"",IF(OR(B878="",C878="",E878=""),"Check: date, player, and context required",IF(AND(ISNUMBER(J878),ISNUMBER(I878),J878&gt;I878),"Check: solid contacts &gt; swings",IF(AND(ISNUMBER(L878),ISNUMBER(K878),L878&gt;K878),"Check: correct &gt; assessed decisions",IF(AND(ISNUMBER(N878),ISNUMBER(M878),N878&gt;M878),"Check: intended &gt; assessed landings",IF(AND(ISNUMBER(J878),I878=""),"Check: solid contacts without swings","OK"))))))</f>
        <v/>
      </c>
    </row>
    <row r="879" customFormat="false" ht="15" hidden="false" customHeight="false" outlineLevel="0" collapsed="false">
      <c r="B879" s="26"/>
      <c r="C879" s="27"/>
      <c r="D879" s="28" t="str">
        <f aca="false">IF(C879="","",IFERROR(INDEX(Players!$C$5:$C$104,MATCH(C879,Players!$B$5:$B$104,0)),"ID not found"))</f>
        <v/>
      </c>
      <c r="E879" s="27"/>
      <c r="F879" s="27"/>
      <c r="G879" s="28" t="str">
        <f aca="false">IF(F879="","",IFERROR(INDEX('Hitting Drills'!$D$6:$D$45,MATCH(F879,'Hitting Drills'!$B$6:$B$45,0)),"Not a hitting drill ID"))</f>
        <v/>
      </c>
      <c r="H879" s="27"/>
      <c r="I879" s="27"/>
      <c r="J879" s="27"/>
      <c r="K879" s="27"/>
      <c r="L879" s="27"/>
      <c r="M879" s="27"/>
      <c r="N879" s="27"/>
      <c r="O879" s="27"/>
      <c r="P879" s="27"/>
      <c r="Q879" s="27"/>
      <c r="R879" s="27"/>
      <c r="S879" s="29" t="str">
        <f aca="false">IF(OR(B879="",C879=""),"",IF(COUNTIFS($B$5:B879,B879,$C$5:C879,C879)=1,1,0))</f>
        <v/>
      </c>
      <c r="T879" s="29" t="str">
        <f aca="false">IF(OR(B879="",C879="",E879=""),"",IF(COUNTIFS($B$5:B879,B879,$C$5:C879,C879,$E$5:E879,E879)=1,1,0))</f>
        <v/>
      </c>
      <c r="U879" s="28" t="str">
        <f aca="false">IF(COUNTA(B879:C879,E879:F879,H879:P879)=0,"",IF(OR(B879="",C879="",E879=""),"Check: date, player, and context required",IF(AND(ISNUMBER(J879),ISNUMBER(I879),J879&gt;I879),"Check: solid contacts &gt; swings",IF(AND(ISNUMBER(L879),ISNUMBER(K879),L879&gt;K879),"Check: correct &gt; assessed decisions",IF(AND(ISNUMBER(N879),ISNUMBER(M879),N879&gt;M879),"Check: intended &gt; assessed landings",IF(AND(ISNUMBER(J879),I879=""),"Check: solid contacts without swings","OK"))))))</f>
        <v/>
      </c>
    </row>
    <row r="880" customFormat="false" ht="15" hidden="false" customHeight="false" outlineLevel="0" collapsed="false">
      <c r="B880" s="26"/>
      <c r="C880" s="27"/>
      <c r="D880" s="28" t="str">
        <f aca="false">IF(C880="","",IFERROR(INDEX(Players!$C$5:$C$104,MATCH(C880,Players!$B$5:$B$104,0)),"ID not found"))</f>
        <v/>
      </c>
      <c r="E880" s="27"/>
      <c r="F880" s="27"/>
      <c r="G880" s="28" t="str">
        <f aca="false">IF(F880="","",IFERROR(INDEX('Hitting Drills'!$D$6:$D$45,MATCH(F880,'Hitting Drills'!$B$6:$B$45,0)),"Not a hitting drill ID"))</f>
        <v/>
      </c>
      <c r="H880" s="27"/>
      <c r="I880" s="27"/>
      <c r="J880" s="27"/>
      <c r="K880" s="27"/>
      <c r="L880" s="27"/>
      <c r="M880" s="27"/>
      <c r="N880" s="27"/>
      <c r="O880" s="27"/>
      <c r="P880" s="27"/>
      <c r="Q880" s="27"/>
      <c r="R880" s="27"/>
      <c r="S880" s="29" t="str">
        <f aca="false">IF(OR(B880="",C880=""),"",IF(COUNTIFS($B$5:B880,B880,$C$5:C880,C880)=1,1,0))</f>
        <v/>
      </c>
      <c r="T880" s="29" t="str">
        <f aca="false">IF(OR(B880="",C880="",E880=""),"",IF(COUNTIFS($B$5:B880,B880,$C$5:C880,C880,$E$5:E880,E880)=1,1,0))</f>
        <v/>
      </c>
      <c r="U880" s="28" t="str">
        <f aca="false">IF(COUNTA(B880:C880,E880:F880,H880:P880)=0,"",IF(OR(B880="",C880="",E880=""),"Check: date, player, and context required",IF(AND(ISNUMBER(J880),ISNUMBER(I880),J880&gt;I880),"Check: solid contacts &gt; swings",IF(AND(ISNUMBER(L880),ISNUMBER(K880),L880&gt;K880),"Check: correct &gt; assessed decisions",IF(AND(ISNUMBER(N880),ISNUMBER(M880),N880&gt;M880),"Check: intended &gt; assessed landings",IF(AND(ISNUMBER(J880),I880=""),"Check: solid contacts without swings","OK"))))))</f>
        <v/>
      </c>
    </row>
    <row r="881" customFormat="false" ht="15" hidden="false" customHeight="false" outlineLevel="0" collapsed="false">
      <c r="B881" s="26"/>
      <c r="C881" s="27"/>
      <c r="D881" s="28" t="str">
        <f aca="false">IF(C881="","",IFERROR(INDEX(Players!$C$5:$C$104,MATCH(C881,Players!$B$5:$B$104,0)),"ID not found"))</f>
        <v/>
      </c>
      <c r="E881" s="27"/>
      <c r="F881" s="27"/>
      <c r="G881" s="28" t="str">
        <f aca="false">IF(F881="","",IFERROR(INDEX('Hitting Drills'!$D$6:$D$45,MATCH(F881,'Hitting Drills'!$B$6:$B$45,0)),"Not a hitting drill ID"))</f>
        <v/>
      </c>
      <c r="H881" s="27"/>
      <c r="I881" s="27"/>
      <c r="J881" s="27"/>
      <c r="K881" s="27"/>
      <c r="L881" s="27"/>
      <c r="M881" s="27"/>
      <c r="N881" s="27"/>
      <c r="O881" s="27"/>
      <c r="P881" s="27"/>
      <c r="Q881" s="27"/>
      <c r="R881" s="27"/>
      <c r="S881" s="29" t="str">
        <f aca="false">IF(OR(B881="",C881=""),"",IF(COUNTIFS($B$5:B881,B881,$C$5:C881,C881)=1,1,0))</f>
        <v/>
      </c>
      <c r="T881" s="29" t="str">
        <f aca="false">IF(OR(B881="",C881="",E881=""),"",IF(COUNTIFS($B$5:B881,B881,$C$5:C881,C881,$E$5:E881,E881)=1,1,0))</f>
        <v/>
      </c>
      <c r="U881" s="28" t="str">
        <f aca="false">IF(COUNTA(B881:C881,E881:F881,H881:P881)=0,"",IF(OR(B881="",C881="",E881=""),"Check: date, player, and context required",IF(AND(ISNUMBER(J881),ISNUMBER(I881),J881&gt;I881),"Check: solid contacts &gt; swings",IF(AND(ISNUMBER(L881),ISNUMBER(K881),L881&gt;K881),"Check: correct &gt; assessed decisions",IF(AND(ISNUMBER(N881),ISNUMBER(M881),N881&gt;M881),"Check: intended &gt; assessed landings",IF(AND(ISNUMBER(J881),I881=""),"Check: solid contacts without swings","OK"))))))</f>
        <v/>
      </c>
    </row>
    <row r="882" customFormat="false" ht="15" hidden="false" customHeight="false" outlineLevel="0" collapsed="false">
      <c r="B882" s="26"/>
      <c r="C882" s="27"/>
      <c r="D882" s="28" t="str">
        <f aca="false">IF(C882="","",IFERROR(INDEX(Players!$C$5:$C$104,MATCH(C882,Players!$B$5:$B$104,0)),"ID not found"))</f>
        <v/>
      </c>
      <c r="E882" s="27"/>
      <c r="F882" s="27"/>
      <c r="G882" s="28" t="str">
        <f aca="false">IF(F882="","",IFERROR(INDEX('Hitting Drills'!$D$6:$D$45,MATCH(F882,'Hitting Drills'!$B$6:$B$45,0)),"Not a hitting drill ID"))</f>
        <v/>
      </c>
      <c r="H882" s="27"/>
      <c r="I882" s="27"/>
      <c r="J882" s="27"/>
      <c r="K882" s="27"/>
      <c r="L882" s="27"/>
      <c r="M882" s="27"/>
      <c r="N882" s="27"/>
      <c r="O882" s="27"/>
      <c r="P882" s="27"/>
      <c r="Q882" s="27"/>
      <c r="R882" s="27"/>
      <c r="S882" s="29" t="str">
        <f aca="false">IF(OR(B882="",C882=""),"",IF(COUNTIFS($B$5:B882,B882,$C$5:C882,C882)=1,1,0))</f>
        <v/>
      </c>
      <c r="T882" s="29" t="str">
        <f aca="false">IF(OR(B882="",C882="",E882=""),"",IF(COUNTIFS($B$5:B882,B882,$C$5:C882,C882,$E$5:E882,E882)=1,1,0))</f>
        <v/>
      </c>
      <c r="U882" s="28" t="str">
        <f aca="false">IF(COUNTA(B882:C882,E882:F882,H882:P882)=0,"",IF(OR(B882="",C882="",E882=""),"Check: date, player, and context required",IF(AND(ISNUMBER(J882),ISNUMBER(I882),J882&gt;I882),"Check: solid contacts &gt; swings",IF(AND(ISNUMBER(L882),ISNUMBER(K882),L882&gt;K882),"Check: correct &gt; assessed decisions",IF(AND(ISNUMBER(N882),ISNUMBER(M882),N882&gt;M882),"Check: intended &gt; assessed landings",IF(AND(ISNUMBER(J882),I882=""),"Check: solid contacts without swings","OK"))))))</f>
        <v/>
      </c>
    </row>
    <row r="883" customFormat="false" ht="15" hidden="false" customHeight="false" outlineLevel="0" collapsed="false">
      <c r="B883" s="26"/>
      <c r="C883" s="27"/>
      <c r="D883" s="28" t="str">
        <f aca="false">IF(C883="","",IFERROR(INDEX(Players!$C$5:$C$104,MATCH(C883,Players!$B$5:$B$104,0)),"ID not found"))</f>
        <v/>
      </c>
      <c r="E883" s="27"/>
      <c r="F883" s="27"/>
      <c r="G883" s="28" t="str">
        <f aca="false">IF(F883="","",IFERROR(INDEX('Hitting Drills'!$D$6:$D$45,MATCH(F883,'Hitting Drills'!$B$6:$B$45,0)),"Not a hitting drill ID"))</f>
        <v/>
      </c>
      <c r="H883" s="27"/>
      <c r="I883" s="27"/>
      <c r="J883" s="27"/>
      <c r="K883" s="27"/>
      <c r="L883" s="27"/>
      <c r="M883" s="27"/>
      <c r="N883" s="27"/>
      <c r="O883" s="27"/>
      <c r="P883" s="27"/>
      <c r="Q883" s="27"/>
      <c r="R883" s="27"/>
      <c r="S883" s="29" t="str">
        <f aca="false">IF(OR(B883="",C883=""),"",IF(COUNTIFS($B$5:B883,B883,$C$5:C883,C883)=1,1,0))</f>
        <v/>
      </c>
      <c r="T883" s="29" t="str">
        <f aca="false">IF(OR(B883="",C883="",E883=""),"",IF(COUNTIFS($B$5:B883,B883,$C$5:C883,C883,$E$5:E883,E883)=1,1,0))</f>
        <v/>
      </c>
      <c r="U883" s="28" t="str">
        <f aca="false">IF(COUNTA(B883:C883,E883:F883,H883:P883)=0,"",IF(OR(B883="",C883="",E883=""),"Check: date, player, and context required",IF(AND(ISNUMBER(J883),ISNUMBER(I883),J883&gt;I883),"Check: solid contacts &gt; swings",IF(AND(ISNUMBER(L883),ISNUMBER(K883),L883&gt;K883),"Check: correct &gt; assessed decisions",IF(AND(ISNUMBER(N883),ISNUMBER(M883),N883&gt;M883),"Check: intended &gt; assessed landings",IF(AND(ISNUMBER(J883),I883=""),"Check: solid contacts without swings","OK"))))))</f>
        <v/>
      </c>
    </row>
    <row r="884" customFormat="false" ht="15" hidden="false" customHeight="false" outlineLevel="0" collapsed="false">
      <c r="B884" s="26"/>
      <c r="C884" s="27"/>
      <c r="D884" s="28" t="str">
        <f aca="false">IF(C884="","",IFERROR(INDEX(Players!$C$5:$C$104,MATCH(C884,Players!$B$5:$B$104,0)),"ID not found"))</f>
        <v/>
      </c>
      <c r="E884" s="27"/>
      <c r="F884" s="27"/>
      <c r="G884" s="28" t="str">
        <f aca="false">IF(F884="","",IFERROR(INDEX('Hitting Drills'!$D$6:$D$45,MATCH(F884,'Hitting Drills'!$B$6:$B$45,0)),"Not a hitting drill ID"))</f>
        <v/>
      </c>
      <c r="H884" s="27"/>
      <c r="I884" s="27"/>
      <c r="J884" s="27"/>
      <c r="K884" s="27"/>
      <c r="L884" s="27"/>
      <c r="M884" s="27"/>
      <c r="N884" s="27"/>
      <c r="O884" s="27"/>
      <c r="P884" s="27"/>
      <c r="Q884" s="27"/>
      <c r="R884" s="27"/>
      <c r="S884" s="29" t="str">
        <f aca="false">IF(OR(B884="",C884=""),"",IF(COUNTIFS($B$5:B884,B884,$C$5:C884,C884)=1,1,0))</f>
        <v/>
      </c>
      <c r="T884" s="29" t="str">
        <f aca="false">IF(OR(B884="",C884="",E884=""),"",IF(COUNTIFS($B$5:B884,B884,$C$5:C884,C884,$E$5:E884,E884)=1,1,0))</f>
        <v/>
      </c>
      <c r="U884" s="28" t="str">
        <f aca="false">IF(COUNTA(B884:C884,E884:F884,H884:P884)=0,"",IF(OR(B884="",C884="",E884=""),"Check: date, player, and context required",IF(AND(ISNUMBER(J884),ISNUMBER(I884),J884&gt;I884),"Check: solid contacts &gt; swings",IF(AND(ISNUMBER(L884),ISNUMBER(K884),L884&gt;K884),"Check: correct &gt; assessed decisions",IF(AND(ISNUMBER(N884),ISNUMBER(M884),N884&gt;M884),"Check: intended &gt; assessed landings",IF(AND(ISNUMBER(J884),I884=""),"Check: solid contacts without swings","OK"))))))</f>
        <v/>
      </c>
    </row>
    <row r="885" customFormat="false" ht="15" hidden="false" customHeight="false" outlineLevel="0" collapsed="false">
      <c r="B885" s="26"/>
      <c r="C885" s="27"/>
      <c r="D885" s="28" t="str">
        <f aca="false">IF(C885="","",IFERROR(INDEX(Players!$C$5:$C$104,MATCH(C885,Players!$B$5:$B$104,0)),"ID not found"))</f>
        <v/>
      </c>
      <c r="E885" s="27"/>
      <c r="F885" s="27"/>
      <c r="G885" s="28" t="str">
        <f aca="false">IF(F885="","",IFERROR(INDEX('Hitting Drills'!$D$6:$D$45,MATCH(F885,'Hitting Drills'!$B$6:$B$45,0)),"Not a hitting drill ID"))</f>
        <v/>
      </c>
      <c r="H885" s="27"/>
      <c r="I885" s="27"/>
      <c r="J885" s="27"/>
      <c r="K885" s="27"/>
      <c r="L885" s="27"/>
      <c r="M885" s="27"/>
      <c r="N885" s="27"/>
      <c r="O885" s="27"/>
      <c r="P885" s="27"/>
      <c r="Q885" s="27"/>
      <c r="R885" s="27"/>
      <c r="S885" s="29" t="str">
        <f aca="false">IF(OR(B885="",C885=""),"",IF(COUNTIFS($B$5:B885,B885,$C$5:C885,C885)=1,1,0))</f>
        <v/>
      </c>
      <c r="T885" s="29" t="str">
        <f aca="false">IF(OR(B885="",C885="",E885=""),"",IF(COUNTIFS($B$5:B885,B885,$C$5:C885,C885,$E$5:E885,E885)=1,1,0))</f>
        <v/>
      </c>
      <c r="U885" s="28" t="str">
        <f aca="false">IF(COUNTA(B885:C885,E885:F885,H885:P885)=0,"",IF(OR(B885="",C885="",E885=""),"Check: date, player, and context required",IF(AND(ISNUMBER(J885),ISNUMBER(I885),J885&gt;I885),"Check: solid contacts &gt; swings",IF(AND(ISNUMBER(L885),ISNUMBER(K885),L885&gt;K885),"Check: correct &gt; assessed decisions",IF(AND(ISNUMBER(N885),ISNUMBER(M885),N885&gt;M885),"Check: intended &gt; assessed landings",IF(AND(ISNUMBER(J885),I885=""),"Check: solid contacts without swings","OK"))))))</f>
        <v/>
      </c>
    </row>
    <row r="886" customFormat="false" ht="15" hidden="false" customHeight="false" outlineLevel="0" collapsed="false">
      <c r="B886" s="26"/>
      <c r="C886" s="27"/>
      <c r="D886" s="28" t="str">
        <f aca="false">IF(C886="","",IFERROR(INDEX(Players!$C$5:$C$104,MATCH(C886,Players!$B$5:$B$104,0)),"ID not found"))</f>
        <v/>
      </c>
      <c r="E886" s="27"/>
      <c r="F886" s="27"/>
      <c r="G886" s="28" t="str">
        <f aca="false">IF(F886="","",IFERROR(INDEX('Hitting Drills'!$D$6:$D$45,MATCH(F886,'Hitting Drills'!$B$6:$B$45,0)),"Not a hitting drill ID"))</f>
        <v/>
      </c>
      <c r="H886" s="27"/>
      <c r="I886" s="27"/>
      <c r="J886" s="27"/>
      <c r="K886" s="27"/>
      <c r="L886" s="27"/>
      <c r="M886" s="27"/>
      <c r="N886" s="27"/>
      <c r="O886" s="27"/>
      <c r="P886" s="27"/>
      <c r="Q886" s="27"/>
      <c r="R886" s="27"/>
      <c r="S886" s="29" t="str">
        <f aca="false">IF(OR(B886="",C886=""),"",IF(COUNTIFS($B$5:B886,B886,$C$5:C886,C886)=1,1,0))</f>
        <v/>
      </c>
      <c r="T886" s="29" t="str">
        <f aca="false">IF(OR(B886="",C886="",E886=""),"",IF(COUNTIFS($B$5:B886,B886,$C$5:C886,C886,$E$5:E886,E886)=1,1,0))</f>
        <v/>
      </c>
      <c r="U886" s="28" t="str">
        <f aca="false">IF(COUNTA(B886:C886,E886:F886,H886:P886)=0,"",IF(OR(B886="",C886="",E886=""),"Check: date, player, and context required",IF(AND(ISNUMBER(J886),ISNUMBER(I886),J886&gt;I886),"Check: solid contacts &gt; swings",IF(AND(ISNUMBER(L886),ISNUMBER(K886),L886&gt;K886),"Check: correct &gt; assessed decisions",IF(AND(ISNUMBER(N886),ISNUMBER(M886),N886&gt;M886),"Check: intended &gt; assessed landings",IF(AND(ISNUMBER(J886),I886=""),"Check: solid contacts without swings","OK"))))))</f>
        <v/>
      </c>
    </row>
    <row r="887" customFormat="false" ht="15" hidden="false" customHeight="false" outlineLevel="0" collapsed="false">
      <c r="B887" s="26"/>
      <c r="C887" s="27"/>
      <c r="D887" s="28" t="str">
        <f aca="false">IF(C887="","",IFERROR(INDEX(Players!$C$5:$C$104,MATCH(C887,Players!$B$5:$B$104,0)),"ID not found"))</f>
        <v/>
      </c>
      <c r="E887" s="27"/>
      <c r="F887" s="27"/>
      <c r="G887" s="28" t="str">
        <f aca="false">IF(F887="","",IFERROR(INDEX('Hitting Drills'!$D$6:$D$45,MATCH(F887,'Hitting Drills'!$B$6:$B$45,0)),"Not a hitting drill ID"))</f>
        <v/>
      </c>
      <c r="H887" s="27"/>
      <c r="I887" s="27"/>
      <c r="J887" s="27"/>
      <c r="K887" s="27"/>
      <c r="L887" s="27"/>
      <c r="M887" s="27"/>
      <c r="N887" s="27"/>
      <c r="O887" s="27"/>
      <c r="P887" s="27"/>
      <c r="Q887" s="27"/>
      <c r="R887" s="27"/>
      <c r="S887" s="29" t="str">
        <f aca="false">IF(OR(B887="",C887=""),"",IF(COUNTIFS($B$5:B887,B887,$C$5:C887,C887)=1,1,0))</f>
        <v/>
      </c>
      <c r="T887" s="29" t="str">
        <f aca="false">IF(OR(B887="",C887="",E887=""),"",IF(COUNTIFS($B$5:B887,B887,$C$5:C887,C887,$E$5:E887,E887)=1,1,0))</f>
        <v/>
      </c>
      <c r="U887" s="28" t="str">
        <f aca="false">IF(COUNTA(B887:C887,E887:F887,H887:P887)=0,"",IF(OR(B887="",C887="",E887=""),"Check: date, player, and context required",IF(AND(ISNUMBER(J887),ISNUMBER(I887),J887&gt;I887),"Check: solid contacts &gt; swings",IF(AND(ISNUMBER(L887),ISNUMBER(K887),L887&gt;K887),"Check: correct &gt; assessed decisions",IF(AND(ISNUMBER(N887),ISNUMBER(M887),N887&gt;M887),"Check: intended &gt; assessed landings",IF(AND(ISNUMBER(J887),I887=""),"Check: solid contacts without swings","OK"))))))</f>
        <v/>
      </c>
    </row>
    <row r="888" customFormat="false" ht="15" hidden="false" customHeight="false" outlineLevel="0" collapsed="false">
      <c r="B888" s="26"/>
      <c r="C888" s="27"/>
      <c r="D888" s="28" t="str">
        <f aca="false">IF(C888="","",IFERROR(INDEX(Players!$C$5:$C$104,MATCH(C888,Players!$B$5:$B$104,0)),"ID not found"))</f>
        <v/>
      </c>
      <c r="E888" s="27"/>
      <c r="F888" s="27"/>
      <c r="G888" s="28" t="str">
        <f aca="false">IF(F888="","",IFERROR(INDEX('Hitting Drills'!$D$6:$D$45,MATCH(F888,'Hitting Drills'!$B$6:$B$45,0)),"Not a hitting drill ID"))</f>
        <v/>
      </c>
      <c r="H888" s="27"/>
      <c r="I888" s="27"/>
      <c r="J888" s="27"/>
      <c r="K888" s="27"/>
      <c r="L888" s="27"/>
      <c r="M888" s="27"/>
      <c r="N888" s="27"/>
      <c r="O888" s="27"/>
      <c r="P888" s="27"/>
      <c r="Q888" s="27"/>
      <c r="R888" s="27"/>
      <c r="S888" s="29" t="str">
        <f aca="false">IF(OR(B888="",C888=""),"",IF(COUNTIFS($B$5:B888,B888,$C$5:C888,C888)=1,1,0))</f>
        <v/>
      </c>
      <c r="T888" s="29" t="str">
        <f aca="false">IF(OR(B888="",C888="",E888=""),"",IF(COUNTIFS($B$5:B888,B888,$C$5:C888,C888,$E$5:E888,E888)=1,1,0))</f>
        <v/>
      </c>
      <c r="U888" s="28" t="str">
        <f aca="false">IF(COUNTA(B888:C888,E888:F888,H888:P888)=0,"",IF(OR(B888="",C888="",E888=""),"Check: date, player, and context required",IF(AND(ISNUMBER(J888),ISNUMBER(I888),J888&gt;I888),"Check: solid contacts &gt; swings",IF(AND(ISNUMBER(L888),ISNUMBER(K888),L888&gt;K888),"Check: correct &gt; assessed decisions",IF(AND(ISNUMBER(N888),ISNUMBER(M888),N888&gt;M888),"Check: intended &gt; assessed landings",IF(AND(ISNUMBER(J888),I888=""),"Check: solid contacts without swings","OK"))))))</f>
        <v/>
      </c>
    </row>
    <row r="889" customFormat="false" ht="15" hidden="false" customHeight="false" outlineLevel="0" collapsed="false">
      <c r="B889" s="26"/>
      <c r="C889" s="27"/>
      <c r="D889" s="28" t="str">
        <f aca="false">IF(C889="","",IFERROR(INDEX(Players!$C$5:$C$104,MATCH(C889,Players!$B$5:$B$104,0)),"ID not found"))</f>
        <v/>
      </c>
      <c r="E889" s="27"/>
      <c r="F889" s="27"/>
      <c r="G889" s="28" t="str">
        <f aca="false">IF(F889="","",IFERROR(INDEX('Hitting Drills'!$D$6:$D$45,MATCH(F889,'Hitting Drills'!$B$6:$B$45,0)),"Not a hitting drill ID"))</f>
        <v/>
      </c>
      <c r="H889" s="27"/>
      <c r="I889" s="27"/>
      <c r="J889" s="27"/>
      <c r="K889" s="27"/>
      <c r="L889" s="27"/>
      <c r="M889" s="27"/>
      <c r="N889" s="27"/>
      <c r="O889" s="27"/>
      <c r="P889" s="27"/>
      <c r="Q889" s="27"/>
      <c r="R889" s="27"/>
      <c r="S889" s="29" t="str">
        <f aca="false">IF(OR(B889="",C889=""),"",IF(COUNTIFS($B$5:B889,B889,$C$5:C889,C889)=1,1,0))</f>
        <v/>
      </c>
      <c r="T889" s="29" t="str">
        <f aca="false">IF(OR(B889="",C889="",E889=""),"",IF(COUNTIFS($B$5:B889,B889,$C$5:C889,C889,$E$5:E889,E889)=1,1,0))</f>
        <v/>
      </c>
      <c r="U889" s="28" t="str">
        <f aca="false">IF(COUNTA(B889:C889,E889:F889,H889:P889)=0,"",IF(OR(B889="",C889="",E889=""),"Check: date, player, and context required",IF(AND(ISNUMBER(J889),ISNUMBER(I889),J889&gt;I889),"Check: solid contacts &gt; swings",IF(AND(ISNUMBER(L889),ISNUMBER(K889),L889&gt;K889),"Check: correct &gt; assessed decisions",IF(AND(ISNUMBER(N889),ISNUMBER(M889),N889&gt;M889),"Check: intended &gt; assessed landings",IF(AND(ISNUMBER(J889),I889=""),"Check: solid contacts without swings","OK"))))))</f>
        <v/>
      </c>
    </row>
    <row r="890" customFormat="false" ht="15" hidden="false" customHeight="false" outlineLevel="0" collapsed="false">
      <c r="B890" s="26"/>
      <c r="C890" s="27"/>
      <c r="D890" s="28" t="str">
        <f aca="false">IF(C890="","",IFERROR(INDEX(Players!$C$5:$C$104,MATCH(C890,Players!$B$5:$B$104,0)),"ID not found"))</f>
        <v/>
      </c>
      <c r="E890" s="27"/>
      <c r="F890" s="27"/>
      <c r="G890" s="28" t="str">
        <f aca="false">IF(F890="","",IFERROR(INDEX('Hitting Drills'!$D$6:$D$45,MATCH(F890,'Hitting Drills'!$B$6:$B$45,0)),"Not a hitting drill ID"))</f>
        <v/>
      </c>
      <c r="H890" s="27"/>
      <c r="I890" s="27"/>
      <c r="J890" s="27"/>
      <c r="K890" s="27"/>
      <c r="L890" s="27"/>
      <c r="M890" s="27"/>
      <c r="N890" s="27"/>
      <c r="O890" s="27"/>
      <c r="P890" s="27"/>
      <c r="Q890" s="27"/>
      <c r="R890" s="27"/>
      <c r="S890" s="29" t="str">
        <f aca="false">IF(OR(B890="",C890=""),"",IF(COUNTIFS($B$5:B890,B890,$C$5:C890,C890)=1,1,0))</f>
        <v/>
      </c>
      <c r="T890" s="29" t="str">
        <f aca="false">IF(OR(B890="",C890="",E890=""),"",IF(COUNTIFS($B$5:B890,B890,$C$5:C890,C890,$E$5:E890,E890)=1,1,0))</f>
        <v/>
      </c>
      <c r="U890" s="28" t="str">
        <f aca="false">IF(COUNTA(B890:C890,E890:F890,H890:P890)=0,"",IF(OR(B890="",C890="",E890=""),"Check: date, player, and context required",IF(AND(ISNUMBER(J890),ISNUMBER(I890),J890&gt;I890),"Check: solid contacts &gt; swings",IF(AND(ISNUMBER(L890),ISNUMBER(K890),L890&gt;K890),"Check: correct &gt; assessed decisions",IF(AND(ISNUMBER(N890),ISNUMBER(M890),N890&gt;M890),"Check: intended &gt; assessed landings",IF(AND(ISNUMBER(J890),I890=""),"Check: solid contacts without swings","OK"))))))</f>
        <v/>
      </c>
    </row>
    <row r="891" customFormat="false" ht="15" hidden="false" customHeight="false" outlineLevel="0" collapsed="false">
      <c r="B891" s="26"/>
      <c r="C891" s="27"/>
      <c r="D891" s="28" t="str">
        <f aca="false">IF(C891="","",IFERROR(INDEX(Players!$C$5:$C$104,MATCH(C891,Players!$B$5:$B$104,0)),"ID not found"))</f>
        <v/>
      </c>
      <c r="E891" s="27"/>
      <c r="F891" s="27"/>
      <c r="G891" s="28" t="str">
        <f aca="false">IF(F891="","",IFERROR(INDEX('Hitting Drills'!$D$6:$D$45,MATCH(F891,'Hitting Drills'!$B$6:$B$45,0)),"Not a hitting drill ID"))</f>
        <v/>
      </c>
      <c r="H891" s="27"/>
      <c r="I891" s="27"/>
      <c r="J891" s="27"/>
      <c r="K891" s="27"/>
      <c r="L891" s="27"/>
      <c r="M891" s="27"/>
      <c r="N891" s="27"/>
      <c r="O891" s="27"/>
      <c r="P891" s="27"/>
      <c r="Q891" s="27"/>
      <c r="R891" s="27"/>
      <c r="S891" s="29" t="str">
        <f aca="false">IF(OR(B891="",C891=""),"",IF(COUNTIFS($B$5:B891,B891,$C$5:C891,C891)=1,1,0))</f>
        <v/>
      </c>
      <c r="T891" s="29" t="str">
        <f aca="false">IF(OR(B891="",C891="",E891=""),"",IF(COUNTIFS($B$5:B891,B891,$C$5:C891,C891,$E$5:E891,E891)=1,1,0))</f>
        <v/>
      </c>
      <c r="U891" s="28" t="str">
        <f aca="false">IF(COUNTA(B891:C891,E891:F891,H891:P891)=0,"",IF(OR(B891="",C891="",E891=""),"Check: date, player, and context required",IF(AND(ISNUMBER(J891),ISNUMBER(I891),J891&gt;I891),"Check: solid contacts &gt; swings",IF(AND(ISNUMBER(L891),ISNUMBER(K891),L891&gt;K891),"Check: correct &gt; assessed decisions",IF(AND(ISNUMBER(N891),ISNUMBER(M891),N891&gt;M891),"Check: intended &gt; assessed landings",IF(AND(ISNUMBER(J891),I891=""),"Check: solid contacts without swings","OK"))))))</f>
        <v/>
      </c>
    </row>
    <row r="892" customFormat="false" ht="15" hidden="false" customHeight="false" outlineLevel="0" collapsed="false">
      <c r="B892" s="26"/>
      <c r="C892" s="27"/>
      <c r="D892" s="28" t="str">
        <f aca="false">IF(C892="","",IFERROR(INDEX(Players!$C$5:$C$104,MATCH(C892,Players!$B$5:$B$104,0)),"ID not found"))</f>
        <v/>
      </c>
      <c r="E892" s="27"/>
      <c r="F892" s="27"/>
      <c r="G892" s="28" t="str">
        <f aca="false">IF(F892="","",IFERROR(INDEX('Hitting Drills'!$D$6:$D$45,MATCH(F892,'Hitting Drills'!$B$6:$B$45,0)),"Not a hitting drill ID"))</f>
        <v/>
      </c>
      <c r="H892" s="27"/>
      <c r="I892" s="27"/>
      <c r="J892" s="27"/>
      <c r="K892" s="27"/>
      <c r="L892" s="27"/>
      <c r="M892" s="27"/>
      <c r="N892" s="27"/>
      <c r="O892" s="27"/>
      <c r="P892" s="27"/>
      <c r="Q892" s="27"/>
      <c r="R892" s="27"/>
      <c r="S892" s="29" t="str">
        <f aca="false">IF(OR(B892="",C892=""),"",IF(COUNTIFS($B$5:B892,B892,$C$5:C892,C892)=1,1,0))</f>
        <v/>
      </c>
      <c r="T892" s="29" t="str">
        <f aca="false">IF(OR(B892="",C892="",E892=""),"",IF(COUNTIFS($B$5:B892,B892,$C$5:C892,C892,$E$5:E892,E892)=1,1,0))</f>
        <v/>
      </c>
      <c r="U892" s="28" t="str">
        <f aca="false">IF(COUNTA(B892:C892,E892:F892,H892:P892)=0,"",IF(OR(B892="",C892="",E892=""),"Check: date, player, and context required",IF(AND(ISNUMBER(J892),ISNUMBER(I892),J892&gt;I892),"Check: solid contacts &gt; swings",IF(AND(ISNUMBER(L892),ISNUMBER(K892),L892&gt;K892),"Check: correct &gt; assessed decisions",IF(AND(ISNUMBER(N892),ISNUMBER(M892),N892&gt;M892),"Check: intended &gt; assessed landings",IF(AND(ISNUMBER(J892),I892=""),"Check: solid contacts without swings","OK"))))))</f>
        <v/>
      </c>
    </row>
    <row r="893" customFormat="false" ht="15" hidden="false" customHeight="false" outlineLevel="0" collapsed="false">
      <c r="B893" s="26"/>
      <c r="C893" s="27"/>
      <c r="D893" s="28" t="str">
        <f aca="false">IF(C893="","",IFERROR(INDEX(Players!$C$5:$C$104,MATCH(C893,Players!$B$5:$B$104,0)),"ID not found"))</f>
        <v/>
      </c>
      <c r="E893" s="27"/>
      <c r="F893" s="27"/>
      <c r="G893" s="28" t="str">
        <f aca="false">IF(F893="","",IFERROR(INDEX('Hitting Drills'!$D$6:$D$45,MATCH(F893,'Hitting Drills'!$B$6:$B$45,0)),"Not a hitting drill ID"))</f>
        <v/>
      </c>
      <c r="H893" s="27"/>
      <c r="I893" s="27"/>
      <c r="J893" s="27"/>
      <c r="K893" s="27"/>
      <c r="L893" s="27"/>
      <c r="M893" s="27"/>
      <c r="N893" s="27"/>
      <c r="O893" s="27"/>
      <c r="P893" s="27"/>
      <c r="Q893" s="27"/>
      <c r="R893" s="27"/>
      <c r="S893" s="29" t="str">
        <f aca="false">IF(OR(B893="",C893=""),"",IF(COUNTIFS($B$5:B893,B893,$C$5:C893,C893)=1,1,0))</f>
        <v/>
      </c>
      <c r="T893" s="29" t="str">
        <f aca="false">IF(OR(B893="",C893="",E893=""),"",IF(COUNTIFS($B$5:B893,B893,$C$5:C893,C893,$E$5:E893,E893)=1,1,0))</f>
        <v/>
      </c>
      <c r="U893" s="28" t="str">
        <f aca="false">IF(COUNTA(B893:C893,E893:F893,H893:P893)=0,"",IF(OR(B893="",C893="",E893=""),"Check: date, player, and context required",IF(AND(ISNUMBER(J893),ISNUMBER(I893),J893&gt;I893),"Check: solid contacts &gt; swings",IF(AND(ISNUMBER(L893),ISNUMBER(K893),L893&gt;K893),"Check: correct &gt; assessed decisions",IF(AND(ISNUMBER(N893),ISNUMBER(M893),N893&gt;M893),"Check: intended &gt; assessed landings",IF(AND(ISNUMBER(J893),I893=""),"Check: solid contacts without swings","OK"))))))</f>
        <v/>
      </c>
    </row>
    <row r="894" customFormat="false" ht="15" hidden="false" customHeight="false" outlineLevel="0" collapsed="false">
      <c r="B894" s="26"/>
      <c r="C894" s="27"/>
      <c r="D894" s="28" t="str">
        <f aca="false">IF(C894="","",IFERROR(INDEX(Players!$C$5:$C$104,MATCH(C894,Players!$B$5:$B$104,0)),"ID not found"))</f>
        <v/>
      </c>
      <c r="E894" s="27"/>
      <c r="F894" s="27"/>
      <c r="G894" s="28" t="str">
        <f aca="false">IF(F894="","",IFERROR(INDEX('Hitting Drills'!$D$6:$D$45,MATCH(F894,'Hitting Drills'!$B$6:$B$45,0)),"Not a hitting drill ID"))</f>
        <v/>
      </c>
      <c r="H894" s="27"/>
      <c r="I894" s="27"/>
      <c r="J894" s="27"/>
      <c r="K894" s="27"/>
      <c r="L894" s="27"/>
      <c r="M894" s="27"/>
      <c r="N894" s="27"/>
      <c r="O894" s="27"/>
      <c r="P894" s="27"/>
      <c r="Q894" s="27"/>
      <c r="R894" s="27"/>
      <c r="S894" s="29" t="str">
        <f aca="false">IF(OR(B894="",C894=""),"",IF(COUNTIFS($B$5:B894,B894,$C$5:C894,C894)=1,1,0))</f>
        <v/>
      </c>
      <c r="T894" s="29" t="str">
        <f aca="false">IF(OR(B894="",C894="",E894=""),"",IF(COUNTIFS($B$5:B894,B894,$C$5:C894,C894,$E$5:E894,E894)=1,1,0))</f>
        <v/>
      </c>
      <c r="U894" s="28" t="str">
        <f aca="false">IF(COUNTA(B894:C894,E894:F894,H894:P894)=0,"",IF(OR(B894="",C894="",E894=""),"Check: date, player, and context required",IF(AND(ISNUMBER(J894),ISNUMBER(I894),J894&gt;I894),"Check: solid contacts &gt; swings",IF(AND(ISNUMBER(L894),ISNUMBER(K894),L894&gt;K894),"Check: correct &gt; assessed decisions",IF(AND(ISNUMBER(N894),ISNUMBER(M894),N894&gt;M894),"Check: intended &gt; assessed landings",IF(AND(ISNUMBER(J894),I894=""),"Check: solid contacts without swings","OK"))))))</f>
        <v/>
      </c>
    </row>
    <row r="895" customFormat="false" ht="15" hidden="false" customHeight="false" outlineLevel="0" collapsed="false">
      <c r="B895" s="26"/>
      <c r="C895" s="27"/>
      <c r="D895" s="28" t="str">
        <f aca="false">IF(C895="","",IFERROR(INDEX(Players!$C$5:$C$104,MATCH(C895,Players!$B$5:$B$104,0)),"ID not found"))</f>
        <v/>
      </c>
      <c r="E895" s="27"/>
      <c r="F895" s="27"/>
      <c r="G895" s="28" t="str">
        <f aca="false">IF(F895="","",IFERROR(INDEX('Hitting Drills'!$D$6:$D$45,MATCH(F895,'Hitting Drills'!$B$6:$B$45,0)),"Not a hitting drill ID"))</f>
        <v/>
      </c>
      <c r="H895" s="27"/>
      <c r="I895" s="27"/>
      <c r="J895" s="27"/>
      <c r="K895" s="27"/>
      <c r="L895" s="27"/>
      <c r="M895" s="27"/>
      <c r="N895" s="27"/>
      <c r="O895" s="27"/>
      <c r="P895" s="27"/>
      <c r="Q895" s="27"/>
      <c r="R895" s="27"/>
      <c r="S895" s="29" t="str">
        <f aca="false">IF(OR(B895="",C895=""),"",IF(COUNTIFS($B$5:B895,B895,$C$5:C895,C895)=1,1,0))</f>
        <v/>
      </c>
      <c r="T895" s="29" t="str">
        <f aca="false">IF(OR(B895="",C895="",E895=""),"",IF(COUNTIFS($B$5:B895,B895,$C$5:C895,C895,$E$5:E895,E895)=1,1,0))</f>
        <v/>
      </c>
      <c r="U895" s="28" t="str">
        <f aca="false">IF(COUNTA(B895:C895,E895:F895,H895:P895)=0,"",IF(OR(B895="",C895="",E895=""),"Check: date, player, and context required",IF(AND(ISNUMBER(J895),ISNUMBER(I895),J895&gt;I895),"Check: solid contacts &gt; swings",IF(AND(ISNUMBER(L895),ISNUMBER(K895),L895&gt;K895),"Check: correct &gt; assessed decisions",IF(AND(ISNUMBER(N895),ISNUMBER(M895),N895&gt;M895),"Check: intended &gt; assessed landings",IF(AND(ISNUMBER(J895),I895=""),"Check: solid contacts without swings","OK"))))))</f>
        <v/>
      </c>
    </row>
    <row r="896" customFormat="false" ht="15" hidden="false" customHeight="false" outlineLevel="0" collapsed="false">
      <c r="B896" s="26"/>
      <c r="C896" s="27"/>
      <c r="D896" s="28" t="str">
        <f aca="false">IF(C896="","",IFERROR(INDEX(Players!$C$5:$C$104,MATCH(C896,Players!$B$5:$B$104,0)),"ID not found"))</f>
        <v/>
      </c>
      <c r="E896" s="27"/>
      <c r="F896" s="27"/>
      <c r="G896" s="28" t="str">
        <f aca="false">IF(F896="","",IFERROR(INDEX('Hitting Drills'!$D$6:$D$45,MATCH(F896,'Hitting Drills'!$B$6:$B$45,0)),"Not a hitting drill ID"))</f>
        <v/>
      </c>
      <c r="H896" s="27"/>
      <c r="I896" s="27"/>
      <c r="J896" s="27"/>
      <c r="K896" s="27"/>
      <c r="L896" s="27"/>
      <c r="M896" s="27"/>
      <c r="N896" s="27"/>
      <c r="O896" s="27"/>
      <c r="P896" s="27"/>
      <c r="Q896" s="27"/>
      <c r="R896" s="27"/>
      <c r="S896" s="29" t="str">
        <f aca="false">IF(OR(B896="",C896=""),"",IF(COUNTIFS($B$5:B896,B896,$C$5:C896,C896)=1,1,0))</f>
        <v/>
      </c>
      <c r="T896" s="29" t="str">
        <f aca="false">IF(OR(B896="",C896="",E896=""),"",IF(COUNTIFS($B$5:B896,B896,$C$5:C896,C896,$E$5:E896,E896)=1,1,0))</f>
        <v/>
      </c>
      <c r="U896" s="28" t="str">
        <f aca="false">IF(COUNTA(B896:C896,E896:F896,H896:P896)=0,"",IF(OR(B896="",C896="",E896=""),"Check: date, player, and context required",IF(AND(ISNUMBER(J896),ISNUMBER(I896),J896&gt;I896),"Check: solid contacts &gt; swings",IF(AND(ISNUMBER(L896),ISNUMBER(K896),L896&gt;K896),"Check: correct &gt; assessed decisions",IF(AND(ISNUMBER(N896),ISNUMBER(M896),N896&gt;M896),"Check: intended &gt; assessed landings",IF(AND(ISNUMBER(J896),I896=""),"Check: solid contacts without swings","OK"))))))</f>
        <v/>
      </c>
    </row>
    <row r="897" customFormat="false" ht="15" hidden="false" customHeight="false" outlineLevel="0" collapsed="false">
      <c r="B897" s="26"/>
      <c r="C897" s="27"/>
      <c r="D897" s="28" t="str">
        <f aca="false">IF(C897="","",IFERROR(INDEX(Players!$C$5:$C$104,MATCH(C897,Players!$B$5:$B$104,0)),"ID not found"))</f>
        <v/>
      </c>
      <c r="E897" s="27"/>
      <c r="F897" s="27"/>
      <c r="G897" s="28" t="str">
        <f aca="false">IF(F897="","",IFERROR(INDEX('Hitting Drills'!$D$6:$D$45,MATCH(F897,'Hitting Drills'!$B$6:$B$45,0)),"Not a hitting drill ID"))</f>
        <v/>
      </c>
      <c r="H897" s="27"/>
      <c r="I897" s="27"/>
      <c r="J897" s="27"/>
      <c r="K897" s="27"/>
      <c r="L897" s="27"/>
      <c r="M897" s="27"/>
      <c r="N897" s="27"/>
      <c r="O897" s="27"/>
      <c r="P897" s="27"/>
      <c r="Q897" s="27"/>
      <c r="R897" s="27"/>
      <c r="S897" s="29" t="str">
        <f aca="false">IF(OR(B897="",C897=""),"",IF(COUNTIFS($B$5:B897,B897,$C$5:C897,C897)=1,1,0))</f>
        <v/>
      </c>
      <c r="T897" s="29" t="str">
        <f aca="false">IF(OR(B897="",C897="",E897=""),"",IF(COUNTIFS($B$5:B897,B897,$C$5:C897,C897,$E$5:E897,E897)=1,1,0))</f>
        <v/>
      </c>
      <c r="U897" s="28" t="str">
        <f aca="false">IF(COUNTA(B897:C897,E897:F897,H897:P897)=0,"",IF(OR(B897="",C897="",E897=""),"Check: date, player, and context required",IF(AND(ISNUMBER(J897),ISNUMBER(I897),J897&gt;I897),"Check: solid contacts &gt; swings",IF(AND(ISNUMBER(L897),ISNUMBER(K897),L897&gt;K897),"Check: correct &gt; assessed decisions",IF(AND(ISNUMBER(N897),ISNUMBER(M897),N897&gt;M897),"Check: intended &gt; assessed landings",IF(AND(ISNUMBER(J897),I897=""),"Check: solid contacts without swings","OK"))))))</f>
        <v/>
      </c>
    </row>
    <row r="898" customFormat="false" ht="15" hidden="false" customHeight="false" outlineLevel="0" collapsed="false">
      <c r="B898" s="26"/>
      <c r="C898" s="27"/>
      <c r="D898" s="28" t="str">
        <f aca="false">IF(C898="","",IFERROR(INDEX(Players!$C$5:$C$104,MATCH(C898,Players!$B$5:$B$104,0)),"ID not found"))</f>
        <v/>
      </c>
      <c r="E898" s="27"/>
      <c r="F898" s="27"/>
      <c r="G898" s="28" t="str">
        <f aca="false">IF(F898="","",IFERROR(INDEX('Hitting Drills'!$D$6:$D$45,MATCH(F898,'Hitting Drills'!$B$6:$B$45,0)),"Not a hitting drill ID"))</f>
        <v/>
      </c>
      <c r="H898" s="27"/>
      <c r="I898" s="27"/>
      <c r="J898" s="27"/>
      <c r="K898" s="27"/>
      <c r="L898" s="27"/>
      <c r="M898" s="27"/>
      <c r="N898" s="27"/>
      <c r="O898" s="27"/>
      <c r="P898" s="27"/>
      <c r="Q898" s="27"/>
      <c r="R898" s="27"/>
      <c r="S898" s="29" t="str">
        <f aca="false">IF(OR(B898="",C898=""),"",IF(COUNTIFS($B$5:B898,B898,$C$5:C898,C898)=1,1,0))</f>
        <v/>
      </c>
      <c r="T898" s="29" t="str">
        <f aca="false">IF(OR(B898="",C898="",E898=""),"",IF(COUNTIFS($B$5:B898,B898,$C$5:C898,C898,$E$5:E898,E898)=1,1,0))</f>
        <v/>
      </c>
      <c r="U898" s="28" t="str">
        <f aca="false">IF(COUNTA(B898:C898,E898:F898,H898:P898)=0,"",IF(OR(B898="",C898="",E898=""),"Check: date, player, and context required",IF(AND(ISNUMBER(J898),ISNUMBER(I898),J898&gt;I898),"Check: solid contacts &gt; swings",IF(AND(ISNUMBER(L898),ISNUMBER(K898),L898&gt;K898),"Check: correct &gt; assessed decisions",IF(AND(ISNUMBER(N898),ISNUMBER(M898),N898&gt;M898),"Check: intended &gt; assessed landings",IF(AND(ISNUMBER(J898),I898=""),"Check: solid contacts without swings","OK"))))))</f>
        <v/>
      </c>
    </row>
    <row r="899" customFormat="false" ht="15" hidden="false" customHeight="false" outlineLevel="0" collapsed="false">
      <c r="B899" s="26"/>
      <c r="C899" s="27"/>
      <c r="D899" s="28" t="str">
        <f aca="false">IF(C899="","",IFERROR(INDEX(Players!$C$5:$C$104,MATCH(C899,Players!$B$5:$B$104,0)),"ID not found"))</f>
        <v/>
      </c>
      <c r="E899" s="27"/>
      <c r="F899" s="27"/>
      <c r="G899" s="28" t="str">
        <f aca="false">IF(F899="","",IFERROR(INDEX('Hitting Drills'!$D$6:$D$45,MATCH(F899,'Hitting Drills'!$B$6:$B$45,0)),"Not a hitting drill ID"))</f>
        <v/>
      </c>
      <c r="H899" s="27"/>
      <c r="I899" s="27"/>
      <c r="J899" s="27"/>
      <c r="K899" s="27"/>
      <c r="L899" s="27"/>
      <c r="M899" s="27"/>
      <c r="N899" s="27"/>
      <c r="O899" s="27"/>
      <c r="P899" s="27"/>
      <c r="Q899" s="27"/>
      <c r="R899" s="27"/>
      <c r="S899" s="29" t="str">
        <f aca="false">IF(OR(B899="",C899=""),"",IF(COUNTIFS($B$5:B899,B899,$C$5:C899,C899)=1,1,0))</f>
        <v/>
      </c>
      <c r="T899" s="29" t="str">
        <f aca="false">IF(OR(B899="",C899="",E899=""),"",IF(COUNTIFS($B$5:B899,B899,$C$5:C899,C899,$E$5:E899,E899)=1,1,0))</f>
        <v/>
      </c>
      <c r="U899" s="28" t="str">
        <f aca="false">IF(COUNTA(B899:C899,E899:F899,H899:P899)=0,"",IF(OR(B899="",C899="",E899=""),"Check: date, player, and context required",IF(AND(ISNUMBER(J899),ISNUMBER(I899),J899&gt;I899),"Check: solid contacts &gt; swings",IF(AND(ISNUMBER(L899),ISNUMBER(K899),L899&gt;K899),"Check: correct &gt; assessed decisions",IF(AND(ISNUMBER(N899),ISNUMBER(M899),N899&gt;M899),"Check: intended &gt; assessed landings",IF(AND(ISNUMBER(J899),I899=""),"Check: solid contacts without swings","OK"))))))</f>
        <v/>
      </c>
    </row>
    <row r="900" customFormat="false" ht="15" hidden="false" customHeight="false" outlineLevel="0" collapsed="false">
      <c r="B900" s="26"/>
      <c r="C900" s="27"/>
      <c r="D900" s="28" t="str">
        <f aca="false">IF(C900="","",IFERROR(INDEX(Players!$C$5:$C$104,MATCH(C900,Players!$B$5:$B$104,0)),"ID not found"))</f>
        <v/>
      </c>
      <c r="E900" s="27"/>
      <c r="F900" s="27"/>
      <c r="G900" s="28" t="str">
        <f aca="false">IF(F900="","",IFERROR(INDEX('Hitting Drills'!$D$6:$D$45,MATCH(F900,'Hitting Drills'!$B$6:$B$45,0)),"Not a hitting drill ID"))</f>
        <v/>
      </c>
      <c r="H900" s="27"/>
      <c r="I900" s="27"/>
      <c r="J900" s="27"/>
      <c r="K900" s="27"/>
      <c r="L900" s="27"/>
      <c r="M900" s="27"/>
      <c r="N900" s="27"/>
      <c r="O900" s="27"/>
      <c r="P900" s="27"/>
      <c r="Q900" s="27"/>
      <c r="R900" s="27"/>
      <c r="S900" s="29" t="str">
        <f aca="false">IF(OR(B900="",C900=""),"",IF(COUNTIFS($B$5:B900,B900,$C$5:C900,C900)=1,1,0))</f>
        <v/>
      </c>
      <c r="T900" s="29" t="str">
        <f aca="false">IF(OR(B900="",C900="",E900=""),"",IF(COUNTIFS($B$5:B900,B900,$C$5:C900,C900,$E$5:E900,E900)=1,1,0))</f>
        <v/>
      </c>
      <c r="U900" s="28" t="str">
        <f aca="false">IF(COUNTA(B900:C900,E900:F900,H900:P900)=0,"",IF(OR(B900="",C900="",E900=""),"Check: date, player, and context required",IF(AND(ISNUMBER(J900),ISNUMBER(I900),J900&gt;I900),"Check: solid contacts &gt; swings",IF(AND(ISNUMBER(L900),ISNUMBER(K900),L900&gt;K900),"Check: correct &gt; assessed decisions",IF(AND(ISNUMBER(N900),ISNUMBER(M900),N900&gt;M900),"Check: intended &gt; assessed landings",IF(AND(ISNUMBER(J900),I900=""),"Check: solid contacts without swings","OK"))))))</f>
        <v/>
      </c>
    </row>
    <row r="901" customFormat="false" ht="15" hidden="false" customHeight="false" outlineLevel="0" collapsed="false">
      <c r="B901" s="26"/>
      <c r="C901" s="27"/>
      <c r="D901" s="28" t="str">
        <f aca="false">IF(C901="","",IFERROR(INDEX(Players!$C$5:$C$104,MATCH(C901,Players!$B$5:$B$104,0)),"ID not found"))</f>
        <v/>
      </c>
      <c r="E901" s="27"/>
      <c r="F901" s="27"/>
      <c r="G901" s="28" t="str">
        <f aca="false">IF(F901="","",IFERROR(INDEX('Hitting Drills'!$D$6:$D$45,MATCH(F901,'Hitting Drills'!$B$6:$B$45,0)),"Not a hitting drill ID"))</f>
        <v/>
      </c>
      <c r="H901" s="27"/>
      <c r="I901" s="27"/>
      <c r="J901" s="27"/>
      <c r="K901" s="27"/>
      <c r="L901" s="27"/>
      <c r="M901" s="27"/>
      <c r="N901" s="27"/>
      <c r="O901" s="27"/>
      <c r="P901" s="27"/>
      <c r="Q901" s="27"/>
      <c r="R901" s="27"/>
      <c r="S901" s="29" t="str">
        <f aca="false">IF(OR(B901="",C901=""),"",IF(COUNTIFS($B$5:B901,B901,$C$5:C901,C901)=1,1,0))</f>
        <v/>
      </c>
      <c r="T901" s="29" t="str">
        <f aca="false">IF(OR(B901="",C901="",E901=""),"",IF(COUNTIFS($B$5:B901,B901,$C$5:C901,C901,$E$5:E901,E901)=1,1,0))</f>
        <v/>
      </c>
      <c r="U901" s="28" t="str">
        <f aca="false">IF(COUNTA(B901:C901,E901:F901,H901:P901)=0,"",IF(OR(B901="",C901="",E901=""),"Check: date, player, and context required",IF(AND(ISNUMBER(J901),ISNUMBER(I901),J901&gt;I901),"Check: solid contacts &gt; swings",IF(AND(ISNUMBER(L901),ISNUMBER(K901),L901&gt;K901),"Check: correct &gt; assessed decisions",IF(AND(ISNUMBER(N901),ISNUMBER(M901),N901&gt;M901),"Check: intended &gt; assessed landings",IF(AND(ISNUMBER(J901),I901=""),"Check: solid contacts without swings","OK"))))))</f>
        <v/>
      </c>
    </row>
    <row r="902" customFormat="false" ht="15" hidden="false" customHeight="false" outlineLevel="0" collapsed="false">
      <c r="B902" s="26"/>
      <c r="C902" s="27"/>
      <c r="D902" s="28" t="str">
        <f aca="false">IF(C902="","",IFERROR(INDEX(Players!$C$5:$C$104,MATCH(C902,Players!$B$5:$B$104,0)),"ID not found"))</f>
        <v/>
      </c>
      <c r="E902" s="27"/>
      <c r="F902" s="27"/>
      <c r="G902" s="28" t="str">
        <f aca="false">IF(F902="","",IFERROR(INDEX('Hitting Drills'!$D$6:$D$45,MATCH(F902,'Hitting Drills'!$B$6:$B$45,0)),"Not a hitting drill ID"))</f>
        <v/>
      </c>
      <c r="H902" s="27"/>
      <c r="I902" s="27"/>
      <c r="J902" s="27"/>
      <c r="K902" s="27"/>
      <c r="L902" s="27"/>
      <c r="M902" s="27"/>
      <c r="N902" s="27"/>
      <c r="O902" s="27"/>
      <c r="P902" s="27"/>
      <c r="Q902" s="27"/>
      <c r="R902" s="27"/>
      <c r="S902" s="29" t="str">
        <f aca="false">IF(OR(B902="",C902=""),"",IF(COUNTIFS($B$5:B902,B902,$C$5:C902,C902)=1,1,0))</f>
        <v/>
      </c>
      <c r="T902" s="29" t="str">
        <f aca="false">IF(OR(B902="",C902="",E902=""),"",IF(COUNTIFS($B$5:B902,B902,$C$5:C902,C902,$E$5:E902,E902)=1,1,0))</f>
        <v/>
      </c>
      <c r="U902" s="28" t="str">
        <f aca="false">IF(COUNTA(B902:C902,E902:F902,H902:P902)=0,"",IF(OR(B902="",C902="",E902=""),"Check: date, player, and context required",IF(AND(ISNUMBER(J902),ISNUMBER(I902),J902&gt;I902),"Check: solid contacts &gt; swings",IF(AND(ISNUMBER(L902),ISNUMBER(K902),L902&gt;K902),"Check: correct &gt; assessed decisions",IF(AND(ISNUMBER(N902),ISNUMBER(M902),N902&gt;M902),"Check: intended &gt; assessed landings",IF(AND(ISNUMBER(J902),I902=""),"Check: solid contacts without swings","OK"))))))</f>
        <v/>
      </c>
    </row>
    <row r="903" customFormat="false" ht="15" hidden="false" customHeight="false" outlineLevel="0" collapsed="false">
      <c r="B903" s="26"/>
      <c r="C903" s="27"/>
      <c r="D903" s="28" t="str">
        <f aca="false">IF(C903="","",IFERROR(INDEX(Players!$C$5:$C$104,MATCH(C903,Players!$B$5:$B$104,0)),"ID not found"))</f>
        <v/>
      </c>
      <c r="E903" s="27"/>
      <c r="F903" s="27"/>
      <c r="G903" s="28" t="str">
        <f aca="false">IF(F903="","",IFERROR(INDEX('Hitting Drills'!$D$6:$D$45,MATCH(F903,'Hitting Drills'!$B$6:$B$45,0)),"Not a hitting drill ID"))</f>
        <v/>
      </c>
      <c r="H903" s="27"/>
      <c r="I903" s="27"/>
      <c r="J903" s="27"/>
      <c r="K903" s="27"/>
      <c r="L903" s="27"/>
      <c r="M903" s="27"/>
      <c r="N903" s="27"/>
      <c r="O903" s="27"/>
      <c r="P903" s="27"/>
      <c r="Q903" s="27"/>
      <c r="R903" s="27"/>
      <c r="S903" s="29" t="str">
        <f aca="false">IF(OR(B903="",C903=""),"",IF(COUNTIFS($B$5:B903,B903,$C$5:C903,C903)=1,1,0))</f>
        <v/>
      </c>
      <c r="T903" s="29" t="str">
        <f aca="false">IF(OR(B903="",C903="",E903=""),"",IF(COUNTIFS($B$5:B903,B903,$C$5:C903,C903,$E$5:E903,E903)=1,1,0))</f>
        <v/>
      </c>
      <c r="U903" s="28" t="str">
        <f aca="false">IF(COUNTA(B903:C903,E903:F903,H903:P903)=0,"",IF(OR(B903="",C903="",E903=""),"Check: date, player, and context required",IF(AND(ISNUMBER(J903),ISNUMBER(I903),J903&gt;I903),"Check: solid contacts &gt; swings",IF(AND(ISNUMBER(L903),ISNUMBER(K903),L903&gt;K903),"Check: correct &gt; assessed decisions",IF(AND(ISNUMBER(N903),ISNUMBER(M903),N903&gt;M903),"Check: intended &gt; assessed landings",IF(AND(ISNUMBER(J903),I903=""),"Check: solid contacts without swings","OK"))))))</f>
        <v/>
      </c>
    </row>
    <row r="904" customFormat="false" ht="15" hidden="false" customHeight="false" outlineLevel="0" collapsed="false">
      <c r="B904" s="26"/>
      <c r="C904" s="27"/>
      <c r="D904" s="28" t="str">
        <f aca="false">IF(C904="","",IFERROR(INDEX(Players!$C$5:$C$104,MATCH(C904,Players!$B$5:$B$104,0)),"ID not found"))</f>
        <v/>
      </c>
      <c r="E904" s="27"/>
      <c r="F904" s="27"/>
      <c r="G904" s="28" t="str">
        <f aca="false">IF(F904="","",IFERROR(INDEX('Hitting Drills'!$D$6:$D$45,MATCH(F904,'Hitting Drills'!$B$6:$B$45,0)),"Not a hitting drill ID"))</f>
        <v/>
      </c>
      <c r="H904" s="27"/>
      <c r="I904" s="27"/>
      <c r="J904" s="27"/>
      <c r="K904" s="27"/>
      <c r="L904" s="27"/>
      <c r="M904" s="27"/>
      <c r="N904" s="27"/>
      <c r="O904" s="27"/>
      <c r="P904" s="27"/>
      <c r="Q904" s="27"/>
      <c r="R904" s="27"/>
      <c r="S904" s="29" t="str">
        <f aca="false">IF(OR(B904="",C904=""),"",IF(COUNTIFS($B$5:B904,B904,$C$5:C904,C904)=1,1,0))</f>
        <v/>
      </c>
      <c r="T904" s="29" t="str">
        <f aca="false">IF(OR(B904="",C904="",E904=""),"",IF(COUNTIFS($B$5:B904,B904,$C$5:C904,C904,$E$5:E904,E904)=1,1,0))</f>
        <v/>
      </c>
      <c r="U904" s="28" t="str">
        <f aca="false">IF(COUNTA(B904:C904,E904:F904,H904:P904)=0,"",IF(OR(B904="",C904="",E904=""),"Check: date, player, and context required",IF(AND(ISNUMBER(J904),ISNUMBER(I904),J904&gt;I904),"Check: solid contacts &gt; swings",IF(AND(ISNUMBER(L904),ISNUMBER(K904),L904&gt;K904),"Check: correct &gt; assessed decisions",IF(AND(ISNUMBER(N904),ISNUMBER(M904),N904&gt;M904),"Check: intended &gt; assessed landings",IF(AND(ISNUMBER(J904),I904=""),"Check: solid contacts without swings","OK"))))))</f>
        <v/>
      </c>
    </row>
    <row r="905" customFormat="false" ht="15" hidden="false" customHeight="false" outlineLevel="0" collapsed="false">
      <c r="B905" s="26"/>
      <c r="C905" s="27"/>
      <c r="D905" s="28" t="str">
        <f aca="false">IF(C905="","",IFERROR(INDEX(Players!$C$5:$C$104,MATCH(C905,Players!$B$5:$B$104,0)),"ID not found"))</f>
        <v/>
      </c>
      <c r="E905" s="27"/>
      <c r="F905" s="27"/>
      <c r="G905" s="28" t="str">
        <f aca="false">IF(F905="","",IFERROR(INDEX('Hitting Drills'!$D$6:$D$45,MATCH(F905,'Hitting Drills'!$B$6:$B$45,0)),"Not a hitting drill ID"))</f>
        <v/>
      </c>
      <c r="H905" s="27"/>
      <c r="I905" s="27"/>
      <c r="J905" s="27"/>
      <c r="K905" s="27"/>
      <c r="L905" s="27"/>
      <c r="M905" s="27"/>
      <c r="N905" s="27"/>
      <c r="O905" s="27"/>
      <c r="P905" s="27"/>
      <c r="Q905" s="27"/>
      <c r="R905" s="27"/>
      <c r="S905" s="29" t="str">
        <f aca="false">IF(OR(B905="",C905=""),"",IF(COUNTIFS($B$5:B905,B905,$C$5:C905,C905)=1,1,0))</f>
        <v/>
      </c>
      <c r="T905" s="29" t="str">
        <f aca="false">IF(OR(B905="",C905="",E905=""),"",IF(COUNTIFS($B$5:B905,B905,$C$5:C905,C905,$E$5:E905,E905)=1,1,0))</f>
        <v/>
      </c>
      <c r="U905" s="28" t="str">
        <f aca="false">IF(COUNTA(B905:C905,E905:F905,H905:P905)=0,"",IF(OR(B905="",C905="",E905=""),"Check: date, player, and context required",IF(AND(ISNUMBER(J905),ISNUMBER(I905),J905&gt;I905),"Check: solid contacts &gt; swings",IF(AND(ISNUMBER(L905),ISNUMBER(K905),L905&gt;K905),"Check: correct &gt; assessed decisions",IF(AND(ISNUMBER(N905),ISNUMBER(M905),N905&gt;M905),"Check: intended &gt; assessed landings",IF(AND(ISNUMBER(J905),I905=""),"Check: solid contacts without swings","OK"))))))</f>
        <v/>
      </c>
    </row>
    <row r="906" customFormat="false" ht="15" hidden="false" customHeight="false" outlineLevel="0" collapsed="false">
      <c r="B906" s="26"/>
      <c r="C906" s="27"/>
      <c r="D906" s="28" t="str">
        <f aca="false">IF(C906="","",IFERROR(INDEX(Players!$C$5:$C$104,MATCH(C906,Players!$B$5:$B$104,0)),"ID not found"))</f>
        <v/>
      </c>
      <c r="E906" s="27"/>
      <c r="F906" s="27"/>
      <c r="G906" s="28" t="str">
        <f aca="false">IF(F906="","",IFERROR(INDEX('Hitting Drills'!$D$6:$D$45,MATCH(F906,'Hitting Drills'!$B$6:$B$45,0)),"Not a hitting drill ID"))</f>
        <v/>
      </c>
      <c r="H906" s="27"/>
      <c r="I906" s="27"/>
      <c r="J906" s="27"/>
      <c r="K906" s="27"/>
      <c r="L906" s="27"/>
      <c r="M906" s="27"/>
      <c r="N906" s="27"/>
      <c r="O906" s="27"/>
      <c r="P906" s="27"/>
      <c r="Q906" s="27"/>
      <c r="R906" s="27"/>
      <c r="S906" s="29" t="str">
        <f aca="false">IF(OR(B906="",C906=""),"",IF(COUNTIFS($B$5:B906,B906,$C$5:C906,C906)=1,1,0))</f>
        <v/>
      </c>
      <c r="T906" s="29" t="str">
        <f aca="false">IF(OR(B906="",C906="",E906=""),"",IF(COUNTIFS($B$5:B906,B906,$C$5:C906,C906,$E$5:E906,E906)=1,1,0))</f>
        <v/>
      </c>
      <c r="U906" s="28" t="str">
        <f aca="false">IF(COUNTA(B906:C906,E906:F906,H906:P906)=0,"",IF(OR(B906="",C906="",E906=""),"Check: date, player, and context required",IF(AND(ISNUMBER(J906),ISNUMBER(I906),J906&gt;I906),"Check: solid contacts &gt; swings",IF(AND(ISNUMBER(L906),ISNUMBER(K906),L906&gt;K906),"Check: correct &gt; assessed decisions",IF(AND(ISNUMBER(N906),ISNUMBER(M906),N906&gt;M906),"Check: intended &gt; assessed landings",IF(AND(ISNUMBER(J906),I906=""),"Check: solid contacts without swings","OK"))))))</f>
        <v/>
      </c>
    </row>
    <row r="907" customFormat="false" ht="15" hidden="false" customHeight="false" outlineLevel="0" collapsed="false">
      <c r="B907" s="26"/>
      <c r="C907" s="27"/>
      <c r="D907" s="28" t="str">
        <f aca="false">IF(C907="","",IFERROR(INDEX(Players!$C$5:$C$104,MATCH(C907,Players!$B$5:$B$104,0)),"ID not found"))</f>
        <v/>
      </c>
      <c r="E907" s="27"/>
      <c r="F907" s="27"/>
      <c r="G907" s="28" t="str">
        <f aca="false">IF(F907="","",IFERROR(INDEX('Hitting Drills'!$D$6:$D$45,MATCH(F907,'Hitting Drills'!$B$6:$B$45,0)),"Not a hitting drill ID"))</f>
        <v/>
      </c>
      <c r="H907" s="27"/>
      <c r="I907" s="27"/>
      <c r="J907" s="27"/>
      <c r="K907" s="27"/>
      <c r="L907" s="27"/>
      <c r="M907" s="27"/>
      <c r="N907" s="27"/>
      <c r="O907" s="27"/>
      <c r="P907" s="27"/>
      <c r="Q907" s="27"/>
      <c r="R907" s="27"/>
      <c r="S907" s="29" t="str">
        <f aca="false">IF(OR(B907="",C907=""),"",IF(COUNTIFS($B$5:B907,B907,$C$5:C907,C907)=1,1,0))</f>
        <v/>
      </c>
      <c r="T907" s="29" t="str">
        <f aca="false">IF(OR(B907="",C907="",E907=""),"",IF(COUNTIFS($B$5:B907,B907,$C$5:C907,C907,$E$5:E907,E907)=1,1,0))</f>
        <v/>
      </c>
      <c r="U907" s="28" t="str">
        <f aca="false">IF(COUNTA(B907:C907,E907:F907,H907:P907)=0,"",IF(OR(B907="",C907="",E907=""),"Check: date, player, and context required",IF(AND(ISNUMBER(J907),ISNUMBER(I907),J907&gt;I907),"Check: solid contacts &gt; swings",IF(AND(ISNUMBER(L907),ISNUMBER(K907),L907&gt;K907),"Check: correct &gt; assessed decisions",IF(AND(ISNUMBER(N907),ISNUMBER(M907),N907&gt;M907),"Check: intended &gt; assessed landings",IF(AND(ISNUMBER(J907),I907=""),"Check: solid contacts without swings","OK"))))))</f>
        <v/>
      </c>
    </row>
    <row r="908" customFormat="false" ht="15" hidden="false" customHeight="false" outlineLevel="0" collapsed="false">
      <c r="B908" s="26"/>
      <c r="C908" s="27"/>
      <c r="D908" s="28" t="str">
        <f aca="false">IF(C908="","",IFERROR(INDEX(Players!$C$5:$C$104,MATCH(C908,Players!$B$5:$B$104,0)),"ID not found"))</f>
        <v/>
      </c>
      <c r="E908" s="27"/>
      <c r="F908" s="27"/>
      <c r="G908" s="28" t="str">
        <f aca="false">IF(F908="","",IFERROR(INDEX('Hitting Drills'!$D$6:$D$45,MATCH(F908,'Hitting Drills'!$B$6:$B$45,0)),"Not a hitting drill ID"))</f>
        <v/>
      </c>
      <c r="H908" s="27"/>
      <c r="I908" s="27"/>
      <c r="J908" s="27"/>
      <c r="K908" s="27"/>
      <c r="L908" s="27"/>
      <c r="M908" s="27"/>
      <c r="N908" s="27"/>
      <c r="O908" s="27"/>
      <c r="P908" s="27"/>
      <c r="Q908" s="27"/>
      <c r="R908" s="27"/>
      <c r="S908" s="29" t="str">
        <f aca="false">IF(OR(B908="",C908=""),"",IF(COUNTIFS($B$5:B908,B908,$C$5:C908,C908)=1,1,0))</f>
        <v/>
      </c>
      <c r="T908" s="29" t="str">
        <f aca="false">IF(OR(B908="",C908="",E908=""),"",IF(COUNTIFS($B$5:B908,B908,$C$5:C908,C908,$E$5:E908,E908)=1,1,0))</f>
        <v/>
      </c>
      <c r="U908" s="28" t="str">
        <f aca="false">IF(COUNTA(B908:C908,E908:F908,H908:P908)=0,"",IF(OR(B908="",C908="",E908=""),"Check: date, player, and context required",IF(AND(ISNUMBER(J908),ISNUMBER(I908),J908&gt;I908),"Check: solid contacts &gt; swings",IF(AND(ISNUMBER(L908),ISNUMBER(K908),L908&gt;K908),"Check: correct &gt; assessed decisions",IF(AND(ISNUMBER(N908),ISNUMBER(M908),N908&gt;M908),"Check: intended &gt; assessed landings",IF(AND(ISNUMBER(J908),I908=""),"Check: solid contacts without swings","OK"))))))</f>
        <v/>
      </c>
    </row>
    <row r="909" customFormat="false" ht="15" hidden="false" customHeight="false" outlineLevel="0" collapsed="false">
      <c r="B909" s="26"/>
      <c r="C909" s="27"/>
      <c r="D909" s="28" t="str">
        <f aca="false">IF(C909="","",IFERROR(INDEX(Players!$C$5:$C$104,MATCH(C909,Players!$B$5:$B$104,0)),"ID not found"))</f>
        <v/>
      </c>
      <c r="E909" s="27"/>
      <c r="F909" s="27"/>
      <c r="G909" s="28" t="str">
        <f aca="false">IF(F909="","",IFERROR(INDEX('Hitting Drills'!$D$6:$D$45,MATCH(F909,'Hitting Drills'!$B$6:$B$45,0)),"Not a hitting drill ID"))</f>
        <v/>
      </c>
      <c r="H909" s="27"/>
      <c r="I909" s="27"/>
      <c r="J909" s="27"/>
      <c r="K909" s="27"/>
      <c r="L909" s="27"/>
      <c r="M909" s="27"/>
      <c r="N909" s="27"/>
      <c r="O909" s="27"/>
      <c r="P909" s="27"/>
      <c r="Q909" s="27"/>
      <c r="R909" s="27"/>
      <c r="S909" s="29" t="str">
        <f aca="false">IF(OR(B909="",C909=""),"",IF(COUNTIFS($B$5:B909,B909,$C$5:C909,C909)=1,1,0))</f>
        <v/>
      </c>
      <c r="T909" s="29" t="str">
        <f aca="false">IF(OR(B909="",C909="",E909=""),"",IF(COUNTIFS($B$5:B909,B909,$C$5:C909,C909,$E$5:E909,E909)=1,1,0))</f>
        <v/>
      </c>
      <c r="U909" s="28" t="str">
        <f aca="false">IF(COUNTA(B909:C909,E909:F909,H909:P909)=0,"",IF(OR(B909="",C909="",E909=""),"Check: date, player, and context required",IF(AND(ISNUMBER(J909),ISNUMBER(I909),J909&gt;I909),"Check: solid contacts &gt; swings",IF(AND(ISNUMBER(L909),ISNUMBER(K909),L909&gt;K909),"Check: correct &gt; assessed decisions",IF(AND(ISNUMBER(N909),ISNUMBER(M909),N909&gt;M909),"Check: intended &gt; assessed landings",IF(AND(ISNUMBER(J909),I909=""),"Check: solid contacts without swings","OK"))))))</f>
        <v/>
      </c>
    </row>
    <row r="910" customFormat="false" ht="15" hidden="false" customHeight="false" outlineLevel="0" collapsed="false">
      <c r="B910" s="26"/>
      <c r="C910" s="27"/>
      <c r="D910" s="28" t="str">
        <f aca="false">IF(C910="","",IFERROR(INDEX(Players!$C$5:$C$104,MATCH(C910,Players!$B$5:$B$104,0)),"ID not found"))</f>
        <v/>
      </c>
      <c r="E910" s="27"/>
      <c r="F910" s="27"/>
      <c r="G910" s="28" t="str">
        <f aca="false">IF(F910="","",IFERROR(INDEX('Hitting Drills'!$D$6:$D$45,MATCH(F910,'Hitting Drills'!$B$6:$B$45,0)),"Not a hitting drill ID"))</f>
        <v/>
      </c>
      <c r="H910" s="27"/>
      <c r="I910" s="27"/>
      <c r="J910" s="27"/>
      <c r="K910" s="27"/>
      <c r="L910" s="27"/>
      <c r="M910" s="27"/>
      <c r="N910" s="27"/>
      <c r="O910" s="27"/>
      <c r="P910" s="27"/>
      <c r="Q910" s="27"/>
      <c r="R910" s="27"/>
      <c r="S910" s="29" t="str">
        <f aca="false">IF(OR(B910="",C910=""),"",IF(COUNTIFS($B$5:B910,B910,$C$5:C910,C910)=1,1,0))</f>
        <v/>
      </c>
      <c r="T910" s="29" t="str">
        <f aca="false">IF(OR(B910="",C910="",E910=""),"",IF(COUNTIFS($B$5:B910,B910,$C$5:C910,C910,$E$5:E910,E910)=1,1,0))</f>
        <v/>
      </c>
      <c r="U910" s="28" t="str">
        <f aca="false">IF(COUNTA(B910:C910,E910:F910,H910:P910)=0,"",IF(OR(B910="",C910="",E910=""),"Check: date, player, and context required",IF(AND(ISNUMBER(J910),ISNUMBER(I910),J910&gt;I910),"Check: solid contacts &gt; swings",IF(AND(ISNUMBER(L910),ISNUMBER(K910),L910&gt;K910),"Check: correct &gt; assessed decisions",IF(AND(ISNUMBER(N910),ISNUMBER(M910),N910&gt;M910),"Check: intended &gt; assessed landings",IF(AND(ISNUMBER(J910),I910=""),"Check: solid contacts without swings","OK"))))))</f>
        <v/>
      </c>
    </row>
    <row r="911" customFormat="false" ht="15" hidden="false" customHeight="false" outlineLevel="0" collapsed="false">
      <c r="B911" s="26"/>
      <c r="C911" s="27"/>
      <c r="D911" s="28" t="str">
        <f aca="false">IF(C911="","",IFERROR(INDEX(Players!$C$5:$C$104,MATCH(C911,Players!$B$5:$B$104,0)),"ID not found"))</f>
        <v/>
      </c>
      <c r="E911" s="27"/>
      <c r="F911" s="27"/>
      <c r="G911" s="28" t="str">
        <f aca="false">IF(F911="","",IFERROR(INDEX('Hitting Drills'!$D$6:$D$45,MATCH(F911,'Hitting Drills'!$B$6:$B$45,0)),"Not a hitting drill ID"))</f>
        <v/>
      </c>
      <c r="H911" s="27"/>
      <c r="I911" s="27"/>
      <c r="J911" s="27"/>
      <c r="K911" s="27"/>
      <c r="L911" s="27"/>
      <c r="M911" s="27"/>
      <c r="N911" s="27"/>
      <c r="O911" s="27"/>
      <c r="P911" s="27"/>
      <c r="Q911" s="27"/>
      <c r="R911" s="27"/>
      <c r="S911" s="29" t="str">
        <f aca="false">IF(OR(B911="",C911=""),"",IF(COUNTIFS($B$5:B911,B911,$C$5:C911,C911)=1,1,0))</f>
        <v/>
      </c>
      <c r="T911" s="29" t="str">
        <f aca="false">IF(OR(B911="",C911="",E911=""),"",IF(COUNTIFS($B$5:B911,B911,$C$5:C911,C911,$E$5:E911,E911)=1,1,0))</f>
        <v/>
      </c>
      <c r="U911" s="28" t="str">
        <f aca="false">IF(COUNTA(B911:C911,E911:F911,H911:P911)=0,"",IF(OR(B911="",C911="",E911=""),"Check: date, player, and context required",IF(AND(ISNUMBER(J911),ISNUMBER(I911),J911&gt;I911),"Check: solid contacts &gt; swings",IF(AND(ISNUMBER(L911),ISNUMBER(K911),L911&gt;K911),"Check: correct &gt; assessed decisions",IF(AND(ISNUMBER(N911),ISNUMBER(M911),N911&gt;M911),"Check: intended &gt; assessed landings",IF(AND(ISNUMBER(J911),I911=""),"Check: solid contacts without swings","OK"))))))</f>
        <v/>
      </c>
    </row>
    <row r="912" customFormat="false" ht="15" hidden="false" customHeight="false" outlineLevel="0" collapsed="false">
      <c r="B912" s="26"/>
      <c r="C912" s="27"/>
      <c r="D912" s="28" t="str">
        <f aca="false">IF(C912="","",IFERROR(INDEX(Players!$C$5:$C$104,MATCH(C912,Players!$B$5:$B$104,0)),"ID not found"))</f>
        <v/>
      </c>
      <c r="E912" s="27"/>
      <c r="F912" s="27"/>
      <c r="G912" s="28" t="str">
        <f aca="false">IF(F912="","",IFERROR(INDEX('Hitting Drills'!$D$6:$D$45,MATCH(F912,'Hitting Drills'!$B$6:$B$45,0)),"Not a hitting drill ID"))</f>
        <v/>
      </c>
      <c r="H912" s="27"/>
      <c r="I912" s="27"/>
      <c r="J912" s="27"/>
      <c r="K912" s="27"/>
      <c r="L912" s="27"/>
      <c r="M912" s="27"/>
      <c r="N912" s="27"/>
      <c r="O912" s="27"/>
      <c r="P912" s="27"/>
      <c r="Q912" s="27"/>
      <c r="R912" s="27"/>
      <c r="S912" s="29" t="str">
        <f aca="false">IF(OR(B912="",C912=""),"",IF(COUNTIFS($B$5:B912,B912,$C$5:C912,C912)=1,1,0))</f>
        <v/>
      </c>
      <c r="T912" s="29" t="str">
        <f aca="false">IF(OR(B912="",C912="",E912=""),"",IF(COUNTIFS($B$5:B912,B912,$C$5:C912,C912,$E$5:E912,E912)=1,1,0))</f>
        <v/>
      </c>
      <c r="U912" s="28" t="str">
        <f aca="false">IF(COUNTA(B912:C912,E912:F912,H912:P912)=0,"",IF(OR(B912="",C912="",E912=""),"Check: date, player, and context required",IF(AND(ISNUMBER(J912),ISNUMBER(I912),J912&gt;I912),"Check: solid contacts &gt; swings",IF(AND(ISNUMBER(L912),ISNUMBER(K912),L912&gt;K912),"Check: correct &gt; assessed decisions",IF(AND(ISNUMBER(N912),ISNUMBER(M912),N912&gt;M912),"Check: intended &gt; assessed landings",IF(AND(ISNUMBER(J912),I912=""),"Check: solid contacts without swings","OK"))))))</f>
        <v/>
      </c>
    </row>
    <row r="913" customFormat="false" ht="15" hidden="false" customHeight="false" outlineLevel="0" collapsed="false">
      <c r="B913" s="26"/>
      <c r="C913" s="27"/>
      <c r="D913" s="28" t="str">
        <f aca="false">IF(C913="","",IFERROR(INDEX(Players!$C$5:$C$104,MATCH(C913,Players!$B$5:$B$104,0)),"ID not found"))</f>
        <v/>
      </c>
      <c r="E913" s="27"/>
      <c r="F913" s="27"/>
      <c r="G913" s="28" t="str">
        <f aca="false">IF(F913="","",IFERROR(INDEX('Hitting Drills'!$D$6:$D$45,MATCH(F913,'Hitting Drills'!$B$6:$B$45,0)),"Not a hitting drill ID"))</f>
        <v/>
      </c>
      <c r="H913" s="27"/>
      <c r="I913" s="27"/>
      <c r="J913" s="27"/>
      <c r="K913" s="27"/>
      <c r="L913" s="27"/>
      <c r="M913" s="27"/>
      <c r="N913" s="27"/>
      <c r="O913" s="27"/>
      <c r="P913" s="27"/>
      <c r="Q913" s="27"/>
      <c r="R913" s="27"/>
      <c r="S913" s="29" t="str">
        <f aca="false">IF(OR(B913="",C913=""),"",IF(COUNTIFS($B$5:B913,B913,$C$5:C913,C913)=1,1,0))</f>
        <v/>
      </c>
      <c r="T913" s="29" t="str">
        <f aca="false">IF(OR(B913="",C913="",E913=""),"",IF(COUNTIFS($B$5:B913,B913,$C$5:C913,C913,$E$5:E913,E913)=1,1,0))</f>
        <v/>
      </c>
      <c r="U913" s="28" t="str">
        <f aca="false">IF(COUNTA(B913:C913,E913:F913,H913:P913)=0,"",IF(OR(B913="",C913="",E913=""),"Check: date, player, and context required",IF(AND(ISNUMBER(J913),ISNUMBER(I913),J913&gt;I913),"Check: solid contacts &gt; swings",IF(AND(ISNUMBER(L913),ISNUMBER(K913),L913&gt;K913),"Check: correct &gt; assessed decisions",IF(AND(ISNUMBER(N913),ISNUMBER(M913),N913&gt;M913),"Check: intended &gt; assessed landings",IF(AND(ISNUMBER(J913),I913=""),"Check: solid contacts without swings","OK"))))))</f>
        <v/>
      </c>
    </row>
    <row r="914" customFormat="false" ht="15" hidden="false" customHeight="false" outlineLevel="0" collapsed="false">
      <c r="B914" s="26"/>
      <c r="C914" s="27"/>
      <c r="D914" s="28" t="str">
        <f aca="false">IF(C914="","",IFERROR(INDEX(Players!$C$5:$C$104,MATCH(C914,Players!$B$5:$B$104,0)),"ID not found"))</f>
        <v/>
      </c>
      <c r="E914" s="27"/>
      <c r="F914" s="27"/>
      <c r="G914" s="28" t="str">
        <f aca="false">IF(F914="","",IFERROR(INDEX('Hitting Drills'!$D$6:$D$45,MATCH(F914,'Hitting Drills'!$B$6:$B$45,0)),"Not a hitting drill ID"))</f>
        <v/>
      </c>
      <c r="H914" s="27"/>
      <c r="I914" s="27"/>
      <c r="J914" s="27"/>
      <c r="K914" s="27"/>
      <c r="L914" s="27"/>
      <c r="M914" s="27"/>
      <c r="N914" s="27"/>
      <c r="O914" s="27"/>
      <c r="P914" s="27"/>
      <c r="Q914" s="27"/>
      <c r="R914" s="27"/>
      <c r="S914" s="29" t="str">
        <f aca="false">IF(OR(B914="",C914=""),"",IF(COUNTIFS($B$5:B914,B914,$C$5:C914,C914)=1,1,0))</f>
        <v/>
      </c>
      <c r="T914" s="29" t="str">
        <f aca="false">IF(OR(B914="",C914="",E914=""),"",IF(COUNTIFS($B$5:B914,B914,$C$5:C914,C914,$E$5:E914,E914)=1,1,0))</f>
        <v/>
      </c>
      <c r="U914" s="28" t="str">
        <f aca="false">IF(COUNTA(B914:C914,E914:F914,H914:P914)=0,"",IF(OR(B914="",C914="",E914=""),"Check: date, player, and context required",IF(AND(ISNUMBER(J914),ISNUMBER(I914),J914&gt;I914),"Check: solid contacts &gt; swings",IF(AND(ISNUMBER(L914),ISNUMBER(K914),L914&gt;K914),"Check: correct &gt; assessed decisions",IF(AND(ISNUMBER(N914),ISNUMBER(M914),N914&gt;M914),"Check: intended &gt; assessed landings",IF(AND(ISNUMBER(J914),I914=""),"Check: solid contacts without swings","OK"))))))</f>
        <v/>
      </c>
    </row>
    <row r="915" customFormat="false" ht="15" hidden="false" customHeight="false" outlineLevel="0" collapsed="false">
      <c r="B915" s="26"/>
      <c r="C915" s="27"/>
      <c r="D915" s="28" t="str">
        <f aca="false">IF(C915="","",IFERROR(INDEX(Players!$C$5:$C$104,MATCH(C915,Players!$B$5:$B$104,0)),"ID not found"))</f>
        <v/>
      </c>
      <c r="E915" s="27"/>
      <c r="F915" s="27"/>
      <c r="G915" s="28" t="str">
        <f aca="false">IF(F915="","",IFERROR(INDEX('Hitting Drills'!$D$6:$D$45,MATCH(F915,'Hitting Drills'!$B$6:$B$45,0)),"Not a hitting drill ID"))</f>
        <v/>
      </c>
      <c r="H915" s="27"/>
      <c r="I915" s="27"/>
      <c r="J915" s="27"/>
      <c r="K915" s="27"/>
      <c r="L915" s="27"/>
      <c r="M915" s="27"/>
      <c r="N915" s="27"/>
      <c r="O915" s="27"/>
      <c r="P915" s="27"/>
      <c r="Q915" s="27"/>
      <c r="R915" s="27"/>
      <c r="S915" s="29" t="str">
        <f aca="false">IF(OR(B915="",C915=""),"",IF(COUNTIFS($B$5:B915,B915,$C$5:C915,C915)=1,1,0))</f>
        <v/>
      </c>
      <c r="T915" s="29" t="str">
        <f aca="false">IF(OR(B915="",C915="",E915=""),"",IF(COUNTIFS($B$5:B915,B915,$C$5:C915,C915,$E$5:E915,E915)=1,1,0))</f>
        <v/>
      </c>
      <c r="U915" s="28" t="str">
        <f aca="false">IF(COUNTA(B915:C915,E915:F915,H915:P915)=0,"",IF(OR(B915="",C915="",E915=""),"Check: date, player, and context required",IF(AND(ISNUMBER(J915),ISNUMBER(I915),J915&gt;I915),"Check: solid contacts &gt; swings",IF(AND(ISNUMBER(L915),ISNUMBER(K915),L915&gt;K915),"Check: correct &gt; assessed decisions",IF(AND(ISNUMBER(N915),ISNUMBER(M915),N915&gt;M915),"Check: intended &gt; assessed landings",IF(AND(ISNUMBER(J915),I915=""),"Check: solid contacts without swings","OK"))))))</f>
        <v/>
      </c>
    </row>
    <row r="916" customFormat="false" ht="15" hidden="false" customHeight="false" outlineLevel="0" collapsed="false">
      <c r="B916" s="26"/>
      <c r="C916" s="27"/>
      <c r="D916" s="28" t="str">
        <f aca="false">IF(C916="","",IFERROR(INDEX(Players!$C$5:$C$104,MATCH(C916,Players!$B$5:$B$104,0)),"ID not found"))</f>
        <v/>
      </c>
      <c r="E916" s="27"/>
      <c r="F916" s="27"/>
      <c r="G916" s="28" t="str">
        <f aca="false">IF(F916="","",IFERROR(INDEX('Hitting Drills'!$D$6:$D$45,MATCH(F916,'Hitting Drills'!$B$6:$B$45,0)),"Not a hitting drill ID"))</f>
        <v/>
      </c>
      <c r="H916" s="27"/>
      <c r="I916" s="27"/>
      <c r="J916" s="27"/>
      <c r="K916" s="27"/>
      <c r="L916" s="27"/>
      <c r="M916" s="27"/>
      <c r="N916" s="27"/>
      <c r="O916" s="27"/>
      <c r="P916" s="27"/>
      <c r="Q916" s="27"/>
      <c r="R916" s="27"/>
      <c r="S916" s="29" t="str">
        <f aca="false">IF(OR(B916="",C916=""),"",IF(COUNTIFS($B$5:B916,B916,$C$5:C916,C916)=1,1,0))</f>
        <v/>
      </c>
      <c r="T916" s="29" t="str">
        <f aca="false">IF(OR(B916="",C916="",E916=""),"",IF(COUNTIFS($B$5:B916,B916,$C$5:C916,C916,$E$5:E916,E916)=1,1,0))</f>
        <v/>
      </c>
      <c r="U916" s="28" t="str">
        <f aca="false">IF(COUNTA(B916:C916,E916:F916,H916:P916)=0,"",IF(OR(B916="",C916="",E916=""),"Check: date, player, and context required",IF(AND(ISNUMBER(J916),ISNUMBER(I916),J916&gt;I916),"Check: solid contacts &gt; swings",IF(AND(ISNUMBER(L916),ISNUMBER(K916),L916&gt;K916),"Check: correct &gt; assessed decisions",IF(AND(ISNUMBER(N916),ISNUMBER(M916),N916&gt;M916),"Check: intended &gt; assessed landings",IF(AND(ISNUMBER(J916),I916=""),"Check: solid contacts without swings","OK"))))))</f>
        <v/>
      </c>
    </row>
    <row r="917" customFormat="false" ht="15" hidden="false" customHeight="false" outlineLevel="0" collapsed="false">
      <c r="B917" s="26"/>
      <c r="C917" s="27"/>
      <c r="D917" s="28" t="str">
        <f aca="false">IF(C917="","",IFERROR(INDEX(Players!$C$5:$C$104,MATCH(C917,Players!$B$5:$B$104,0)),"ID not found"))</f>
        <v/>
      </c>
      <c r="E917" s="27"/>
      <c r="F917" s="27"/>
      <c r="G917" s="28" t="str">
        <f aca="false">IF(F917="","",IFERROR(INDEX('Hitting Drills'!$D$6:$D$45,MATCH(F917,'Hitting Drills'!$B$6:$B$45,0)),"Not a hitting drill ID"))</f>
        <v/>
      </c>
      <c r="H917" s="27"/>
      <c r="I917" s="27"/>
      <c r="J917" s="27"/>
      <c r="K917" s="27"/>
      <c r="L917" s="27"/>
      <c r="M917" s="27"/>
      <c r="N917" s="27"/>
      <c r="O917" s="27"/>
      <c r="P917" s="27"/>
      <c r="Q917" s="27"/>
      <c r="R917" s="27"/>
      <c r="S917" s="29" t="str">
        <f aca="false">IF(OR(B917="",C917=""),"",IF(COUNTIFS($B$5:B917,B917,$C$5:C917,C917)=1,1,0))</f>
        <v/>
      </c>
      <c r="T917" s="29" t="str">
        <f aca="false">IF(OR(B917="",C917="",E917=""),"",IF(COUNTIFS($B$5:B917,B917,$C$5:C917,C917,$E$5:E917,E917)=1,1,0))</f>
        <v/>
      </c>
      <c r="U917" s="28" t="str">
        <f aca="false">IF(COUNTA(B917:C917,E917:F917,H917:P917)=0,"",IF(OR(B917="",C917="",E917=""),"Check: date, player, and context required",IF(AND(ISNUMBER(J917),ISNUMBER(I917),J917&gt;I917),"Check: solid contacts &gt; swings",IF(AND(ISNUMBER(L917),ISNUMBER(K917),L917&gt;K917),"Check: correct &gt; assessed decisions",IF(AND(ISNUMBER(N917),ISNUMBER(M917),N917&gt;M917),"Check: intended &gt; assessed landings",IF(AND(ISNUMBER(J917),I917=""),"Check: solid contacts without swings","OK"))))))</f>
        <v/>
      </c>
    </row>
    <row r="918" customFormat="false" ht="15" hidden="false" customHeight="false" outlineLevel="0" collapsed="false">
      <c r="B918" s="26"/>
      <c r="C918" s="27"/>
      <c r="D918" s="28" t="str">
        <f aca="false">IF(C918="","",IFERROR(INDEX(Players!$C$5:$C$104,MATCH(C918,Players!$B$5:$B$104,0)),"ID not found"))</f>
        <v/>
      </c>
      <c r="E918" s="27"/>
      <c r="F918" s="27"/>
      <c r="G918" s="28" t="str">
        <f aca="false">IF(F918="","",IFERROR(INDEX('Hitting Drills'!$D$6:$D$45,MATCH(F918,'Hitting Drills'!$B$6:$B$45,0)),"Not a hitting drill ID"))</f>
        <v/>
      </c>
      <c r="H918" s="27"/>
      <c r="I918" s="27"/>
      <c r="J918" s="27"/>
      <c r="K918" s="27"/>
      <c r="L918" s="27"/>
      <c r="M918" s="27"/>
      <c r="N918" s="27"/>
      <c r="O918" s="27"/>
      <c r="P918" s="27"/>
      <c r="Q918" s="27"/>
      <c r="R918" s="27"/>
      <c r="S918" s="29" t="str">
        <f aca="false">IF(OR(B918="",C918=""),"",IF(COUNTIFS($B$5:B918,B918,$C$5:C918,C918)=1,1,0))</f>
        <v/>
      </c>
      <c r="T918" s="29" t="str">
        <f aca="false">IF(OR(B918="",C918="",E918=""),"",IF(COUNTIFS($B$5:B918,B918,$C$5:C918,C918,$E$5:E918,E918)=1,1,0))</f>
        <v/>
      </c>
      <c r="U918" s="28" t="str">
        <f aca="false">IF(COUNTA(B918:C918,E918:F918,H918:P918)=0,"",IF(OR(B918="",C918="",E918=""),"Check: date, player, and context required",IF(AND(ISNUMBER(J918),ISNUMBER(I918),J918&gt;I918),"Check: solid contacts &gt; swings",IF(AND(ISNUMBER(L918),ISNUMBER(K918),L918&gt;K918),"Check: correct &gt; assessed decisions",IF(AND(ISNUMBER(N918),ISNUMBER(M918),N918&gt;M918),"Check: intended &gt; assessed landings",IF(AND(ISNUMBER(J918),I918=""),"Check: solid contacts without swings","OK"))))))</f>
        <v/>
      </c>
    </row>
    <row r="919" customFormat="false" ht="15" hidden="false" customHeight="false" outlineLevel="0" collapsed="false">
      <c r="B919" s="26"/>
      <c r="C919" s="27"/>
      <c r="D919" s="28" t="str">
        <f aca="false">IF(C919="","",IFERROR(INDEX(Players!$C$5:$C$104,MATCH(C919,Players!$B$5:$B$104,0)),"ID not found"))</f>
        <v/>
      </c>
      <c r="E919" s="27"/>
      <c r="F919" s="27"/>
      <c r="G919" s="28" t="str">
        <f aca="false">IF(F919="","",IFERROR(INDEX('Hitting Drills'!$D$6:$D$45,MATCH(F919,'Hitting Drills'!$B$6:$B$45,0)),"Not a hitting drill ID"))</f>
        <v/>
      </c>
      <c r="H919" s="27"/>
      <c r="I919" s="27"/>
      <c r="J919" s="27"/>
      <c r="K919" s="27"/>
      <c r="L919" s="27"/>
      <c r="M919" s="27"/>
      <c r="N919" s="27"/>
      <c r="O919" s="27"/>
      <c r="P919" s="27"/>
      <c r="Q919" s="27"/>
      <c r="R919" s="27"/>
      <c r="S919" s="29" t="str">
        <f aca="false">IF(OR(B919="",C919=""),"",IF(COUNTIFS($B$5:B919,B919,$C$5:C919,C919)=1,1,0))</f>
        <v/>
      </c>
      <c r="T919" s="29" t="str">
        <f aca="false">IF(OR(B919="",C919="",E919=""),"",IF(COUNTIFS($B$5:B919,B919,$C$5:C919,C919,$E$5:E919,E919)=1,1,0))</f>
        <v/>
      </c>
      <c r="U919" s="28" t="str">
        <f aca="false">IF(COUNTA(B919:C919,E919:F919,H919:P919)=0,"",IF(OR(B919="",C919="",E919=""),"Check: date, player, and context required",IF(AND(ISNUMBER(J919),ISNUMBER(I919),J919&gt;I919),"Check: solid contacts &gt; swings",IF(AND(ISNUMBER(L919),ISNUMBER(K919),L919&gt;K919),"Check: correct &gt; assessed decisions",IF(AND(ISNUMBER(N919),ISNUMBER(M919),N919&gt;M919),"Check: intended &gt; assessed landings",IF(AND(ISNUMBER(J919),I919=""),"Check: solid contacts without swings","OK"))))))</f>
        <v/>
      </c>
    </row>
    <row r="920" customFormat="false" ht="15" hidden="false" customHeight="false" outlineLevel="0" collapsed="false">
      <c r="B920" s="26"/>
      <c r="C920" s="27"/>
      <c r="D920" s="28" t="str">
        <f aca="false">IF(C920="","",IFERROR(INDEX(Players!$C$5:$C$104,MATCH(C920,Players!$B$5:$B$104,0)),"ID not found"))</f>
        <v/>
      </c>
      <c r="E920" s="27"/>
      <c r="F920" s="27"/>
      <c r="G920" s="28" t="str">
        <f aca="false">IF(F920="","",IFERROR(INDEX('Hitting Drills'!$D$6:$D$45,MATCH(F920,'Hitting Drills'!$B$6:$B$45,0)),"Not a hitting drill ID"))</f>
        <v/>
      </c>
      <c r="H920" s="27"/>
      <c r="I920" s="27"/>
      <c r="J920" s="27"/>
      <c r="K920" s="27"/>
      <c r="L920" s="27"/>
      <c r="M920" s="27"/>
      <c r="N920" s="27"/>
      <c r="O920" s="27"/>
      <c r="P920" s="27"/>
      <c r="Q920" s="27"/>
      <c r="R920" s="27"/>
      <c r="S920" s="29" t="str">
        <f aca="false">IF(OR(B920="",C920=""),"",IF(COUNTIFS($B$5:B920,B920,$C$5:C920,C920)=1,1,0))</f>
        <v/>
      </c>
      <c r="T920" s="29" t="str">
        <f aca="false">IF(OR(B920="",C920="",E920=""),"",IF(COUNTIFS($B$5:B920,B920,$C$5:C920,C920,$E$5:E920,E920)=1,1,0))</f>
        <v/>
      </c>
      <c r="U920" s="28" t="str">
        <f aca="false">IF(COUNTA(B920:C920,E920:F920,H920:P920)=0,"",IF(OR(B920="",C920="",E920=""),"Check: date, player, and context required",IF(AND(ISNUMBER(J920),ISNUMBER(I920),J920&gt;I920),"Check: solid contacts &gt; swings",IF(AND(ISNUMBER(L920),ISNUMBER(K920),L920&gt;K920),"Check: correct &gt; assessed decisions",IF(AND(ISNUMBER(N920),ISNUMBER(M920),N920&gt;M920),"Check: intended &gt; assessed landings",IF(AND(ISNUMBER(J920),I920=""),"Check: solid contacts without swings","OK"))))))</f>
        <v/>
      </c>
    </row>
    <row r="921" customFormat="false" ht="15" hidden="false" customHeight="false" outlineLevel="0" collapsed="false">
      <c r="B921" s="26"/>
      <c r="C921" s="27"/>
      <c r="D921" s="28" t="str">
        <f aca="false">IF(C921="","",IFERROR(INDEX(Players!$C$5:$C$104,MATCH(C921,Players!$B$5:$B$104,0)),"ID not found"))</f>
        <v/>
      </c>
      <c r="E921" s="27"/>
      <c r="F921" s="27"/>
      <c r="G921" s="28" t="str">
        <f aca="false">IF(F921="","",IFERROR(INDEX('Hitting Drills'!$D$6:$D$45,MATCH(F921,'Hitting Drills'!$B$6:$B$45,0)),"Not a hitting drill ID"))</f>
        <v/>
      </c>
      <c r="H921" s="27"/>
      <c r="I921" s="27"/>
      <c r="J921" s="27"/>
      <c r="K921" s="27"/>
      <c r="L921" s="27"/>
      <c r="M921" s="27"/>
      <c r="N921" s="27"/>
      <c r="O921" s="27"/>
      <c r="P921" s="27"/>
      <c r="Q921" s="27"/>
      <c r="R921" s="27"/>
      <c r="S921" s="29" t="str">
        <f aca="false">IF(OR(B921="",C921=""),"",IF(COUNTIFS($B$5:B921,B921,$C$5:C921,C921)=1,1,0))</f>
        <v/>
      </c>
      <c r="T921" s="29" t="str">
        <f aca="false">IF(OR(B921="",C921="",E921=""),"",IF(COUNTIFS($B$5:B921,B921,$C$5:C921,C921,$E$5:E921,E921)=1,1,0))</f>
        <v/>
      </c>
      <c r="U921" s="28" t="str">
        <f aca="false">IF(COUNTA(B921:C921,E921:F921,H921:P921)=0,"",IF(OR(B921="",C921="",E921=""),"Check: date, player, and context required",IF(AND(ISNUMBER(J921),ISNUMBER(I921),J921&gt;I921),"Check: solid contacts &gt; swings",IF(AND(ISNUMBER(L921),ISNUMBER(K921),L921&gt;K921),"Check: correct &gt; assessed decisions",IF(AND(ISNUMBER(N921),ISNUMBER(M921),N921&gt;M921),"Check: intended &gt; assessed landings",IF(AND(ISNUMBER(J921),I921=""),"Check: solid contacts without swings","OK"))))))</f>
        <v/>
      </c>
    </row>
    <row r="922" customFormat="false" ht="15" hidden="false" customHeight="false" outlineLevel="0" collapsed="false">
      <c r="B922" s="26"/>
      <c r="C922" s="27"/>
      <c r="D922" s="28" t="str">
        <f aca="false">IF(C922="","",IFERROR(INDEX(Players!$C$5:$C$104,MATCH(C922,Players!$B$5:$B$104,0)),"ID not found"))</f>
        <v/>
      </c>
      <c r="E922" s="27"/>
      <c r="F922" s="27"/>
      <c r="G922" s="28" t="str">
        <f aca="false">IF(F922="","",IFERROR(INDEX('Hitting Drills'!$D$6:$D$45,MATCH(F922,'Hitting Drills'!$B$6:$B$45,0)),"Not a hitting drill ID"))</f>
        <v/>
      </c>
      <c r="H922" s="27"/>
      <c r="I922" s="27"/>
      <c r="J922" s="27"/>
      <c r="K922" s="27"/>
      <c r="L922" s="27"/>
      <c r="M922" s="27"/>
      <c r="N922" s="27"/>
      <c r="O922" s="27"/>
      <c r="P922" s="27"/>
      <c r="Q922" s="27"/>
      <c r="R922" s="27"/>
      <c r="S922" s="29" t="str">
        <f aca="false">IF(OR(B922="",C922=""),"",IF(COUNTIFS($B$5:B922,B922,$C$5:C922,C922)=1,1,0))</f>
        <v/>
      </c>
      <c r="T922" s="29" t="str">
        <f aca="false">IF(OR(B922="",C922="",E922=""),"",IF(COUNTIFS($B$5:B922,B922,$C$5:C922,C922,$E$5:E922,E922)=1,1,0))</f>
        <v/>
      </c>
      <c r="U922" s="28" t="str">
        <f aca="false">IF(COUNTA(B922:C922,E922:F922,H922:P922)=0,"",IF(OR(B922="",C922="",E922=""),"Check: date, player, and context required",IF(AND(ISNUMBER(J922),ISNUMBER(I922),J922&gt;I922),"Check: solid contacts &gt; swings",IF(AND(ISNUMBER(L922),ISNUMBER(K922),L922&gt;K922),"Check: correct &gt; assessed decisions",IF(AND(ISNUMBER(N922),ISNUMBER(M922),N922&gt;M922),"Check: intended &gt; assessed landings",IF(AND(ISNUMBER(J922),I922=""),"Check: solid contacts without swings","OK"))))))</f>
        <v/>
      </c>
    </row>
    <row r="923" customFormat="false" ht="15" hidden="false" customHeight="false" outlineLevel="0" collapsed="false">
      <c r="B923" s="26"/>
      <c r="C923" s="27"/>
      <c r="D923" s="28" t="str">
        <f aca="false">IF(C923="","",IFERROR(INDEX(Players!$C$5:$C$104,MATCH(C923,Players!$B$5:$B$104,0)),"ID not found"))</f>
        <v/>
      </c>
      <c r="E923" s="27"/>
      <c r="F923" s="27"/>
      <c r="G923" s="28" t="str">
        <f aca="false">IF(F923="","",IFERROR(INDEX('Hitting Drills'!$D$6:$D$45,MATCH(F923,'Hitting Drills'!$B$6:$B$45,0)),"Not a hitting drill ID"))</f>
        <v/>
      </c>
      <c r="H923" s="27"/>
      <c r="I923" s="27"/>
      <c r="J923" s="27"/>
      <c r="K923" s="27"/>
      <c r="L923" s="27"/>
      <c r="M923" s="27"/>
      <c r="N923" s="27"/>
      <c r="O923" s="27"/>
      <c r="P923" s="27"/>
      <c r="Q923" s="27"/>
      <c r="R923" s="27"/>
      <c r="S923" s="29" t="str">
        <f aca="false">IF(OR(B923="",C923=""),"",IF(COUNTIFS($B$5:B923,B923,$C$5:C923,C923)=1,1,0))</f>
        <v/>
      </c>
      <c r="T923" s="29" t="str">
        <f aca="false">IF(OR(B923="",C923="",E923=""),"",IF(COUNTIFS($B$5:B923,B923,$C$5:C923,C923,$E$5:E923,E923)=1,1,0))</f>
        <v/>
      </c>
      <c r="U923" s="28" t="str">
        <f aca="false">IF(COUNTA(B923:C923,E923:F923,H923:P923)=0,"",IF(OR(B923="",C923="",E923=""),"Check: date, player, and context required",IF(AND(ISNUMBER(J923),ISNUMBER(I923),J923&gt;I923),"Check: solid contacts &gt; swings",IF(AND(ISNUMBER(L923),ISNUMBER(K923),L923&gt;K923),"Check: correct &gt; assessed decisions",IF(AND(ISNUMBER(N923),ISNUMBER(M923),N923&gt;M923),"Check: intended &gt; assessed landings",IF(AND(ISNUMBER(J923),I923=""),"Check: solid contacts without swings","OK"))))))</f>
        <v/>
      </c>
    </row>
    <row r="924" customFormat="false" ht="15" hidden="false" customHeight="false" outlineLevel="0" collapsed="false">
      <c r="B924" s="26"/>
      <c r="C924" s="27"/>
      <c r="D924" s="28" t="str">
        <f aca="false">IF(C924="","",IFERROR(INDEX(Players!$C$5:$C$104,MATCH(C924,Players!$B$5:$B$104,0)),"ID not found"))</f>
        <v/>
      </c>
      <c r="E924" s="27"/>
      <c r="F924" s="27"/>
      <c r="G924" s="28" t="str">
        <f aca="false">IF(F924="","",IFERROR(INDEX('Hitting Drills'!$D$6:$D$45,MATCH(F924,'Hitting Drills'!$B$6:$B$45,0)),"Not a hitting drill ID"))</f>
        <v/>
      </c>
      <c r="H924" s="27"/>
      <c r="I924" s="27"/>
      <c r="J924" s="27"/>
      <c r="K924" s="27"/>
      <c r="L924" s="27"/>
      <c r="M924" s="27"/>
      <c r="N924" s="27"/>
      <c r="O924" s="27"/>
      <c r="P924" s="27"/>
      <c r="Q924" s="27"/>
      <c r="R924" s="27"/>
      <c r="S924" s="29" t="str">
        <f aca="false">IF(OR(B924="",C924=""),"",IF(COUNTIFS($B$5:B924,B924,$C$5:C924,C924)=1,1,0))</f>
        <v/>
      </c>
      <c r="T924" s="29" t="str">
        <f aca="false">IF(OR(B924="",C924="",E924=""),"",IF(COUNTIFS($B$5:B924,B924,$C$5:C924,C924,$E$5:E924,E924)=1,1,0))</f>
        <v/>
      </c>
      <c r="U924" s="28" t="str">
        <f aca="false">IF(COUNTA(B924:C924,E924:F924,H924:P924)=0,"",IF(OR(B924="",C924="",E924=""),"Check: date, player, and context required",IF(AND(ISNUMBER(J924),ISNUMBER(I924),J924&gt;I924),"Check: solid contacts &gt; swings",IF(AND(ISNUMBER(L924),ISNUMBER(K924),L924&gt;K924),"Check: correct &gt; assessed decisions",IF(AND(ISNUMBER(N924),ISNUMBER(M924),N924&gt;M924),"Check: intended &gt; assessed landings",IF(AND(ISNUMBER(J924),I924=""),"Check: solid contacts without swings","OK"))))))</f>
        <v/>
      </c>
    </row>
    <row r="925" customFormat="false" ht="15" hidden="false" customHeight="false" outlineLevel="0" collapsed="false">
      <c r="B925" s="26"/>
      <c r="C925" s="27"/>
      <c r="D925" s="28" t="str">
        <f aca="false">IF(C925="","",IFERROR(INDEX(Players!$C$5:$C$104,MATCH(C925,Players!$B$5:$B$104,0)),"ID not found"))</f>
        <v/>
      </c>
      <c r="E925" s="27"/>
      <c r="F925" s="27"/>
      <c r="G925" s="28" t="str">
        <f aca="false">IF(F925="","",IFERROR(INDEX('Hitting Drills'!$D$6:$D$45,MATCH(F925,'Hitting Drills'!$B$6:$B$45,0)),"Not a hitting drill ID"))</f>
        <v/>
      </c>
      <c r="H925" s="27"/>
      <c r="I925" s="27"/>
      <c r="J925" s="27"/>
      <c r="K925" s="27"/>
      <c r="L925" s="27"/>
      <c r="M925" s="27"/>
      <c r="N925" s="27"/>
      <c r="O925" s="27"/>
      <c r="P925" s="27"/>
      <c r="Q925" s="27"/>
      <c r="R925" s="27"/>
      <c r="S925" s="29" t="str">
        <f aca="false">IF(OR(B925="",C925=""),"",IF(COUNTIFS($B$5:B925,B925,$C$5:C925,C925)=1,1,0))</f>
        <v/>
      </c>
      <c r="T925" s="29" t="str">
        <f aca="false">IF(OR(B925="",C925="",E925=""),"",IF(COUNTIFS($B$5:B925,B925,$C$5:C925,C925,$E$5:E925,E925)=1,1,0))</f>
        <v/>
      </c>
      <c r="U925" s="28" t="str">
        <f aca="false">IF(COUNTA(B925:C925,E925:F925,H925:P925)=0,"",IF(OR(B925="",C925="",E925=""),"Check: date, player, and context required",IF(AND(ISNUMBER(J925),ISNUMBER(I925),J925&gt;I925),"Check: solid contacts &gt; swings",IF(AND(ISNUMBER(L925),ISNUMBER(K925),L925&gt;K925),"Check: correct &gt; assessed decisions",IF(AND(ISNUMBER(N925),ISNUMBER(M925),N925&gt;M925),"Check: intended &gt; assessed landings",IF(AND(ISNUMBER(J925),I925=""),"Check: solid contacts without swings","OK"))))))</f>
        <v/>
      </c>
    </row>
    <row r="926" customFormat="false" ht="15" hidden="false" customHeight="false" outlineLevel="0" collapsed="false">
      <c r="B926" s="26"/>
      <c r="C926" s="27"/>
      <c r="D926" s="28" t="str">
        <f aca="false">IF(C926="","",IFERROR(INDEX(Players!$C$5:$C$104,MATCH(C926,Players!$B$5:$B$104,0)),"ID not found"))</f>
        <v/>
      </c>
      <c r="E926" s="27"/>
      <c r="F926" s="27"/>
      <c r="G926" s="28" t="str">
        <f aca="false">IF(F926="","",IFERROR(INDEX('Hitting Drills'!$D$6:$D$45,MATCH(F926,'Hitting Drills'!$B$6:$B$45,0)),"Not a hitting drill ID"))</f>
        <v/>
      </c>
      <c r="H926" s="27"/>
      <c r="I926" s="27"/>
      <c r="J926" s="27"/>
      <c r="K926" s="27"/>
      <c r="L926" s="27"/>
      <c r="M926" s="27"/>
      <c r="N926" s="27"/>
      <c r="O926" s="27"/>
      <c r="P926" s="27"/>
      <c r="Q926" s="27"/>
      <c r="R926" s="27"/>
      <c r="S926" s="29" t="str">
        <f aca="false">IF(OR(B926="",C926=""),"",IF(COUNTIFS($B$5:B926,B926,$C$5:C926,C926)=1,1,0))</f>
        <v/>
      </c>
      <c r="T926" s="29" t="str">
        <f aca="false">IF(OR(B926="",C926="",E926=""),"",IF(COUNTIFS($B$5:B926,B926,$C$5:C926,C926,$E$5:E926,E926)=1,1,0))</f>
        <v/>
      </c>
      <c r="U926" s="28" t="str">
        <f aca="false">IF(COUNTA(B926:C926,E926:F926,H926:P926)=0,"",IF(OR(B926="",C926="",E926=""),"Check: date, player, and context required",IF(AND(ISNUMBER(J926),ISNUMBER(I926),J926&gt;I926),"Check: solid contacts &gt; swings",IF(AND(ISNUMBER(L926),ISNUMBER(K926),L926&gt;K926),"Check: correct &gt; assessed decisions",IF(AND(ISNUMBER(N926),ISNUMBER(M926),N926&gt;M926),"Check: intended &gt; assessed landings",IF(AND(ISNUMBER(J926),I926=""),"Check: solid contacts without swings","OK"))))))</f>
        <v/>
      </c>
    </row>
    <row r="927" customFormat="false" ht="15" hidden="false" customHeight="false" outlineLevel="0" collapsed="false">
      <c r="B927" s="26"/>
      <c r="C927" s="27"/>
      <c r="D927" s="28" t="str">
        <f aca="false">IF(C927="","",IFERROR(INDEX(Players!$C$5:$C$104,MATCH(C927,Players!$B$5:$B$104,0)),"ID not found"))</f>
        <v/>
      </c>
      <c r="E927" s="27"/>
      <c r="F927" s="27"/>
      <c r="G927" s="28" t="str">
        <f aca="false">IF(F927="","",IFERROR(INDEX('Hitting Drills'!$D$6:$D$45,MATCH(F927,'Hitting Drills'!$B$6:$B$45,0)),"Not a hitting drill ID"))</f>
        <v/>
      </c>
      <c r="H927" s="27"/>
      <c r="I927" s="27"/>
      <c r="J927" s="27"/>
      <c r="K927" s="27"/>
      <c r="L927" s="27"/>
      <c r="M927" s="27"/>
      <c r="N927" s="27"/>
      <c r="O927" s="27"/>
      <c r="P927" s="27"/>
      <c r="Q927" s="27"/>
      <c r="R927" s="27"/>
      <c r="S927" s="29" t="str">
        <f aca="false">IF(OR(B927="",C927=""),"",IF(COUNTIFS($B$5:B927,B927,$C$5:C927,C927)=1,1,0))</f>
        <v/>
      </c>
      <c r="T927" s="29" t="str">
        <f aca="false">IF(OR(B927="",C927="",E927=""),"",IF(COUNTIFS($B$5:B927,B927,$C$5:C927,C927,$E$5:E927,E927)=1,1,0))</f>
        <v/>
      </c>
      <c r="U927" s="28" t="str">
        <f aca="false">IF(COUNTA(B927:C927,E927:F927,H927:P927)=0,"",IF(OR(B927="",C927="",E927=""),"Check: date, player, and context required",IF(AND(ISNUMBER(J927),ISNUMBER(I927),J927&gt;I927),"Check: solid contacts &gt; swings",IF(AND(ISNUMBER(L927),ISNUMBER(K927),L927&gt;K927),"Check: correct &gt; assessed decisions",IF(AND(ISNUMBER(N927),ISNUMBER(M927),N927&gt;M927),"Check: intended &gt; assessed landings",IF(AND(ISNUMBER(J927),I927=""),"Check: solid contacts without swings","OK"))))))</f>
        <v/>
      </c>
    </row>
    <row r="928" customFormat="false" ht="15" hidden="false" customHeight="false" outlineLevel="0" collapsed="false">
      <c r="B928" s="26"/>
      <c r="C928" s="27"/>
      <c r="D928" s="28" t="str">
        <f aca="false">IF(C928="","",IFERROR(INDEX(Players!$C$5:$C$104,MATCH(C928,Players!$B$5:$B$104,0)),"ID not found"))</f>
        <v/>
      </c>
      <c r="E928" s="27"/>
      <c r="F928" s="27"/>
      <c r="G928" s="28" t="str">
        <f aca="false">IF(F928="","",IFERROR(INDEX('Hitting Drills'!$D$6:$D$45,MATCH(F928,'Hitting Drills'!$B$6:$B$45,0)),"Not a hitting drill ID"))</f>
        <v/>
      </c>
      <c r="H928" s="27"/>
      <c r="I928" s="27"/>
      <c r="J928" s="27"/>
      <c r="K928" s="27"/>
      <c r="L928" s="27"/>
      <c r="M928" s="27"/>
      <c r="N928" s="27"/>
      <c r="O928" s="27"/>
      <c r="P928" s="27"/>
      <c r="Q928" s="27"/>
      <c r="R928" s="27"/>
      <c r="S928" s="29" t="str">
        <f aca="false">IF(OR(B928="",C928=""),"",IF(COUNTIFS($B$5:B928,B928,$C$5:C928,C928)=1,1,0))</f>
        <v/>
      </c>
      <c r="T928" s="29" t="str">
        <f aca="false">IF(OR(B928="",C928="",E928=""),"",IF(COUNTIFS($B$5:B928,B928,$C$5:C928,C928,$E$5:E928,E928)=1,1,0))</f>
        <v/>
      </c>
      <c r="U928" s="28" t="str">
        <f aca="false">IF(COUNTA(B928:C928,E928:F928,H928:P928)=0,"",IF(OR(B928="",C928="",E928=""),"Check: date, player, and context required",IF(AND(ISNUMBER(J928),ISNUMBER(I928),J928&gt;I928),"Check: solid contacts &gt; swings",IF(AND(ISNUMBER(L928),ISNUMBER(K928),L928&gt;K928),"Check: correct &gt; assessed decisions",IF(AND(ISNUMBER(N928),ISNUMBER(M928),N928&gt;M928),"Check: intended &gt; assessed landings",IF(AND(ISNUMBER(J928),I928=""),"Check: solid contacts without swings","OK"))))))</f>
        <v/>
      </c>
    </row>
    <row r="929" customFormat="false" ht="15" hidden="false" customHeight="false" outlineLevel="0" collapsed="false">
      <c r="B929" s="26"/>
      <c r="C929" s="27"/>
      <c r="D929" s="28" t="str">
        <f aca="false">IF(C929="","",IFERROR(INDEX(Players!$C$5:$C$104,MATCH(C929,Players!$B$5:$B$104,0)),"ID not found"))</f>
        <v/>
      </c>
      <c r="E929" s="27"/>
      <c r="F929" s="27"/>
      <c r="G929" s="28" t="str">
        <f aca="false">IF(F929="","",IFERROR(INDEX('Hitting Drills'!$D$6:$D$45,MATCH(F929,'Hitting Drills'!$B$6:$B$45,0)),"Not a hitting drill ID"))</f>
        <v/>
      </c>
      <c r="H929" s="27"/>
      <c r="I929" s="27"/>
      <c r="J929" s="27"/>
      <c r="K929" s="27"/>
      <c r="L929" s="27"/>
      <c r="M929" s="27"/>
      <c r="N929" s="27"/>
      <c r="O929" s="27"/>
      <c r="P929" s="27"/>
      <c r="Q929" s="27"/>
      <c r="R929" s="27"/>
      <c r="S929" s="29" t="str">
        <f aca="false">IF(OR(B929="",C929=""),"",IF(COUNTIFS($B$5:B929,B929,$C$5:C929,C929)=1,1,0))</f>
        <v/>
      </c>
      <c r="T929" s="29" t="str">
        <f aca="false">IF(OR(B929="",C929="",E929=""),"",IF(COUNTIFS($B$5:B929,B929,$C$5:C929,C929,$E$5:E929,E929)=1,1,0))</f>
        <v/>
      </c>
      <c r="U929" s="28" t="str">
        <f aca="false">IF(COUNTA(B929:C929,E929:F929,H929:P929)=0,"",IF(OR(B929="",C929="",E929=""),"Check: date, player, and context required",IF(AND(ISNUMBER(J929),ISNUMBER(I929),J929&gt;I929),"Check: solid contacts &gt; swings",IF(AND(ISNUMBER(L929),ISNUMBER(K929),L929&gt;K929),"Check: correct &gt; assessed decisions",IF(AND(ISNUMBER(N929),ISNUMBER(M929),N929&gt;M929),"Check: intended &gt; assessed landings",IF(AND(ISNUMBER(J929),I929=""),"Check: solid contacts without swings","OK"))))))</f>
        <v/>
      </c>
    </row>
    <row r="930" customFormat="false" ht="15" hidden="false" customHeight="false" outlineLevel="0" collapsed="false">
      <c r="B930" s="26"/>
      <c r="C930" s="27"/>
      <c r="D930" s="28" t="str">
        <f aca="false">IF(C930="","",IFERROR(INDEX(Players!$C$5:$C$104,MATCH(C930,Players!$B$5:$B$104,0)),"ID not found"))</f>
        <v/>
      </c>
      <c r="E930" s="27"/>
      <c r="F930" s="27"/>
      <c r="G930" s="28" t="str">
        <f aca="false">IF(F930="","",IFERROR(INDEX('Hitting Drills'!$D$6:$D$45,MATCH(F930,'Hitting Drills'!$B$6:$B$45,0)),"Not a hitting drill ID"))</f>
        <v/>
      </c>
      <c r="H930" s="27"/>
      <c r="I930" s="27"/>
      <c r="J930" s="27"/>
      <c r="K930" s="27"/>
      <c r="L930" s="27"/>
      <c r="M930" s="27"/>
      <c r="N930" s="27"/>
      <c r="O930" s="27"/>
      <c r="P930" s="27"/>
      <c r="Q930" s="27"/>
      <c r="R930" s="27"/>
      <c r="S930" s="29" t="str">
        <f aca="false">IF(OR(B930="",C930=""),"",IF(COUNTIFS($B$5:B930,B930,$C$5:C930,C930)=1,1,0))</f>
        <v/>
      </c>
      <c r="T930" s="29" t="str">
        <f aca="false">IF(OR(B930="",C930="",E930=""),"",IF(COUNTIFS($B$5:B930,B930,$C$5:C930,C930,$E$5:E930,E930)=1,1,0))</f>
        <v/>
      </c>
      <c r="U930" s="28" t="str">
        <f aca="false">IF(COUNTA(B930:C930,E930:F930,H930:P930)=0,"",IF(OR(B930="",C930="",E930=""),"Check: date, player, and context required",IF(AND(ISNUMBER(J930),ISNUMBER(I930),J930&gt;I930),"Check: solid contacts &gt; swings",IF(AND(ISNUMBER(L930),ISNUMBER(K930),L930&gt;K930),"Check: correct &gt; assessed decisions",IF(AND(ISNUMBER(N930),ISNUMBER(M930),N930&gt;M930),"Check: intended &gt; assessed landings",IF(AND(ISNUMBER(J930),I930=""),"Check: solid contacts without swings","OK"))))))</f>
        <v/>
      </c>
    </row>
    <row r="931" customFormat="false" ht="15" hidden="false" customHeight="false" outlineLevel="0" collapsed="false">
      <c r="B931" s="26"/>
      <c r="C931" s="27"/>
      <c r="D931" s="28" t="str">
        <f aca="false">IF(C931="","",IFERROR(INDEX(Players!$C$5:$C$104,MATCH(C931,Players!$B$5:$B$104,0)),"ID not found"))</f>
        <v/>
      </c>
      <c r="E931" s="27"/>
      <c r="F931" s="27"/>
      <c r="G931" s="28" t="str">
        <f aca="false">IF(F931="","",IFERROR(INDEX('Hitting Drills'!$D$6:$D$45,MATCH(F931,'Hitting Drills'!$B$6:$B$45,0)),"Not a hitting drill ID"))</f>
        <v/>
      </c>
      <c r="H931" s="27"/>
      <c r="I931" s="27"/>
      <c r="J931" s="27"/>
      <c r="K931" s="27"/>
      <c r="L931" s="27"/>
      <c r="M931" s="27"/>
      <c r="N931" s="27"/>
      <c r="O931" s="27"/>
      <c r="P931" s="27"/>
      <c r="Q931" s="27"/>
      <c r="R931" s="27"/>
      <c r="S931" s="29" t="str">
        <f aca="false">IF(OR(B931="",C931=""),"",IF(COUNTIFS($B$5:B931,B931,$C$5:C931,C931)=1,1,0))</f>
        <v/>
      </c>
      <c r="T931" s="29" t="str">
        <f aca="false">IF(OR(B931="",C931="",E931=""),"",IF(COUNTIFS($B$5:B931,B931,$C$5:C931,C931,$E$5:E931,E931)=1,1,0))</f>
        <v/>
      </c>
      <c r="U931" s="28" t="str">
        <f aca="false">IF(COUNTA(B931:C931,E931:F931,H931:P931)=0,"",IF(OR(B931="",C931="",E931=""),"Check: date, player, and context required",IF(AND(ISNUMBER(J931),ISNUMBER(I931),J931&gt;I931),"Check: solid contacts &gt; swings",IF(AND(ISNUMBER(L931),ISNUMBER(K931),L931&gt;K931),"Check: correct &gt; assessed decisions",IF(AND(ISNUMBER(N931),ISNUMBER(M931),N931&gt;M931),"Check: intended &gt; assessed landings",IF(AND(ISNUMBER(J931),I931=""),"Check: solid contacts without swings","OK"))))))</f>
        <v/>
      </c>
    </row>
    <row r="932" customFormat="false" ht="15" hidden="false" customHeight="false" outlineLevel="0" collapsed="false">
      <c r="B932" s="26"/>
      <c r="C932" s="27"/>
      <c r="D932" s="28" t="str">
        <f aca="false">IF(C932="","",IFERROR(INDEX(Players!$C$5:$C$104,MATCH(C932,Players!$B$5:$B$104,0)),"ID not found"))</f>
        <v/>
      </c>
      <c r="E932" s="27"/>
      <c r="F932" s="27"/>
      <c r="G932" s="28" t="str">
        <f aca="false">IF(F932="","",IFERROR(INDEX('Hitting Drills'!$D$6:$D$45,MATCH(F932,'Hitting Drills'!$B$6:$B$45,0)),"Not a hitting drill ID"))</f>
        <v/>
      </c>
      <c r="H932" s="27"/>
      <c r="I932" s="27"/>
      <c r="J932" s="27"/>
      <c r="K932" s="27"/>
      <c r="L932" s="27"/>
      <c r="M932" s="27"/>
      <c r="N932" s="27"/>
      <c r="O932" s="27"/>
      <c r="P932" s="27"/>
      <c r="Q932" s="27"/>
      <c r="R932" s="27"/>
      <c r="S932" s="29" t="str">
        <f aca="false">IF(OR(B932="",C932=""),"",IF(COUNTIFS($B$5:B932,B932,$C$5:C932,C932)=1,1,0))</f>
        <v/>
      </c>
      <c r="T932" s="29" t="str">
        <f aca="false">IF(OR(B932="",C932="",E932=""),"",IF(COUNTIFS($B$5:B932,B932,$C$5:C932,C932,$E$5:E932,E932)=1,1,0))</f>
        <v/>
      </c>
      <c r="U932" s="28" t="str">
        <f aca="false">IF(COUNTA(B932:C932,E932:F932,H932:P932)=0,"",IF(OR(B932="",C932="",E932=""),"Check: date, player, and context required",IF(AND(ISNUMBER(J932),ISNUMBER(I932),J932&gt;I932),"Check: solid contacts &gt; swings",IF(AND(ISNUMBER(L932),ISNUMBER(K932),L932&gt;K932),"Check: correct &gt; assessed decisions",IF(AND(ISNUMBER(N932),ISNUMBER(M932),N932&gt;M932),"Check: intended &gt; assessed landings",IF(AND(ISNUMBER(J932),I932=""),"Check: solid contacts without swings","OK"))))))</f>
        <v/>
      </c>
    </row>
    <row r="933" customFormat="false" ht="15" hidden="false" customHeight="false" outlineLevel="0" collapsed="false">
      <c r="B933" s="26"/>
      <c r="C933" s="27"/>
      <c r="D933" s="28" t="str">
        <f aca="false">IF(C933="","",IFERROR(INDEX(Players!$C$5:$C$104,MATCH(C933,Players!$B$5:$B$104,0)),"ID not found"))</f>
        <v/>
      </c>
      <c r="E933" s="27"/>
      <c r="F933" s="27"/>
      <c r="G933" s="28" t="str">
        <f aca="false">IF(F933="","",IFERROR(INDEX('Hitting Drills'!$D$6:$D$45,MATCH(F933,'Hitting Drills'!$B$6:$B$45,0)),"Not a hitting drill ID"))</f>
        <v/>
      </c>
      <c r="H933" s="27"/>
      <c r="I933" s="27"/>
      <c r="J933" s="27"/>
      <c r="K933" s="27"/>
      <c r="L933" s="27"/>
      <c r="M933" s="27"/>
      <c r="N933" s="27"/>
      <c r="O933" s="27"/>
      <c r="P933" s="27"/>
      <c r="Q933" s="27"/>
      <c r="R933" s="27"/>
      <c r="S933" s="29" t="str">
        <f aca="false">IF(OR(B933="",C933=""),"",IF(COUNTIFS($B$5:B933,B933,$C$5:C933,C933)=1,1,0))</f>
        <v/>
      </c>
      <c r="T933" s="29" t="str">
        <f aca="false">IF(OR(B933="",C933="",E933=""),"",IF(COUNTIFS($B$5:B933,B933,$C$5:C933,C933,$E$5:E933,E933)=1,1,0))</f>
        <v/>
      </c>
      <c r="U933" s="28" t="str">
        <f aca="false">IF(COUNTA(B933:C933,E933:F933,H933:P933)=0,"",IF(OR(B933="",C933="",E933=""),"Check: date, player, and context required",IF(AND(ISNUMBER(J933),ISNUMBER(I933),J933&gt;I933),"Check: solid contacts &gt; swings",IF(AND(ISNUMBER(L933),ISNUMBER(K933),L933&gt;K933),"Check: correct &gt; assessed decisions",IF(AND(ISNUMBER(N933),ISNUMBER(M933),N933&gt;M933),"Check: intended &gt; assessed landings",IF(AND(ISNUMBER(J933),I933=""),"Check: solid contacts without swings","OK"))))))</f>
        <v/>
      </c>
    </row>
    <row r="934" customFormat="false" ht="15" hidden="false" customHeight="false" outlineLevel="0" collapsed="false">
      <c r="B934" s="26"/>
      <c r="C934" s="27"/>
      <c r="D934" s="28" t="str">
        <f aca="false">IF(C934="","",IFERROR(INDEX(Players!$C$5:$C$104,MATCH(C934,Players!$B$5:$B$104,0)),"ID not found"))</f>
        <v/>
      </c>
      <c r="E934" s="27"/>
      <c r="F934" s="27"/>
      <c r="G934" s="28" t="str">
        <f aca="false">IF(F934="","",IFERROR(INDEX('Hitting Drills'!$D$6:$D$45,MATCH(F934,'Hitting Drills'!$B$6:$B$45,0)),"Not a hitting drill ID"))</f>
        <v/>
      </c>
      <c r="H934" s="27"/>
      <c r="I934" s="27"/>
      <c r="J934" s="27"/>
      <c r="K934" s="27"/>
      <c r="L934" s="27"/>
      <c r="M934" s="27"/>
      <c r="N934" s="27"/>
      <c r="O934" s="27"/>
      <c r="P934" s="27"/>
      <c r="Q934" s="27"/>
      <c r="R934" s="27"/>
      <c r="S934" s="29" t="str">
        <f aca="false">IF(OR(B934="",C934=""),"",IF(COUNTIFS($B$5:B934,B934,$C$5:C934,C934)=1,1,0))</f>
        <v/>
      </c>
      <c r="T934" s="29" t="str">
        <f aca="false">IF(OR(B934="",C934="",E934=""),"",IF(COUNTIFS($B$5:B934,B934,$C$5:C934,C934,$E$5:E934,E934)=1,1,0))</f>
        <v/>
      </c>
      <c r="U934" s="28" t="str">
        <f aca="false">IF(COUNTA(B934:C934,E934:F934,H934:P934)=0,"",IF(OR(B934="",C934="",E934=""),"Check: date, player, and context required",IF(AND(ISNUMBER(J934),ISNUMBER(I934),J934&gt;I934),"Check: solid contacts &gt; swings",IF(AND(ISNUMBER(L934),ISNUMBER(K934),L934&gt;K934),"Check: correct &gt; assessed decisions",IF(AND(ISNUMBER(N934),ISNUMBER(M934),N934&gt;M934),"Check: intended &gt; assessed landings",IF(AND(ISNUMBER(J934),I934=""),"Check: solid contacts without swings","OK"))))))</f>
        <v/>
      </c>
    </row>
    <row r="935" customFormat="false" ht="15" hidden="false" customHeight="false" outlineLevel="0" collapsed="false">
      <c r="B935" s="26"/>
      <c r="C935" s="27"/>
      <c r="D935" s="28" t="str">
        <f aca="false">IF(C935="","",IFERROR(INDEX(Players!$C$5:$C$104,MATCH(C935,Players!$B$5:$B$104,0)),"ID not found"))</f>
        <v/>
      </c>
      <c r="E935" s="27"/>
      <c r="F935" s="27"/>
      <c r="G935" s="28" t="str">
        <f aca="false">IF(F935="","",IFERROR(INDEX('Hitting Drills'!$D$6:$D$45,MATCH(F935,'Hitting Drills'!$B$6:$B$45,0)),"Not a hitting drill ID"))</f>
        <v/>
      </c>
      <c r="H935" s="27"/>
      <c r="I935" s="27"/>
      <c r="J935" s="27"/>
      <c r="K935" s="27"/>
      <c r="L935" s="27"/>
      <c r="M935" s="27"/>
      <c r="N935" s="27"/>
      <c r="O935" s="27"/>
      <c r="P935" s="27"/>
      <c r="Q935" s="27"/>
      <c r="R935" s="27"/>
      <c r="S935" s="29" t="str">
        <f aca="false">IF(OR(B935="",C935=""),"",IF(COUNTIFS($B$5:B935,B935,$C$5:C935,C935)=1,1,0))</f>
        <v/>
      </c>
      <c r="T935" s="29" t="str">
        <f aca="false">IF(OR(B935="",C935="",E935=""),"",IF(COUNTIFS($B$5:B935,B935,$C$5:C935,C935,$E$5:E935,E935)=1,1,0))</f>
        <v/>
      </c>
      <c r="U935" s="28" t="str">
        <f aca="false">IF(COUNTA(B935:C935,E935:F935,H935:P935)=0,"",IF(OR(B935="",C935="",E935=""),"Check: date, player, and context required",IF(AND(ISNUMBER(J935),ISNUMBER(I935),J935&gt;I935),"Check: solid contacts &gt; swings",IF(AND(ISNUMBER(L935),ISNUMBER(K935),L935&gt;K935),"Check: correct &gt; assessed decisions",IF(AND(ISNUMBER(N935),ISNUMBER(M935),N935&gt;M935),"Check: intended &gt; assessed landings",IF(AND(ISNUMBER(J935),I935=""),"Check: solid contacts without swings","OK"))))))</f>
        <v/>
      </c>
    </row>
    <row r="936" customFormat="false" ht="15" hidden="false" customHeight="false" outlineLevel="0" collapsed="false">
      <c r="B936" s="26"/>
      <c r="C936" s="27"/>
      <c r="D936" s="28" t="str">
        <f aca="false">IF(C936="","",IFERROR(INDEX(Players!$C$5:$C$104,MATCH(C936,Players!$B$5:$B$104,0)),"ID not found"))</f>
        <v/>
      </c>
      <c r="E936" s="27"/>
      <c r="F936" s="27"/>
      <c r="G936" s="28" t="str">
        <f aca="false">IF(F936="","",IFERROR(INDEX('Hitting Drills'!$D$6:$D$45,MATCH(F936,'Hitting Drills'!$B$6:$B$45,0)),"Not a hitting drill ID"))</f>
        <v/>
      </c>
      <c r="H936" s="27"/>
      <c r="I936" s="27"/>
      <c r="J936" s="27"/>
      <c r="K936" s="27"/>
      <c r="L936" s="27"/>
      <c r="M936" s="27"/>
      <c r="N936" s="27"/>
      <c r="O936" s="27"/>
      <c r="P936" s="27"/>
      <c r="Q936" s="27"/>
      <c r="R936" s="27"/>
      <c r="S936" s="29" t="str">
        <f aca="false">IF(OR(B936="",C936=""),"",IF(COUNTIFS($B$5:B936,B936,$C$5:C936,C936)=1,1,0))</f>
        <v/>
      </c>
      <c r="T936" s="29" t="str">
        <f aca="false">IF(OR(B936="",C936="",E936=""),"",IF(COUNTIFS($B$5:B936,B936,$C$5:C936,C936,$E$5:E936,E936)=1,1,0))</f>
        <v/>
      </c>
      <c r="U936" s="28" t="str">
        <f aca="false">IF(COUNTA(B936:C936,E936:F936,H936:P936)=0,"",IF(OR(B936="",C936="",E936=""),"Check: date, player, and context required",IF(AND(ISNUMBER(J936),ISNUMBER(I936),J936&gt;I936),"Check: solid contacts &gt; swings",IF(AND(ISNUMBER(L936),ISNUMBER(K936),L936&gt;K936),"Check: correct &gt; assessed decisions",IF(AND(ISNUMBER(N936),ISNUMBER(M936),N936&gt;M936),"Check: intended &gt; assessed landings",IF(AND(ISNUMBER(J936),I936=""),"Check: solid contacts without swings","OK"))))))</f>
        <v/>
      </c>
    </row>
    <row r="937" customFormat="false" ht="15" hidden="false" customHeight="false" outlineLevel="0" collapsed="false">
      <c r="B937" s="26"/>
      <c r="C937" s="27"/>
      <c r="D937" s="28" t="str">
        <f aca="false">IF(C937="","",IFERROR(INDEX(Players!$C$5:$C$104,MATCH(C937,Players!$B$5:$B$104,0)),"ID not found"))</f>
        <v/>
      </c>
      <c r="E937" s="27"/>
      <c r="F937" s="27"/>
      <c r="G937" s="28" t="str">
        <f aca="false">IF(F937="","",IFERROR(INDEX('Hitting Drills'!$D$6:$D$45,MATCH(F937,'Hitting Drills'!$B$6:$B$45,0)),"Not a hitting drill ID"))</f>
        <v/>
      </c>
      <c r="H937" s="27"/>
      <c r="I937" s="27"/>
      <c r="J937" s="27"/>
      <c r="K937" s="27"/>
      <c r="L937" s="27"/>
      <c r="M937" s="27"/>
      <c r="N937" s="27"/>
      <c r="O937" s="27"/>
      <c r="P937" s="27"/>
      <c r="Q937" s="27"/>
      <c r="R937" s="27"/>
      <c r="S937" s="29" t="str">
        <f aca="false">IF(OR(B937="",C937=""),"",IF(COUNTIFS($B$5:B937,B937,$C$5:C937,C937)=1,1,0))</f>
        <v/>
      </c>
      <c r="T937" s="29" t="str">
        <f aca="false">IF(OR(B937="",C937="",E937=""),"",IF(COUNTIFS($B$5:B937,B937,$C$5:C937,C937,$E$5:E937,E937)=1,1,0))</f>
        <v/>
      </c>
      <c r="U937" s="28" t="str">
        <f aca="false">IF(COUNTA(B937:C937,E937:F937,H937:P937)=0,"",IF(OR(B937="",C937="",E937=""),"Check: date, player, and context required",IF(AND(ISNUMBER(J937),ISNUMBER(I937),J937&gt;I937),"Check: solid contacts &gt; swings",IF(AND(ISNUMBER(L937),ISNUMBER(K937),L937&gt;K937),"Check: correct &gt; assessed decisions",IF(AND(ISNUMBER(N937),ISNUMBER(M937),N937&gt;M937),"Check: intended &gt; assessed landings",IF(AND(ISNUMBER(J937),I937=""),"Check: solid contacts without swings","OK"))))))</f>
        <v/>
      </c>
    </row>
    <row r="938" customFormat="false" ht="15" hidden="false" customHeight="false" outlineLevel="0" collapsed="false">
      <c r="B938" s="26"/>
      <c r="C938" s="27"/>
      <c r="D938" s="28" t="str">
        <f aca="false">IF(C938="","",IFERROR(INDEX(Players!$C$5:$C$104,MATCH(C938,Players!$B$5:$B$104,0)),"ID not found"))</f>
        <v/>
      </c>
      <c r="E938" s="27"/>
      <c r="F938" s="27"/>
      <c r="G938" s="28" t="str">
        <f aca="false">IF(F938="","",IFERROR(INDEX('Hitting Drills'!$D$6:$D$45,MATCH(F938,'Hitting Drills'!$B$6:$B$45,0)),"Not a hitting drill ID"))</f>
        <v/>
      </c>
      <c r="H938" s="27"/>
      <c r="I938" s="27"/>
      <c r="J938" s="27"/>
      <c r="K938" s="27"/>
      <c r="L938" s="27"/>
      <c r="M938" s="27"/>
      <c r="N938" s="27"/>
      <c r="O938" s="27"/>
      <c r="P938" s="27"/>
      <c r="Q938" s="27"/>
      <c r="R938" s="27"/>
      <c r="S938" s="29" t="str">
        <f aca="false">IF(OR(B938="",C938=""),"",IF(COUNTIFS($B$5:B938,B938,$C$5:C938,C938)=1,1,0))</f>
        <v/>
      </c>
      <c r="T938" s="29" t="str">
        <f aca="false">IF(OR(B938="",C938="",E938=""),"",IF(COUNTIFS($B$5:B938,B938,$C$5:C938,C938,$E$5:E938,E938)=1,1,0))</f>
        <v/>
      </c>
      <c r="U938" s="28" t="str">
        <f aca="false">IF(COUNTA(B938:C938,E938:F938,H938:P938)=0,"",IF(OR(B938="",C938="",E938=""),"Check: date, player, and context required",IF(AND(ISNUMBER(J938),ISNUMBER(I938),J938&gt;I938),"Check: solid contacts &gt; swings",IF(AND(ISNUMBER(L938),ISNUMBER(K938),L938&gt;K938),"Check: correct &gt; assessed decisions",IF(AND(ISNUMBER(N938),ISNUMBER(M938),N938&gt;M938),"Check: intended &gt; assessed landings",IF(AND(ISNUMBER(J938),I938=""),"Check: solid contacts without swings","OK"))))))</f>
        <v/>
      </c>
    </row>
    <row r="939" customFormat="false" ht="15" hidden="false" customHeight="false" outlineLevel="0" collapsed="false">
      <c r="B939" s="26"/>
      <c r="C939" s="27"/>
      <c r="D939" s="28" t="str">
        <f aca="false">IF(C939="","",IFERROR(INDEX(Players!$C$5:$C$104,MATCH(C939,Players!$B$5:$B$104,0)),"ID not found"))</f>
        <v/>
      </c>
      <c r="E939" s="27"/>
      <c r="F939" s="27"/>
      <c r="G939" s="28" t="str">
        <f aca="false">IF(F939="","",IFERROR(INDEX('Hitting Drills'!$D$6:$D$45,MATCH(F939,'Hitting Drills'!$B$6:$B$45,0)),"Not a hitting drill ID"))</f>
        <v/>
      </c>
      <c r="H939" s="27"/>
      <c r="I939" s="27"/>
      <c r="J939" s="27"/>
      <c r="K939" s="27"/>
      <c r="L939" s="27"/>
      <c r="M939" s="27"/>
      <c r="N939" s="27"/>
      <c r="O939" s="27"/>
      <c r="P939" s="27"/>
      <c r="Q939" s="27"/>
      <c r="R939" s="27"/>
      <c r="S939" s="29" t="str">
        <f aca="false">IF(OR(B939="",C939=""),"",IF(COUNTIFS($B$5:B939,B939,$C$5:C939,C939)=1,1,0))</f>
        <v/>
      </c>
      <c r="T939" s="29" t="str">
        <f aca="false">IF(OR(B939="",C939="",E939=""),"",IF(COUNTIFS($B$5:B939,B939,$C$5:C939,C939,$E$5:E939,E939)=1,1,0))</f>
        <v/>
      </c>
      <c r="U939" s="28" t="str">
        <f aca="false">IF(COUNTA(B939:C939,E939:F939,H939:P939)=0,"",IF(OR(B939="",C939="",E939=""),"Check: date, player, and context required",IF(AND(ISNUMBER(J939),ISNUMBER(I939),J939&gt;I939),"Check: solid contacts &gt; swings",IF(AND(ISNUMBER(L939),ISNUMBER(K939),L939&gt;K939),"Check: correct &gt; assessed decisions",IF(AND(ISNUMBER(N939),ISNUMBER(M939),N939&gt;M939),"Check: intended &gt; assessed landings",IF(AND(ISNUMBER(J939),I939=""),"Check: solid contacts without swings","OK"))))))</f>
        <v/>
      </c>
    </row>
    <row r="940" customFormat="false" ht="15" hidden="false" customHeight="false" outlineLevel="0" collapsed="false">
      <c r="B940" s="26"/>
      <c r="C940" s="27"/>
      <c r="D940" s="28" t="str">
        <f aca="false">IF(C940="","",IFERROR(INDEX(Players!$C$5:$C$104,MATCH(C940,Players!$B$5:$B$104,0)),"ID not found"))</f>
        <v/>
      </c>
      <c r="E940" s="27"/>
      <c r="F940" s="27"/>
      <c r="G940" s="28" t="str">
        <f aca="false">IF(F940="","",IFERROR(INDEX('Hitting Drills'!$D$6:$D$45,MATCH(F940,'Hitting Drills'!$B$6:$B$45,0)),"Not a hitting drill ID"))</f>
        <v/>
      </c>
      <c r="H940" s="27"/>
      <c r="I940" s="27"/>
      <c r="J940" s="27"/>
      <c r="K940" s="27"/>
      <c r="L940" s="27"/>
      <c r="M940" s="27"/>
      <c r="N940" s="27"/>
      <c r="O940" s="27"/>
      <c r="P940" s="27"/>
      <c r="Q940" s="27"/>
      <c r="R940" s="27"/>
      <c r="S940" s="29" t="str">
        <f aca="false">IF(OR(B940="",C940=""),"",IF(COUNTIFS($B$5:B940,B940,$C$5:C940,C940)=1,1,0))</f>
        <v/>
      </c>
      <c r="T940" s="29" t="str">
        <f aca="false">IF(OR(B940="",C940="",E940=""),"",IF(COUNTIFS($B$5:B940,B940,$C$5:C940,C940,$E$5:E940,E940)=1,1,0))</f>
        <v/>
      </c>
      <c r="U940" s="28" t="str">
        <f aca="false">IF(COUNTA(B940:C940,E940:F940,H940:P940)=0,"",IF(OR(B940="",C940="",E940=""),"Check: date, player, and context required",IF(AND(ISNUMBER(J940),ISNUMBER(I940),J940&gt;I940),"Check: solid contacts &gt; swings",IF(AND(ISNUMBER(L940),ISNUMBER(K940),L940&gt;K940),"Check: correct &gt; assessed decisions",IF(AND(ISNUMBER(N940),ISNUMBER(M940),N940&gt;M940),"Check: intended &gt; assessed landings",IF(AND(ISNUMBER(J940),I940=""),"Check: solid contacts without swings","OK"))))))</f>
        <v/>
      </c>
    </row>
    <row r="941" customFormat="false" ht="15" hidden="false" customHeight="false" outlineLevel="0" collapsed="false">
      <c r="B941" s="26"/>
      <c r="C941" s="27"/>
      <c r="D941" s="28" t="str">
        <f aca="false">IF(C941="","",IFERROR(INDEX(Players!$C$5:$C$104,MATCH(C941,Players!$B$5:$B$104,0)),"ID not found"))</f>
        <v/>
      </c>
      <c r="E941" s="27"/>
      <c r="F941" s="27"/>
      <c r="G941" s="28" t="str">
        <f aca="false">IF(F941="","",IFERROR(INDEX('Hitting Drills'!$D$6:$D$45,MATCH(F941,'Hitting Drills'!$B$6:$B$45,0)),"Not a hitting drill ID"))</f>
        <v/>
      </c>
      <c r="H941" s="27"/>
      <c r="I941" s="27"/>
      <c r="J941" s="27"/>
      <c r="K941" s="27"/>
      <c r="L941" s="27"/>
      <c r="M941" s="27"/>
      <c r="N941" s="27"/>
      <c r="O941" s="27"/>
      <c r="P941" s="27"/>
      <c r="Q941" s="27"/>
      <c r="R941" s="27"/>
      <c r="S941" s="29" t="str">
        <f aca="false">IF(OR(B941="",C941=""),"",IF(COUNTIFS($B$5:B941,B941,$C$5:C941,C941)=1,1,0))</f>
        <v/>
      </c>
      <c r="T941" s="29" t="str">
        <f aca="false">IF(OR(B941="",C941="",E941=""),"",IF(COUNTIFS($B$5:B941,B941,$C$5:C941,C941,$E$5:E941,E941)=1,1,0))</f>
        <v/>
      </c>
      <c r="U941" s="28" t="str">
        <f aca="false">IF(COUNTA(B941:C941,E941:F941,H941:P941)=0,"",IF(OR(B941="",C941="",E941=""),"Check: date, player, and context required",IF(AND(ISNUMBER(J941),ISNUMBER(I941),J941&gt;I941),"Check: solid contacts &gt; swings",IF(AND(ISNUMBER(L941),ISNUMBER(K941),L941&gt;K941),"Check: correct &gt; assessed decisions",IF(AND(ISNUMBER(N941),ISNUMBER(M941),N941&gt;M941),"Check: intended &gt; assessed landings",IF(AND(ISNUMBER(J941),I941=""),"Check: solid contacts without swings","OK"))))))</f>
        <v/>
      </c>
    </row>
    <row r="942" customFormat="false" ht="15" hidden="false" customHeight="false" outlineLevel="0" collapsed="false">
      <c r="B942" s="26"/>
      <c r="C942" s="27"/>
      <c r="D942" s="28" t="str">
        <f aca="false">IF(C942="","",IFERROR(INDEX(Players!$C$5:$C$104,MATCH(C942,Players!$B$5:$B$104,0)),"ID not found"))</f>
        <v/>
      </c>
      <c r="E942" s="27"/>
      <c r="F942" s="27"/>
      <c r="G942" s="28" t="str">
        <f aca="false">IF(F942="","",IFERROR(INDEX('Hitting Drills'!$D$6:$D$45,MATCH(F942,'Hitting Drills'!$B$6:$B$45,0)),"Not a hitting drill ID"))</f>
        <v/>
      </c>
      <c r="H942" s="27"/>
      <c r="I942" s="27"/>
      <c r="J942" s="27"/>
      <c r="K942" s="27"/>
      <c r="L942" s="27"/>
      <c r="M942" s="27"/>
      <c r="N942" s="27"/>
      <c r="O942" s="27"/>
      <c r="P942" s="27"/>
      <c r="Q942" s="27"/>
      <c r="R942" s="27"/>
      <c r="S942" s="29" t="str">
        <f aca="false">IF(OR(B942="",C942=""),"",IF(COUNTIFS($B$5:B942,B942,$C$5:C942,C942)=1,1,0))</f>
        <v/>
      </c>
      <c r="T942" s="29" t="str">
        <f aca="false">IF(OR(B942="",C942="",E942=""),"",IF(COUNTIFS($B$5:B942,B942,$C$5:C942,C942,$E$5:E942,E942)=1,1,0))</f>
        <v/>
      </c>
      <c r="U942" s="28" t="str">
        <f aca="false">IF(COUNTA(B942:C942,E942:F942,H942:P942)=0,"",IF(OR(B942="",C942="",E942=""),"Check: date, player, and context required",IF(AND(ISNUMBER(J942),ISNUMBER(I942),J942&gt;I942),"Check: solid contacts &gt; swings",IF(AND(ISNUMBER(L942),ISNUMBER(K942),L942&gt;K942),"Check: correct &gt; assessed decisions",IF(AND(ISNUMBER(N942),ISNUMBER(M942),N942&gt;M942),"Check: intended &gt; assessed landings",IF(AND(ISNUMBER(J942),I942=""),"Check: solid contacts without swings","OK"))))))</f>
        <v/>
      </c>
    </row>
    <row r="943" customFormat="false" ht="15" hidden="false" customHeight="false" outlineLevel="0" collapsed="false">
      <c r="B943" s="26"/>
      <c r="C943" s="27"/>
      <c r="D943" s="28" t="str">
        <f aca="false">IF(C943="","",IFERROR(INDEX(Players!$C$5:$C$104,MATCH(C943,Players!$B$5:$B$104,0)),"ID not found"))</f>
        <v/>
      </c>
      <c r="E943" s="27"/>
      <c r="F943" s="27"/>
      <c r="G943" s="28" t="str">
        <f aca="false">IF(F943="","",IFERROR(INDEX('Hitting Drills'!$D$6:$D$45,MATCH(F943,'Hitting Drills'!$B$6:$B$45,0)),"Not a hitting drill ID"))</f>
        <v/>
      </c>
      <c r="H943" s="27"/>
      <c r="I943" s="27"/>
      <c r="J943" s="27"/>
      <c r="K943" s="27"/>
      <c r="L943" s="27"/>
      <c r="M943" s="27"/>
      <c r="N943" s="27"/>
      <c r="O943" s="27"/>
      <c r="P943" s="27"/>
      <c r="Q943" s="27"/>
      <c r="R943" s="27"/>
      <c r="S943" s="29" t="str">
        <f aca="false">IF(OR(B943="",C943=""),"",IF(COUNTIFS($B$5:B943,B943,$C$5:C943,C943)=1,1,0))</f>
        <v/>
      </c>
      <c r="T943" s="29" t="str">
        <f aca="false">IF(OR(B943="",C943="",E943=""),"",IF(COUNTIFS($B$5:B943,B943,$C$5:C943,C943,$E$5:E943,E943)=1,1,0))</f>
        <v/>
      </c>
      <c r="U943" s="28" t="str">
        <f aca="false">IF(COUNTA(B943:C943,E943:F943,H943:P943)=0,"",IF(OR(B943="",C943="",E943=""),"Check: date, player, and context required",IF(AND(ISNUMBER(J943),ISNUMBER(I943),J943&gt;I943),"Check: solid contacts &gt; swings",IF(AND(ISNUMBER(L943),ISNUMBER(K943),L943&gt;K943),"Check: correct &gt; assessed decisions",IF(AND(ISNUMBER(N943),ISNUMBER(M943),N943&gt;M943),"Check: intended &gt; assessed landings",IF(AND(ISNUMBER(J943),I943=""),"Check: solid contacts without swings","OK"))))))</f>
        <v/>
      </c>
    </row>
    <row r="944" customFormat="false" ht="15" hidden="false" customHeight="false" outlineLevel="0" collapsed="false">
      <c r="B944" s="26"/>
      <c r="C944" s="27"/>
      <c r="D944" s="28" t="str">
        <f aca="false">IF(C944="","",IFERROR(INDEX(Players!$C$5:$C$104,MATCH(C944,Players!$B$5:$B$104,0)),"ID not found"))</f>
        <v/>
      </c>
      <c r="E944" s="27"/>
      <c r="F944" s="27"/>
      <c r="G944" s="28" t="str">
        <f aca="false">IF(F944="","",IFERROR(INDEX('Hitting Drills'!$D$6:$D$45,MATCH(F944,'Hitting Drills'!$B$6:$B$45,0)),"Not a hitting drill ID"))</f>
        <v/>
      </c>
      <c r="H944" s="27"/>
      <c r="I944" s="27"/>
      <c r="J944" s="27"/>
      <c r="K944" s="27"/>
      <c r="L944" s="27"/>
      <c r="M944" s="27"/>
      <c r="N944" s="27"/>
      <c r="O944" s="27"/>
      <c r="P944" s="27"/>
      <c r="Q944" s="27"/>
      <c r="R944" s="27"/>
      <c r="S944" s="29" t="str">
        <f aca="false">IF(OR(B944="",C944=""),"",IF(COUNTIFS($B$5:B944,B944,$C$5:C944,C944)=1,1,0))</f>
        <v/>
      </c>
      <c r="T944" s="29" t="str">
        <f aca="false">IF(OR(B944="",C944="",E944=""),"",IF(COUNTIFS($B$5:B944,B944,$C$5:C944,C944,$E$5:E944,E944)=1,1,0))</f>
        <v/>
      </c>
      <c r="U944" s="28" t="str">
        <f aca="false">IF(COUNTA(B944:C944,E944:F944,H944:P944)=0,"",IF(OR(B944="",C944="",E944=""),"Check: date, player, and context required",IF(AND(ISNUMBER(J944),ISNUMBER(I944),J944&gt;I944),"Check: solid contacts &gt; swings",IF(AND(ISNUMBER(L944),ISNUMBER(K944),L944&gt;K944),"Check: correct &gt; assessed decisions",IF(AND(ISNUMBER(N944),ISNUMBER(M944),N944&gt;M944),"Check: intended &gt; assessed landings",IF(AND(ISNUMBER(J944),I944=""),"Check: solid contacts without swings","OK"))))))</f>
        <v/>
      </c>
    </row>
    <row r="945" customFormat="false" ht="15" hidden="false" customHeight="false" outlineLevel="0" collapsed="false">
      <c r="B945" s="26"/>
      <c r="C945" s="27"/>
      <c r="D945" s="28" t="str">
        <f aca="false">IF(C945="","",IFERROR(INDEX(Players!$C$5:$C$104,MATCH(C945,Players!$B$5:$B$104,0)),"ID not found"))</f>
        <v/>
      </c>
      <c r="E945" s="27"/>
      <c r="F945" s="27"/>
      <c r="G945" s="28" t="str">
        <f aca="false">IF(F945="","",IFERROR(INDEX('Hitting Drills'!$D$6:$D$45,MATCH(F945,'Hitting Drills'!$B$6:$B$45,0)),"Not a hitting drill ID"))</f>
        <v/>
      </c>
      <c r="H945" s="27"/>
      <c r="I945" s="27"/>
      <c r="J945" s="27"/>
      <c r="K945" s="27"/>
      <c r="L945" s="27"/>
      <c r="M945" s="27"/>
      <c r="N945" s="27"/>
      <c r="O945" s="27"/>
      <c r="P945" s="27"/>
      <c r="Q945" s="27"/>
      <c r="R945" s="27"/>
      <c r="S945" s="29" t="str">
        <f aca="false">IF(OR(B945="",C945=""),"",IF(COUNTIFS($B$5:B945,B945,$C$5:C945,C945)=1,1,0))</f>
        <v/>
      </c>
      <c r="T945" s="29" t="str">
        <f aca="false">IF(OR(B945="",C945="",E945=""),"",IF(COUNTIFS($B$5:B945,B945,$C$5:C945,C945,$E$5:E945,E945)=1,1,0))</f>
        <v/>
      </c>
      <c r="U945" s="28" t="str">
        <f aca="false">IF(COUNTA(B945:C945,E945:F945,H945:P945)=0,"",IF(OR(B945="",C945="",E945=""),"Check: date, player, and context required",IF(AND(ISNUMBER(J945),ISNUMBER(I945),J945&gt;I945),"Check: solid contacts &gt; swings",IF(AND(ISNUMBER(L945),ISNUMBER(K945),L945&gt;K945),"Check: correct &gt; assessed decisions",IF(AND(ISNUMBER(N945),ISNUMBER(M945),N945&gt;M945),"Check: intended &gt; assessed landings",IF(AND(ISNUMBER(J945),I945=""),"Check: solid contacts without swings","OK"))))))</f>
        <v/>
      </c>
    </row>
    <row r="946" customFormat="false" ht="15" hidden="false" customHeight="false" outlineLevel="0" collapsed="false">
      <c r="B946" s="26"/>
      <c r="C946" s="27"/>
      <c r="D946" s="28" t="str">
        <f aca="false">IF(C946="","",IFERROR(INDEX(Players!$C$5:$C$104,MATCH(C946,Players!$B$5:$B$104,0)),"ID not found"))</f>
        <v/>
      </c>
      <c r="E946" s="27"/>
      <c r="F946" s="27"/>
      <c r="G946" s="28" t="str">
        <f aca="false">IF(F946="","",IFERROR(INDEX('Hitting Drills'!$D$6:$D$45,MATCH(F946,'Hitting Drills'!$B$6:$B$45,0)),"Not a hitting drill ID"))</f>
        <v/>
      </c>
      <c r="H946" s="27"/>
      <c r="I946" s="27"/>
      <c r="J946" s="27"/>
      <c r="K946" s="27"/>
      <c r="L946" s="27"/>
      <c r="M946" s="27"/>
      <c r="N946" s="27"/>
      <c r="O946" s="27"/>
      <c r="P946" s="27"/>
      <c r="Q946" s="27"/>
      <c r="R946" s="27"/>
      <c r="S946" s="29" t="str">
        <f aca="false">IF(OR(B946="",C946=""),"",IF(COUNTIFS($B$5:B946,B946,$C$5:C946,C946)=1,1,0))</f>
        <v/>
      </c>
      <c r="T946" s="29" t="str">
        <f aca="false">IF(OR(B946="",C946="",E946=""),"",IF(COUNTIFS($B$5:B946,B946,$C$5:C946,C946,$E$5:E946,E946)=1,1,0))</f>
        <v/>
      </c>
      <c r="U946" s="28" t="str">
        <f aca="false">IF(COUNTA(B946:C946,E946:F946,H946:P946)=0,"",IF(OR(B946="",C946="",E946=""),"Check: date, player, and context required",IF(AND(ISNUMBER(J946),ISNUMBER(I946),J946&gt;I946),"Check: solid contacts &gt; swings",IF(AND(ISNUMBER(L946),ISNUMBER(K946),L946&gt;K946),"Check: correct &gt; assessed decisions",IF(AND(ISNUMBER(N946),ISNUMBER(M946),N946&gt;M946),"Check: intended &gt; assessed landings",IF(AND(ISNUMBER(J946),I946=""),"Check: solid contacts without swings","OK"))))))</f>
        <v/>
      </c>
    </row>
    <row r="947" customFormat="false" ht="15" hidden="false" customHeight="false" outlineLevel="0" collapsed="false">
      <c r="B947" s="26"/>
      <c r="C947" s="27"/>
      <c r="D947" s="28" t="str">
        <f aca="false">IF(C947="","",IFERROR(INDEX(Players!$C$5:$C$104,MATCH(C947,Players!$B$5:$B$104,0)),"ID not found"))</f>
        <v/>
      </c>
      <c r="E947" s="27"/>
      <c r="F947" s="27"/>
      <c r="G947" s="28" t="str">
        <f aca="false">IF(F947="","",IFERROR(INDEX('Hitting Drills'!$D$6:$D$45,MATCH(F947,'Hitting Drills'!$B$6:$B$45,0)),"Not a hitting drill ID"))</f>
        <v/>
      </c>
      <c r="H947" s="27"/>
      <c r="I947" s="27"/>
      <c r="J947" s="27"/>
      <c r="K947" s="27"/>
      <c r="L947" s="27"/>
      <c r="M947" s="27"/>
      <c r="N947" s="27"/>
      <c r="O947" s="27"/>
      <c r="P947" s="27"/>
      <c r="Q947" s="27"/>
      <c r="R947" s="27"/>
      <c r="S947" s="29" t="str">
        <f aca="false">IF(OR(B947="",C947=""),"",IF(COUNTIFS($B$5:B947,B947,$C$5:C947,C947)=1,1,0))</f>
        <v/>
      </c>
      <c r="T947" s="29" t="str">
        <f aca="false">IF(OR(B947="",C947="",E947=""),"",IF(COUNTIFS($B$5:B947,B947,$C$5:C947,C947,$E$5:E947,E947)=1,1,0))</f>
        <v/>
      </c>
      <c r="U947" s="28" t="str">
        <f aca="false">IF(COUNTA(B947:C947,E947:F947,H947:P947)=0,"",IF(OR(B947="",C947="",E947=""),"Check: date, player, and context required",IF(AND(ISNUMBER(J947),ISNUMBER(I947),J947&gt;I947),"Check: solid contacts &gt; swings",IF(AND(ISNUMBER(L947),ISNUMBER(K947),L947&gt;K947),"Check: correct &gt; assessed decisions",IF(AND(ISNUMBER(N947),ISNUMBER(M947),N947&gt;M947),"Check: intended &gt; assessed landings",IF(AND(ISNUMBER(J947),I947=""),"Check: solid contacts without swings","OK"))))))</f>
        <v/>
      </c>
    </row>
    <row r="948" customFormat="false" ht="15" hidden="false" customHeight="false" outlineLevel="0" collapsed="false">
      <c r="B948" s="26"/>
      <c r="C948" s="27"/>
      <c r="D948" s="28" t="str">
        <f aca="false">IF(C948="","",IFERROR(INDEX(Players!$C$5:$C$104,MATCH(C948,Players!$B$5:$B$104,0)),"ID not found"))</f>
        <v/>
      </c>
      <c r="E948" s="27"/>
      <c r="F948" s="27"/>
      <c r="G948" s="28" t="str">
        <f aca="false">IF(F948="","",IFERROR(INDEX('Hitting Drills'!$D$6:$D$45,MATCH(F948,'Hitting Drills'!$B$6:$B$45,0)),"Not a hitting drill ID"))</f>
        <v/>
      </c>
      <c r="H948" s="27"/>
      <c r="I948" s="27"/>
      <c r="J948" s="27"/>
      <c r="K948" s="27"/>
      <c r="L948" s="27"/>
      <c r="M948" s="27"/>
      <c r="N948" s="27"/>
      <c r="O948" s="27"/>
      <c r="P948" s="27"/>
      <c r="Q948" s="27"/>
      <c r="R948" s="27"/>
      <c r="S948" s="29" t="str">
        <f aca="false">IF(OR(B948="",C948=""),"",IF(COUNTIFS($B$5:B948,B948,$C$5:C948,C948)=1,1,0))</f>
        <v/>
      </c>
      <c r="T948" s="29" t="str">
        <f aca="false">IF(OR(B948="",C948="",E948=""),"",IF(COUNTIFS($B$5:B948,B948,$C$5:C948,C948,$E$5:E948,E948)=1,1,0))</f>
        <v/>
      </c>
      <c r="U948" s="28" t="str">
        <f aca="false">IF(COUNTA(B948:C948,E948:F948,H948:P948)=0,"",IF(OR(B948="",C948="",E948=""),"Check: date, player, and context required",IF(AND(ISNUMBER(J948),ISNUMBER(I948),J948&gt;I948),"Check: solid contacts &gt; swings",IF(AND(ISNUMBER(L948),ISNUMBER(K948),L948&gt;K948),"Check: correct &gt; assessed decisions",IF(AND(ISNUMBER(N948),ISNUMBER(M948),N948&gt;M948),"Check: intended &gt; assessed landings",IF(AND(ISNUMBER(J948),I948=""),"Check: solid contacts without swings","OK"))))))</f>
        <v/>
      </c>
    </row>
    <row r="949" customFormat="false" ht="15" hidden="false" customHeight="false" outlineLevel="0" collapsed="false">
      <c r="B949" s="26"/>
      <c r="C949" s="27"/>
      <c r="D949" s="28" t="str">
        <f aca="false">IF(C949="","",IFERROR(INDEX(Players!$C$5:$C$104,MATCH(C949,Players!$B$5:$B$104,0)),"ID not found"))</f>
        <v/>
      </c>
      <c r="E949" s="27"/>
      <c r="F949" s="27"/>
      <c r="G949" s="28" t="str">
        <f aca="false">IF(F949="","",IFERROR(INDEX('Hitting Drills'!$D$6:$D$45,MATCH(F949,'Hitting Drills'!$B$6:$B$45,0)),"Not a hitting drill ID"))</f>
        <v/>
      </c>
      <c r="H949" s="27"/>
      <c r="I949" s="27"/>
      <c r="J949" s="27"/>
      <c r="K949" s="27"/>
      <c r="L949" s="27"/>
      <c r="M949" s="27"/>
      <c r="N949" s="27"/>
      <c r="O949" s="27"/>
      <c r="P949" s="27"/>
      <c r="Q949" s="27"/>
      <c r="R949" s="27"/>
      <c r="S949" s="29" t="str">
        <f aca="false">IF(OR(B949="",C949=""),"",IF(COUNTIFS($B$5:B949,B949,$C$5:C949,C949)=1,1,0))</f>
        <v/>
      </c>
      <c r="T949" s="29" t="str">
        <f aca="false">IF(OR(B949="",C949="",E949=""),"",IF(COUNTIFS($B$5:B949,B949,$C$5:C949,C949,$E$5:E949,E949)=1,1,0))</f>
        <v/>
      </c>
      <c r="U949" s="28" t="str">
        <f aca="false">IF(COUNTA(B949:C949,E949:F949,H949:P949)=0,"",IF(OR(B949="",C949="",E949=""),"Check: date, player, and context required",IF(AND(ISNUMBER(J949),ISNUMBER(I949),J949&gt;I949),"Check: solid contacts &gt; swings",IF(AND(ISNUMBER(L949),ISNUMBER(K949),L949&gt;K949),"Check: correct &gt; assessed decisions",IF(AND(ISNUMBER(N949),ISNUMBER(M949),N949&gt;M949),"Check: intended &gt; assessed landings",IF(AND(ISNUMBER(J949),I949=""),"Check: solid contacts without swings","OK"))))))</f>
        <v/>
      </c>
    </row>
    <row r="950" customFormat="false" ht="15" hidden="false" customHeight="false" outlineLevel="0" collapsed="false">
      <c r="B950" s="26"/>
      <c r="C950" s="27"/>
      <c r="D950" s="28" t="str">
        <f aca="false">IF(C950="","",IFERROR(INDEX(Players!$C$5:$C$104,MATCH(C950,Players!$B$5:$B$104,0)),"ID not found"))</f>
        <v/>
      </c>
      <c r="E950" s="27"/>
      <c r="F950" s="27"/>
      <c r="G950" s="28" t="str">
        <f aca="false">IF(F950="","",IFERROR(INDEX('Hitting Drills'!$D$6:$D$45,MATCH(F950,'Hitting Drills'!$B$6:$B$45,0)),"Not a hitting drill ID"))</f>
        <v/>
      </c>
      <c r="H950" s="27"/>
      <c r="I950" s="27"/>
      <c r="J950" s="27"/>
      <c r="K950" s="27"/>
      <c r="L950" s="27"/>
      <c r="M950" s="27"/>
      <c r="N950" s="27"/>
      <c r="O950" s="27"/>
      <c r="P950" s="27"/>
      <c r="Q950" s="27"/>
      <c r="R950" s="27"/>
      <c r="S950" s="29" t="str">
        <f aca="false">IF(OR(B950="",C950=""),"",IF(COUNTIFS($B$5:B950,B950,$C$5:C950,C950)=1,1,0))</f>
        <v/>
      </c>
      <c r="T950" s="29" t="str">
        <f aca="false">IF(OR(B950="",C950="",E950=""),"",IF(COUNTIFS($B$5:B950,B950,$C$5:C950,C950,$E$5:E950,E950)=1,1,0))</f>
        <v/>
      </c>
      <c r="U950" s="28" t="str">
        <f aca="false">IF(COUNTA(B950:C950,E950:F950,H950:P950)=0,"",IF(OR(B950="",C950="",E950=""),"Check: date, player, and context required",IF(AND(ISNUMBER(J950),ISNUMBER(I950),J950&gt;I950),"Check: solid contacts &gt; swings",IF(AND(ISNUMBER(L950),ISNUMBER(K950),L950&gt;K950),"Check: correct &gt; assessed decisions",IF(AND(ISNUMBER(N950),ISNUMBER(M950),N950&gt;M950),"Check: intended &gt; assessed landings",IF(AND(ISNUMBER(J950),I950=""),"Check: solid contacts without swings","OK"))))))</f>
        <v/>
      </c>
    </row>
    <row r="951" customFormat="false" ht="15" hidden="false" customHeight="false" outlineLevel="0" collapsed="false">
      <c r="B951" s="26"/>
      <c r="C951" s="27"/>
      <c r="D951" s="28" t="str">
        <f aca="false">IF(C951="","",IFERROR(INDEX(Players!$C$5:$C$104,MATCH(C951,Players!$B$5:$B$104,0)),"ID not found"))</f>
        <v/>
      </c>
      <c r="E951" s="27"/>
      <c r="F951" s="27"/>
      <c r="G951" s="28" t="str">
        <f aca="false">IF(F951="","",IFERROR(INDEX('Hitting Drills'!$D$6:$D$45,MATCH(F951,'Hitting Drills'!$B$6:$B$45,0)),"Not a hitting drill ID"))</f>
        <v/>
      </c>
      <c r="H951" s="27"/>
      <c r="I951" s="27"/>
      <c r="J951" s="27"/>
      <c r="K951" s="27"/>
      <c r="L951" s="27"/>
      <c r="M951" s="27"/>
      <c r="N951" s="27"/>
      <c r="O951" s="27"/>
      <c r="P951" s="27"/>
      <c r="Q951" s="27"/>
      <c r="R951" s="27"/>
      <c r="S951" s="29" t="str">
        <f aca="false">IF(OR(B951="",C951=""),"",IF(COUNTIFS($B$5:B951,B951,$C$5:C951,C951)=1,1,0))</f>
        <v/>
      </c>
      <c r="T951" s="29" t="str">
        <f aca="false">IF(OR(B951="",C951="",E951=""),"",IF(COUNTIFS($B$5:B951,B951,$C$5:C951,C951,$E$5:E951,E951)=1,1,0))</f>
        <v/>
      </c>
      <c r="U951" s="28" t="str">
        <f aca="false">IF(COUNTA(B951:C951,E951:F951,H951:P951)=0,"",IF(OR(B951="",C951="",E951=""),"Check: date, player, and context required",IF(AND(ISNUMBER(J951),ISNUMBER(I951),J951&gt;I951),"Check: solid contacts &gt; swings",IF(AND(ISNUMBER(L951),ISNUMBER(K951),L951&gt;K951),"Check: correct &gt; assessed decisions",IF(AND(ISNUMBER(N951),ISNUMBER(M951),N951&gt;M951),"Check: intended &gt; assessed landings",IF(AND(ISNUMBER(J951),I951=""),"Check: solid contacts without swings","OK"))))))</f>
        <v/>
      </c>
    </row>
    <row r="952" customFormat="false" ht="15" hidden="false" customHeight="false" outlineLevel="0" collapsed="false">
      <c r="B952" s="26"/>
      <c r="C952" s="27"/>
      <c r="D952" s="28" t="str">
        <f aca="false">IF(C952="","",IFERROR(INDEX(Players!$C$5:$C$104,MATCH(C952,Players!$B$5:$B$104,0)),"ID not found"))</f>
        <v/>
      </c>
      <c r="E952" s="27"/>
      <c r="F952" s="27"/>
      <c r="G952" s="28" t="str">
        <f aca="false">IF(F952="","",IFERROR(INDEX('Hitting Drills'!$D$6:$D$45,MATCH(F952,'Hitting Drills'!$B$6:$B$45,0)),"Not a hitting drill ID"))</f>
        <v/>
      </c>
      <c r="H952" s="27"/>
      <c r="I952" s="27"/>
      <c r="J952" s="27"/>
      <c r="K952" s="27"/>
      <c r="L952" s="27"/>
      <c r="M952" s="27"/>
      <c r="N952" s="27"/>
      <c r="O952" s="27"/>
      <c r="P952" s="27"/>
      <c r="Q952" s="27"/>
      <c r="R952" s="27"/>
      <c r="S952" s="29" t="str">
        <f aca="false">IF(OR(B952="",C952=""),"",IF(COUNTIFS($B$5:B952,B952,$C$5:C952,C952)=1,1,0))</f>
        <v/>
      </c>
      <c r="T952" s="29" t="str">
        <f aca="false">IF(OR(B952="",C952="",E952=""),"",IF(COUNTIFS($B$5:B952,B952,$C$5:C952,C952,$E$5:E952,E952)=1,1,0))</f>
        <v/>
      </c>
      <c r="U952" s="28" t="str">
        <f aca="false">IF(COUNTA(B952:C952,E952:F952,H952:P952)=0,"",IF(OR(B952="",C952="",E952=""),"Check: date, player, and context required",IF(AND(ISNUMBER(J952),ISNUMBER(I952),J952&gt;I952),"Check: solid contacts &gt; swings",IF(AND(ISNUMBER(L952),ISNUMBER(K952),L952&gt;K952),"Check: correct &gt; assessed decisions",IF(AND(ISNUMBER(N952),ISNUMBER(M952),N952&gt;M952),"Check: intended &gt; assessed landings",IF(AND(ISNUMBER(J952),I952=""),"Check: solid contacts without swings","OK"))))))</f>
        <v/>
      </c>
    </row>
    <row r="953" customFormat="false" ht="15" hidden="false" customHeight="false" outlineLevel="0" collapsed="false">
      <c r="B953" s="26"/>
      <c r="C953" s="27"/>
      <c r="D953" s="28" t="str">
        <f aca="false">IF(C953="","",IFERROR(INDEX(Players!$C$5:$C$104,MATCH(C953,Players!$B$5:$B$104,0)),"ID not found"))</f>
        <v/>
      </c>
      <c r="E953" s="27"/>
      <c r="F953" s="27"/>
      <c r="G953" s="28" t="str">
        <f aca="false">IF(F953="","",IFERROR(INDEX('Hitting Drills'!$D$6:$D$45,MATCH(F953,'Hitting Drills'!$B$6:$B$45,0)),"Not a hitting drill ID"))</f>
        <v/>
      </c>
      <c r="H953" s="27"/>
      <c r="I953" s="27"/>
      <c r="J953" s="27"/>
      <c r="K953" s="27"/>
      <c r="L953" s="27"/>
      <c r="M953" s="27"/>
      <c r="N953" s="27"/>
      <c r="O953" s="27"/>
      <c r="P953" s="27"/>
      <c r="Q953" s="27"/>
      <c r="R953" s="27"/>
      <c r="S953" s="29" t="str">
        <f aca="false">IF(OR(B953="",C953=""),"",IF(COUNTIFS($B$5:B953,B953,$C$5:C953,C953)=1,1,0))</f>
        <v/>
      </c>
      <c r="T953" s="29" t="str">
        <f aca="false">IF(OR(B953="",C953="",E953=""),"",IF(COUNTIFS($B$5:B953,B953,$C$5:C953,C953,$E$5:E953,E953)=1,1,0))</f>
        <v/>
      </c>
      <c r="U953" s="28" t="str">
        <f aca="false">IF(COUNTA(B953:C953,E953:F953,H953:P953)=0,"",IF(OR(B953="",C953="",E953=""),"Check: date, player, and context required",IF(AND(ISNUMBER(J953),ISNUMBER(I953),J953&gt;I953),"Check: solid contacts &gt; swings",IF(AND(ISNUMBER(L953),ISNUMBER(K953),L953&gt;K953),"Check: correct &gt; assessed decisions",IF(AND(ISNUMBER(N953),ISNUMBER(M953),N953&gt;M953),"Check: intended &gt; assessed landings",IF(AND(ISNUMBER(J953),I953=""),"Check: solid contacts without swings","OK"))))))</f>
        <v/>
      </c>
    </row>
    <row r="954" customFormat="false" ht="15" hidden="false" customHeight="false" outlineLevel="0" collapsed="false">
      <c r="B954" s="26"/>
      <c r="C954" s="27"/>
      <c r="D954" s="28" t="str">
        <f aca="false">IF(C954="","",IFERROR(INDEX(Players!$C$5:$C$104,MATCH(C954,Players!$B$5:$B$104,0)),"ID not found"))</f>
        <v/>
      </c>
      <c r="E954" s="27"/>
      <c r="F954" s="27"/>
      <c r="G954" s="28" t="str">
        <f aca="false">IF(F954="","",IFERROR(INDEX('Hitting Drills'!$D$6:$D$45,MATCH(F954,'Hitting Drills'!$B$6:$B$45,0)),"Not a hitting drill ID"))</f>
        <v/>
      </c>
      <c r="H954" s="27"/>
      <c r="I954" s="27"/>
      <c r="J954" s="27"/>
      <c r="K954" s="27"/>
      <c r="L954" s="27"/>
      <c r="M954" s="27"/>
      <c r="N954" s="27"/>
      <c r="O954" s="27"/>
      <c r="P954" s="27"/>
      <c r="Q954" s="27"/>
      <c r="R954" s="27"/>
      <c r="S954" s="29" t="str">
        <f aca="false">IF(OR(B954="",C954=""),"",IF(COUNTIFS($B$5:B954,B954,$C$5:C954,C954)=1,1,0))</f>
        <v/>
      </c>
      <c r="T954" s="29" t="str">
        <f aca="false">IF(OR(B954="",C954="",E954=""),"",IF(COUNTIFS($B$5:B954,B954,$C$5:C954,C954,$E$5:E954,E954)=1,1,0))</f>
        <v/>
      </c>
      <c r="U954" s="28" t="str">
        <f aca="false">IF(COUNTA(B954:C954,E954:F954,H954:P954)=0,"",IF(OR(B954="",C954="",E954=""),"Check: date, player, and context required",IF(AND(ISNUMBER(J954),ISNUMBER(I954),J954&gt;I954),"Check: solid contacts &gt; swings",IF(AND(ISNUMBER(L954),ISNUMBER(K954),L954&gt;K954),"Check: correct &gt; assessed decisions",IF(AND(ISNUMBER(N954),ISNUMBER(M954),N954&gt;M954),"Check: intended &gt; assessed landings",IF(AND(ISNUMBER(J954),I954=""),"Check: solid contacts without swings","OK"))))))</f>
        <v/>
      </c>
    </row>
    <row r="955" customFormat="false" ht="15" hidden="false" customHeight="false" outlineLevel="0" collapsed="false">
      <c r="B955" s="26"/>
      <c r="C955" s="27"/>
      <c r="D955" s="28" t="str">
        <f aca="false">IF(C955="","",IFERROR(INDEX(Players!$C$5:$C$104,MATCH(C955,Players!$B$5:$B$104,0)),"ID not found"))</f>
        <v/>
      </c>
      <c r="E955" s="27"/>
      <c r="F955" s="27"/>
      <c r="G955" s="28" t="str">
        <f aca="false">IF(F955="","",IFERROR(INDEX('Hitting Drills'!$D$6:$D$45,MATCH(F955,'Hitting Drills'!$B$6:$B$45,0)),"Not a hitting drill ID"))</f>
        <v/>
      </c>
      <c r="H955" s="27"/>
      <c r="I955" s="27"/>
      <c r="J955" s="27"/>
      <c r="K955" s="27"/>
      <c r="L955" s="27"/>
      <c r="M955" s="27"/>
      <c r="N955" s="27"/>
      <c r="O955" s="27"/>
      <c r="P955" s="27"/>
      <c r="Q955" s="27"/>
      <c r="R955" s="27"/>
      <c r="S955" s="29" t="str">
        <f aca="false">IF(OR(B955="",C955=""),"",IF(COUNTIFS($B$5:B955,B955,$C$5:C955,C955)=1,1,0))</f>
        <v/>
      </c>
      <c r="T955" s="29" t="str">
        <f aca="false">IF(OR(B955="",C955="",E955=""),"",IF(COUNTIFS($B$5:B955,B955,$C$5:C955,C955,$E$5:E955,E955)=1,1,0))</f>
        <v/>
      </c>
      <c r="U955" s="28" t="str">
        <f aca="false">IF(COUNTA(B955:C955,E955:F955,H955:P955)=0,"",IF(OR(B955="",C955="",E955=""),"Check: date, player, and context required",IF(AND(ISNUMBER(J955),ISNUMBER(I955),J955&gt;I955),"Check: solid contacts &gt; swings",IF(AND(ISNUMBER(L955),ISNUMBER(K955),L955&gt;K955),"Check: correct &gt; assessed decisions",IF(AND(ISNUMBER(N955),ISNUMBER(M955),N955&gt;M955),"Check: intended &gt; assessed landings",IF(AND(ISNUMBER(J955),I955=""),"Check: solid contacts without swings","OK"))))))</f>
        <v/>
      </c>
    </row>
    <row r="956" customFormat="false" ht="15" hidden="false" customHeight="false" outlineLevel="0" collapsed="false">
      <c r="B956" s="26"/>
      <c r="C956" s="27"/>
      <c r="D956" s="28" t="str">
        <f aca="false">IF(C956="","",IFERROR(INDEX(Players!$C$5:$C$104,MATCH(C956,Players!$B$5:$B$104,0)),"ID not found"))</f>
        <v/>
      </c>
      <c r="E956" s="27"/>
      <c r="F956" s="27"/>
      <c r="G956" s="28" t="str">
        <f aca="false">IF(F956="","",IFERROR(INDEX('Hitting Drills'!$D$6:$D$45,MATCH(F956,'Hitting Drills'!$B$6:$B$45,0)),"Not a hitting drill ID"))</f>
        <v/>
      </c>
      <c r="H956" s="27"/>
      <c r="I956" s="27"/>
      <c r="J956" s="27"/>
      <c r="K956" s="27"/>
      <c r="L956" s="27"/>
      <c r="M956" s="27"/>
      <c r="N956" s="27"/>
      <c r="O956" s="27"/>
      <c r="P956" s="27"/>
      <c r="Q956" s="27"/>
      <c r="R956" s="27"/>
      <c r="S956" s="29" t="str">
        <f aca="false">IF(OR(B956="",C956=""),"",IF(COUNTIFS($B$5:B956,B956,$C$5:C956,C956)=1,1,0))</f>
        <v/>
      </c>
      <c r="T956" s="29" t="str">
        <f aca="false">IF(OR(B956="",C956="",E956=""),"",IF(COUNTIFS($B$5:B956,B956,$C$5:C956,C956,$E$5:E956,E956)=1,1,0))</f>
        <v/>
      </c>
      <c r="U956" s="28" t="str">
        <f aca="false">IF(COUNTA(B956:C956,E956:F956,H956:P956)=0,"",IF(OR(B956="",C956="",E956=""),"Check: date, player, and context required",IF(AND(ISNUMBER(J956),ISNUMBER(I956),J956&gt;I956),"Check: solid contacts &gt; swings",IF(AND(ISNUMBER(L956),ISNUMBER(K956),L956&gt;K956),"Check: correct &gt; assessed decisions",IF(AND(ISNUMBER(N956),ISNUMBER(M956),N956&gt;M956),"Check: intended &gt; assessed landings",IF(AND(ISNUMBER(J956),I956=""),"Check: solid contacts without swings","OK"))))))</f>
        <v/>
      </c>
    </row>
    <row r="957" customFormat="false" ht="15" hidden="false" customHeight="false" outlineLevel="0" collapsed="false">
      <c r="B957" s="26"/>
      <c r="C957" s="27"/>
      <c r="D957" s="28" t="str">
        <f aca="false">IF(C957="","",IFERROR(INDEX(Players!$C$5:$C$104,MATCH(C957,Players!$B$5:$B$104,0)),"ID not found"))</f>
        <v/>
      </c>
      <c r="E957" s="27"/>
      <c r="F957" s="27"/>
      <c r="G957" s="28" t="str">
        <f aca="false">IF(F957="","",IFERROR(INDEX('Hitting Drills'!$D$6:$D$45,MATCH(F957,'Hitting Drills'!$B$6:$B$45,0)),"Not a hitting drill ID"))</f>
        <v/>
      </c>
      <c r="H957" s="27"/>
      <c r="I957" s="27"/>
      <c r="J957" s="27"/>
      <c r="K957" s="27"/>
      <c r="L957" s="27"/>
      <c r="M957" s="27"/>
      <c r="N957" s="27"/>
      <c r="O957" s="27"/>
      <c r="P957" s="27"/>
      <c r="Q957" s="27"/>
      <c r="R957" s="27"/>
      <c r="S957" s="29" t="str">
        <f aca="false">IF(OR(B957="",C957=""),"",IF(COUNTIFS($B$5:B957,B957,$C$5:C957,C957)=1,1,0))</f>
        <v/>
      </c>
      <c r="T957" s="29" t="str">
        <f aca="false">IF(OR(B957="",C957="",E957=""),"",IF(COUNTIFS($B$5:B957,B957,$C$5:C957,C957,$E$5:E957,E957)=1,1,0))</f>
        <v/>
      </c>
      <c r="U957" s="28" t="str">
        <f aca="false">IF(COUNTA(B957:C957,E957:F957,H957:P957)=0,"",IF(OR(B957="",C957="",E957=""),"Check: date, player, and context required",IF(AND(ISNUMBER(J957),ISNUMBER(I957),J957&gt;I957),"Check: solid contacts &gt; swings",IF(AND(ISNUMBER(L957),ISNUMBER(K957),L957&gt;K957),"Check: correct &gt; assessed decisions",IF(AND(ISNUMBER(N957),ISNUMBER(M957),N957&gt;M957),"Check: intended &gt; assessed landings",IF(AND(ISNUMBER(J957),I957=""),"Check: solid contacts without swings","OK"))))))</f>
        <v/>
      </c>
    </row>
    <row r="958" customFormat="false" ht="15" hidden="false" customHeight="false" outlineLevel="0" collapsed="false">
      <c r="B958" s="26"/>
      <c r="C958" s="27"/>
      <c r="D958" s="28" t="str">
        <f aca="false">IF(C958="","",IFERROR(INDEX(Players!$C$5:$C$104,MATCH(C958,Players!$B$5:$B$104,0)),"ID not found"))</f>
        <v/>
      </c>
      <c r="E958" s="27"/>
      <c r="F958" s="27"/>
      <c r="G958" s="28" t="str">
        <f aca="false">IF(F958="","",IFERROR(INDEX('Hitting Drills'!$D$6:$D$45,MATCH(F958,'Hitting Drills'!$B$6:$B$45,0)),"Not a hitting drill ID"))</f>
        <v/>
      </c>
      <c r="H958" s="27"/>
      <c r="I958" s="27"/>
      <c r="J958" s="27"/>
      <c r="K958" s="27"/>
      <c r="L958" s="27"/>
      <c r="M958" s="27"/>
      <c r="N958" s="27"/>
      <c r="O958" s="27"/>
      <c r="P958" s="27"/>
      <c r="Q958" s="27"/>
      <c r="R958" s="27"/>
      <c r="S958" s="29" t="str">
        <f aca="false">IF(OR(B958="",C958=""),"",IF(COUNTIFS($B$5:B958,B958,$C$5:C958,C958)=1,1,0))</f>
        <v/>
      </c>
      <c r="T958" s="29" t="str">
        <f aca="false">IF(OR(B958="",C958="",E958=""),"",IF(COUNTIFS($B$5:B958,B958,$C$5:C958,C958,$E$5:E958,E958)=1,1,0))</f>
        <v/>
      </c>
      <c r="U958" s="28" t="str">
        <f aca="false">IF(COUNTA(B958:C958,E958:F958,H958:P958)=0,"",IF(OR(B958="",C958="",E958=""),"Check: date, player, and context required",IF(AND(ISNUMBER(J958),ISNUMBER(I958),J958&gt;I958),"Check: solid contacts &gt; swings",IF(AND(ISNUMBER(L958),ISNUMBER(K958),L958&gt;K958),"Check: correct &gt; assessed decisions",IF(AND(ISNUMBER(N958),ISNUMBER(M958),N958&gt;M958),"Check: intended &gt; assessed landings",IF(AND(ISNUMBER(J958),I958=""),"Check: solid contacts without swings","OK"))))))</f>
        <v/>
      </c>
    </row>
    <row r="959" customFormat="false" ht="15" hidden="false" customHeight="false" outlineLevel="0" collapsed="false">
      <c r="B959" s="26"/>
      <c r="C959" s="27"/>
      <c r="D959" s="28" t="str">
        <f aca="false">IF(C959="","",IFERROR(INDEX(Players!$C$5:$C$104,MATCH(C959,Players!$B$5:$B$104,0)),"ID not found"))</f>
        <v/>
      </c>
      <c r="E959" s="27"/>
      <c r="F959" s="27"/>
      <c r="G959" s="28" t="str">
        <f aca="false">IF(F959="","",IFERROR(INDEX('Hitting Drills'!$D$6:$D$45,MATCH(F959,'Hitting Drills'!$B$6:$B$45,0)),"Not a hitting drill ID"))</f>
        <v/>
      </c>
      <c r="H959" s="27"/>
      <c r="I959" s="27"/>
      <c r="J959" s="27"/>
      <c r="K959" s="27"/>
      <c r="L959" s="27"/>
      <c r="M959" s="27"/>
      <c r="N959" s="27"/>
      <c r="O959" s="27"/>
      <c r="P959" s="27"/>
      <c r="Q959" s="27"/>
      <c r="R959" s="27"/>
      <c r="S959" s="29" t="str">
        <f aca="false">IF(OR(B959="",C959=""),"",IF(COUNTIFS($B$5:B959,B959,$C$5:C959,C959)=1,1,0))</f>
        <v/>
      </c>
      <c r="T959" s="29" t="str">
        <f aca="false">IF(OR(B959="",C959="",E959=""),"",IF(COUNTIFS($B$5:B959,B959,$C$5:C959,C959,$E$5:E959,E959)=1,1,0))</f>
        <v/>
      </c>
      <c r="U959" s="28" t="str">
        <f aca="false">IF(COUNTA(B959:C959,E959:F959,H959:P959)=0,"",IF(OR(B959="",C959="",E959=""),"Check: date, player, and context required",IF(AND(ISNUMBER(J959),ISNUMBER(I959),J959&gt;I959),"Check: solid contacts &gt; swings",IF(AND(ISNUMBER(L959),ISNUMBER(K959),L959&gt;K959),"Check: correct &gt; assessed decisions",IF(AND(ISNUMBER(N959),ISNUMBER(M959),N959&gt;M959),"Check: intended &gt; assessed landings",IF(AND(ISNUMBER(J959),I959=""),"Check: solid contacts without swings","OK"))))))</f>
        <v/>
      </c>
    </row>
    <row r="960" customFormat="false" ht="15" hidden="false" customHeight="false" outlineLevel="0" collapsed="false">
      <c r="B960" s="26"/>
      <c r="C960" s="27"/>
      <c r="D960" s="28" t="str">
        <f aca="false">IF(C960="","",IFERROR(INDEX(Players!$C$5:$C$104,MATCH(C960,Players!$B$5:$B$104,0)),"ID not found"))</f>
        <v/>
      </c>
      <c r="E960" s="27"/>
      <c r="F960" s="27"/>
      <c r="G960" s="28" t="str">
        <f aca="false">IF(F960="","",IFERROR(INDEX('Hitting Drills'!$D$6:$D$45,MATCH(F960,'Hitting Drills'!$B$6:$B$45,0)),"Not a hitting drill ID"))</f>
        <v/>
      </c>
      <c r="H960" s="27"/>
      <c r="I960" s="27"/>
      <c r="J960" s="27"/>
      <c r="K960" s="27"/>
      <c r="L960" s="27"/>
      <c r="M960" s="27"/>
      <c r="N960" s="27"/>
      <c r="O960" s="27"/>
      <c r="P960" s="27"/>
      <c r="Q960" s="27"/>
      <c r="R960" s="27"/>
      <c r="S960" s="29" t="str">
        <f aca="false">IF(OR(B960="",C960=""),"",IF(COUNTIFS($B$5:B960,B960,$C$5:C960,C960)=1,1,0))</f>
        <v/>
      </c>
      <c r="T960" s="29" t="str">
        <f aca="false">IF(OR(B960="",C960="",E960=""),"",IF(COUNTIFS($B$5:B960,B960,$C$5:C960,C960,$E$5:E960,E960)=1,1,0))</f>
        <v/>
      </c>
      <c r="U960" s="28" t="str">
        <f aca="false">IF(COUNTA(B960:C960,E960:F960,H960:P960)=0,"",IF(OR(B960="",C960="",E960=""),"Check: date, player, and context required",IF(AND(ISNUMBER(J960),ISNUMBER(I960),J960&gt;I960),"Check: solid contacts &gt; swings",IF(AND(ISNUMBER(L960),ISNUMBER(K960),L960&gt;K960),"Check: correct &gt; assessed decisions",IF(AND(ISNUMBER(N960),ISNUMBER(M960),N960&gt;M960),"Check: intended &gt; assessed landings",IF(AND(ISNUMBER(J960),I960=""),"Check: solid contacts without swings","OK"))))))</f>
        <v/>
      </c>
    </row>
    <row r="961" customFormat="false" ht="15" hidden="false" customHeight="false" outlineLevel="0" collapsed="false">
      <c r="B961" s="26"/>
      <c r="C961" s="27"/>
      <c r="D961" s="28" t="str">
        <f aca="false">IF(C961="","",IFERROR(INDEX(Players!$C$5:$C$104,MATCH(C961,Players!$B$5:$B$104,0)),"ID not found"))</f>
        <v/>
      </c>
      <c r="E961" s="27"/>
      <c r="F961" s="27"/>
      <c r="G961" s="28" t="str">
        <f aca="false">IF(F961="","",IFERROR(INDEX('Hitting Drills'!$D$6:$D$45,MATCH(F961,'Hitting Drills'!$B$6:$B$45,0)),"Not a hitting drill ID"))</f>
        <v/>
      </c>
      <c r="H961" s="27"/>
      <c r="I961" s="27"/>
      <c r="J961" s="27"/>
      <c r="K961" s="27"/>
      <c r="L961" s="27"/>
      <c r="M961" s="27"/>
      <c r="N961" s="27"/>
      <c r="O961" s="27"/>
      <c r="P961" s="27"/>
      <c r="Q961" s="27"/>
      <c r="R961" s="27"/>
      <c r="S961" s="29" t="str">
        <f aca="false">IF(OR(B961="",C961=""),"",IF(COUNTIFS($B$5:B961,B961,$C$5:C961,C961)=1,1,0))</f>
        <v/>
      </c>
      <c r="T961" s="29" t="str">
        <f aca="false">IF(OR(B961="",C961="",E961=""),"",IF(COUNTIFS($B$5:B961,B961,$C$5:C961,C961,$E$5:E961,E961)=1,1,0))</f>
        <v/>
      </c>
      <c r="U961" s="28" t="str">
        <f aca="false">IF(COUNTA(B961:C961,E961:F961,H961:P961)=0,"",IF(OR(B961="",C961="",E961=""),"Check: date, player, and context required",IF(AND(ISNUMBER(J961),ISNUMBER(I961),J961&gt;I961),"Check: solid contacts &gt; swings",IF(AND(ISNUMBER(L961),ISNUMBER(K961),L961&gt;K961),"Check: correct &gt; assessed decisions",IF(AND(ISNUMBER(N961),ISNUMBER(M961),N961&gt;M961),"Check: intended &gt; assessed landings",IF(AND(ISNUMBER(J961),I961=""),"Check: solid contacts without swings","OK"))))))</f>
        <v/>
      </c>
    </row>
    <row r="962" customFormat="false" ht="15" hidden="false" customHeight="false" outlineLevel="0" collapsed="false">
      <c r="B962" s="26"/>
      <c r="C962" s="27"/>
      <c r="D962" s="28" t="str">
        <f aca="false">IF(C962="","",IFERROR(INDEX(Players!$C$5:$C$104,MATCH(C962,Players!$B$5:$B$104,0)),"ID not found"))</f>
        <v/>
      </c>
      <c r="E962" s="27"/>
      <c r="F962" s="27"/>
      <c r="G962" s="28" t="str">
        <f aca="false">IF(F962="","",IFERROR(INDEX('Hitting Drills'!$D$6:$D$45,MATCH(F962,'Hitting Drills'!$B$6:$B$45,0)),"Not a hitting drill ID"))</f>
        <v/>
      </c>
      <c r="H962" s="27"/>
      <c r="I962" s="27"/>
      <c r="J962" s="27"/>
      <c r="K962" s="27"/>
      <c r="L962" s="27"/>
      <c r="M962" s="27"/>
      <c r="N962" s="27"/>
      <c r="O962" s="27"/>
      <c r="P962" s="27"/>
      <c r="Q962" s="27"/>
      <c r="R962" s="27"/>
      <c r="S962" s="29" t="str">
        <f aca="false">IF(OR(B962="",C962=""),"",IF(COUNTIFS($B$5:B962,B962,$C$5:C962,C962)=1,1,0))</f>
        <v/>
      </c>
      <c r="T962" s="29" t="str">
        <f aca="false">IF(OR(B962="",C962="",E962=""),"",IF(COUNTIFS($B$5:B962,B962,$C$5:C962,C962,$E$5:E962,E962)=1,1,0))</f>
        <v/>
      </c>
      <c r="U962" s="28" t="str">
        <f aca="false">IF(COUNTA(B962:C962,E962:F962,H962:P962)=0,"",IF(OR(B962="",C962="",E962=""),"Check: date, player, and context required",IF(AND(ISNUMBER(J962),ISNUMBER(I962),J962&gt;I962),"Check: solid contacts &gt; swings",IF(AND(ISNUMBER(L962),ISNUMBER(K962),L962&gt;K962),"Check: correct &gt; assessed decisions",IF(AND(ISNUMBER(N962),ISNUMBER(M962),N962&gt;M962),"Check: intended &gt; assessed landings",IF(AND(ISNUMBER(J962),I962=""),"Check: solid contacts without swings","OK"))))))</f>
        <v/>
      </c>
    </row>
    <row r="963" customFormat="false" ht="15" hidden="false" customHeight="false" outlineLevel="0" collapsed="false">
      <c r="B963" s="26"/>
      <c r="C963" s="27"/>
      <c r="D963" s="28" t="str">
        <f aca="false">IF(C963="","",IFERROR(INDEX(Players!$C$5:$C$104,MATCH(C963,Players!$B$5:$B$104,0)),"ID not found"))</f>
        <v/>
      </c>
      <c r="E963" s="27"/>
      <c r="F963" s="27"/>
      <c r="G963" s="28" t="str">
        <f aca="false">IF(F963="","",IFERROR(INDEX('Hitting Drills'!$D$6:$D$45,MATCH(F963,'Hitting Drills'!$B$6:$B$45,0)),"Not a hitting drill ID"))</f>
        <v/>
      </c>
      <c r="H963" s="27"/>
      <c r="I963" s="27"/>
      <c r="J963" s="27"/>
      <c r="K963" s="27"/>
      <c r="L963" s="27"/>
      <c r="M963" s="27"/>
      <c r="N963" s="27"/>
      <c r="O963" s="27"/>
      <c r="P963" s="27"/>
      <c r="Q963" s="27"/>
      <c r="R963" s="27"/>
      <c r="S963" s="29" t="str">
        <f aca="false">IF(OR(B963="",C963=""),"",IF(COUNTIFS($B$5:B963,B963,$C$5:C963,C963)=1,1,0))</f>
        <v/>
      </c>
      <c r="T963" s="29" t="str">
        <f aca="false">IF(OR(B963="",C963="",E963=""),"",IF(COUNTIFS($B$5:B963,B963,$C$5:C963,C963,$E$5:E963,E963)=1,1,0))</f>
        <v/>
      </c>
      <c r="U963" s="28" t="str">
        <f aca="false">IF(COUNTA(B963:C963,E963:F963,H963:P963)=0,"",IF(OR(B963="",C963="",E963=""),"Check: date, player, and context required",IF(AND(ISNUMBER(J963),ISNUMBER(I963),J963&gt;I963),"Check: solid contacts &gt; swings",IF(AND(ISNUMBER(L963),ISNUMBER(K963),L963&gt;K963),"Check: correct &gt; assessed decisions",IF(AND(ISNUMBER(N963),ISNUMBER(M963),N963&gt;M963),"Check: intended &gt; assessed landings",IF(AND(ISNUMBER(J963),I963=""),"Check: solid contacts without swings","OK"))))))</f>
        <v/>
      </c>
    </row>
    <row r="964" customFormat="false" ht="15" hidden="false" customHeight="false" outlineLevel="0" collapsed="false">
      <c r="B964" s="26"/>
      <c r="C964" s="27"/>
      <c r="D964" s="28" t="str">
        <f aca="false">IF(C964="","",IFERROR(INDEX(Players!$C$5:$C$104,MATCH(C964,Players!$B$5:$B$104,0)),"ID not found"))</f>
        <v/>
      </c>
      <c r="E964" s="27"/>
      <c r="F964" s="27"/>
      <c r="G964" s="28" t="str">
        <f aca="false">IF(F964="","",IFERROR(INDEX('Hitting Drills'!$D$6:$D$45,MATCH(F964,'Hitting Drills'!$B$6:$B$45,0)),"Not a hitting drill ID"))</f>
        <v/>
      </c>
      <c r="H964" s="27"/>
      <c r="I964" s="27"/>
      <c r="J964" s="27"/>
      <c r="K964" s="27"/>
      <c r="L964" s="27"/>
      <c r="M964" s="27"/>
      <c r="N964" s="27"/>
      <c r="O964" s="27"/>
      <c r="P964" s="27"/>
      <c r="Q964" s="27"/>
      <c r="R964" s="27"/>
      <c r="S964" s="29" t="str">
        <f aca="false">IF(OR(B964="",C964=""),"",IF(COUNTIFS($B$5:B964,B964,$C$5:C964,C964)=1,1,0))</f>
        <v/>
      </c>
      <c r="T964" s="29" t="str">
        <f aca="false">IF(OR(B964="",C964="",E964=""),"",IF(COUNTIFS($B$5:B964,B964,$C$5:C964,C964,$E$5:E964,E964)=1,1,0))</f>
        <v/>
      </c>
      <c r="U964" s="28" t="str">
        <f aca="false">IF(COUNTA(B964:C964,E964:F964,H964:P964)=0,"",IF(OR(B964="",C964="",E964=""),"Check: date, player, and context required",IF(AND(ISNUMBER(J964),ISNUMBER(I964),J964&gt;I964),"Check: solid contacts &gt; swings",IF(AND(ISNUMBER(L964),ISNUMBER(K964),L964&gt;K964),"Check: correct &gt; assessed decisions",IF(AND(ISNUMBER(N964),ISNUMBER(M964),N964&gt;M964),"Check: intended &gt; assessed landings",IF(AND(ISNUMBER(J964),I964=""),"Check: solid contacts without swings","OK"))))))</f>
        <v/>
      </c>
    </row>
    <row r="965" customFormat="false" ht="15" hidden="false" customHeight="false" outlineLevel="0" collapsed="false">
      <c r="B965" s="26"/>
      <c r="C965" s="27"/>
      <c r="D965" s="28" t="str">
        <f aca="false">IF(C965="","",IFERROR(INDEX(Players!$C$5:$C$104,MATCH(C965,Players!$B$5:$B$104,0)),"ID not found"))</f>
        <v/>
      </c>
      <c r="E965" s="27"/>
      <c r="F965" s="27"/>
      <c r="G965" s="28" t="str">
        <f aca="false">IF(F965="","",IFERROR(INDEX('Hitting Drills'!$D$6:$D$45,MATCH(F965,'Hitting Drills'!$B$6:$B$45,0)),"Not a hitting drill ID"))</f>
        <v/>
      </c>
      <c r="H965" s="27"/>
      <c r="I965" s="27"/>
      <c r="J965" s="27"/>
      <c r="K965" s="27"/>
      <c r="L965" s="27"/>
      <c r="M965" s="27"/>
      <c r="N965" s="27"/>
      <c r="O965" s="27"/>
      <c r="P965" s="27"/>
      <c r="Q965" s="27"/>
      <c r="R965" s="27"/>
      <c r="S965" s="29" t="str">
        <f aca="false">IF(OR(B965="",C965=""),"",IF(COUNTIFS($B$5:B965,B965,$C$5:C965,C965)=1,1,0))</f>
        <v/>
      </c>
      <c r="T965" s="29" t="str">
        <f aca="false">IF(OR(B965="",C965="",E965=""),"",IF(COUNTIFS($B$5:B965,B965,$C$5:C965,C965,$E$5:E965,E965)=1,1,0))</f>
        <v/>
      </c>
      <c r="U965" s="28" t="str">
        <f aca="false">IF(COUNTA(B965:C965,E965:F965,H965:P965)=0,"",IF(OR(B965="",C965="",E965=""),"Check: date, player, and context required",IF(AND(ISNUMBER(J965),ISNUMBER(I965),J965&gt;I965),"Check: solid contacts &gt; swings",IF(AND(ISNUMBER(L965),ISNUMBER(K965),L965&gt;K965),"Check: correct &gt; assessed decisions",IF(AND(ISNUMBER(N965),ISNUMBER(M965),N965&gt;M965),"Check: intended &gt; assessed landings",IF(AND(ISNUMBER(J965),I965=""),"Check: solid contacts without swings","OK"))))))</f>
        <v/>
      </c>
    </row>
    <row r="966" customFormat="false" ht="15" hidden="false" customHeight="false" outlineLevel="0" collapsed="false">
      <c r="B966" s="26"/>
      <c r="C966" s="27"/>
      <c r="D966" s="28" t="str">
        <f aca="false">IF(C966="","",IFERROR(INDEX(Players!$C$5:$C$104,MATCH(C966,Players!$B$5:$B$104,0)),"ID not found"))</f>
        <v/>
      </c>
      <c r="E966" s="27"/>
      <c r="F966" s="27"/>
      <c r="G966" s="28" t="str">
        <f aca="false">IF(F966="","",IFERROR(INDEX('Hitting Drills'!$D$6:$D$45,MATCH(F966,'Hitting Drills'!$B$6:$B$45,0)),"Not a hitting drill ID"))</f>
        <v/>
      </c>
      <c r="H966" s="27"/>
      <c r="I966" s="27"/>
      <c r="J966" s="27"/>
      <c r="K966" s="27"/>
      <c r="L966" s="27"/>
      <c r="M966" s="27"/>
      <c r="N966" s="27"/>
      <c r="O966" s="27"/>
      <c r="P966" s="27"/>
      <c r="Q966" s="27"/>
      <c r="R966" s="27"/>
      <c r="S966" s="29" t="str">
        <f aca="false">IF(OR(B966="",C966=""),"",IF(COUNTIFS($B$5:B966,B966,$C$5:C966,C966)=1,1,0))</f>
        <v/>
      </c>
      <c r="T966" s="29" t="str">
        <f aca="false">IF(OR(B966="",C966="",E966=""),"",IF(COUNTIFS($B$5:B966,B966,$C$5:C966,C966,$E$5:E966,E966)=1,1,0))</f>
        <v/>
      </c>
      <c r="U966" s="28" t="str">
        <f aca="false">IF(COUNTA(B966:C966,E966:F966,H966:P966)=0,"",IF(OR(B966="",C966="",E966=""),"Check: date, player, and context required",IF(AND(ISNUMBER(J966),ISNUMBER(I966),J966&gt;I966),"Check: solid contacts &gt; swings",IF(AND(ISNUMBER(L966),ISNUMBER(K966),L966&gt;K966),"Check: correct &gt; assessed decisions",IF(AND(ISNUMBER(N966),ISNUMBER(M966),N966&gt;M966),"Check: intended &gt; assessed landings",IF(AND(ISNUMBER(J966),I966=""),"Check: solid contacts without swings","OK"))))))</f>
        <v/>
      </c>
    </row>
    <row r="967" customFormat="false" ht="15" hidden="false" customHeight="false" outlineLevel="0" collapsed="false">
      <c r="B967" s="26"/>
      <c r="C967" s="27"/>
      <c r="D967" s="28" t="str">
        <f aca="false">IF(C967="","",IFERROR(INDEX(Players!$C$5:$C$104,MATCH(C967,Players!$B$5:$B$104,0)),"ID not found"))</f>
        <v/>
      </c>
      <c r="E967" s="27"/>
      <c r="F967" s="27"/>
      <c r="G967" s="28" t="str">
        <f aca="false">IF(F967="","",IFERROR(INDEX('Hitting Drills'!$D$6:$D$45,MATCH(F967,'Hitting Drills'!$B$6:$B$45,0)),"Not a hitting drill ID"))</f>
        <v/>
      </c>
      <c r="H967" s="27"/>
      <c r="I967" s="27"/>
      <c r="J967" s="27"/>
      <c r="K967" s="27"/>
      <c r="L967" s="27"/>
      <c r="M967" s="27"/>
      <c r="N967" s="27"/>
      <c r="O967" s="27"/>
      <c r="P967" s="27"/>
      <c r="Q967" s="27"/>
      <c r="R967" s="27"/>
      <c r="S967" s="29" t="str">
        <f aca="false">IF(OR(B967="",C967=""),"",IF(COUNTIFS($B$5:B967,B967,$C$5:C967,C967)=1,1,0))</f>
        <v/>
      </c>
      <c r="T967" s="29" t="str">
        <f aca="false">IF(OR(B967="",C967="",E967=""),"",IF(COUNTIFS($B$5:B967,B967,$C$5:C967,C967,$E$5:E967,E967)=1,1,0))</f>
        <v/>
      </c>
      <c r="U967" s="28" t="str">
        <f aca="false">IF(COUNTA(B967:C967,E967:F967,H967:P967)=0,"",IF(OR(B967="",C967="",E967=""),"Check: date, player, and context required",IF(AND(ISNUMBER(J967),ISNUMBER(I967),J967&gt;I967),"Check: solid contacts &gt; swings",IF(AND(ISNUMBER(L967),ISNUMBER(K967),L967&gt;K967),"Check: correct &gt; assessed decisions",IF(AND(ISNUMBER(N967),ISNUMBER(M967),N967&gt;M967),"Check: intended &gt; assessed landings",IF(AND(ISNUMBER(J967),I967=""),"Check: solid contacts without swings","OK"))))))</f>
        <v/>
      </c>
    </row>
    <row r="968" customFormat="false" ht="15" hidden="false" customHeight="false" outlineLevel="0" collapsed="false">
      <c r="B968" s="26"/>
      <c r="C968" s="27"/>
      <c r="D968" s="28" t="str">
        <f aca="false">IF(C968="","",IFERROR(INDEX(Players!$C$5:$C$104,MATCH(C968,Players!$B$5:$B$104,0)),"ID not found"))</f>
        <v/>
      </c>
      <c r="E968" s="27"/>
      <c r="F968" s="27"/>
      <c r="G968" s="28" t="str">
        <f aca="false">IF(F968="","",IFERROR(INDEX('Hitting Drills'!$D$6:$D$45,MATCH(F968,'Hitting Drills'!$B$6:$B$45,0)),"Not a hitting drill ID"))</f>
        <v/>
      </c>
      <c r="H968" s="27"/>
      <c r="I968" s="27"/>
      <c r="J968" s="27"/>
      <c r="K968" s="27"/>
      <c r="L968" s="27"/>
      <c r="M968" s="27"/>
      <c r="N968" s="27"/>
      <c r="O968" s="27"/>
      <c r="P968" s="27"/>
      <c r="Q968" s="27"/>
      <c r="R968" s="27"/>
      <c r="S968" s="29" t="str">
        <f aca="false">IF(OR(B968="",C968=""),"",IF(COUNTIFS($B$5:B968,B968,$C$5:C968,C968)=1,1,0))</f>
        <v/>
      </c>
      <c r="T968" s="29" t="str">
        <f aca="false">IF(OR(B968="",C968="",E968=""),"",IF(COUNTIFS($B$5:B968,B968,$C$5:C968,C968,$E$5:E968,E968)=1,1,0))</f>
        <v/>
      </c>
      <c r="U968" s="28" t="str">
        <f aca="false">IF(COUNTA(B968:C968,E968:F968,H968:P968)=0,"",IF(OR(B968="",C968="",E968=""),"Check: date, player, and context required",IF(AND(ISNUMBER(J968),ISNUMBER(I968),J968&gt;I968),"Check: solid contacts &gt; swings",IF(AND(ISNUMBER(L968),ISNUMBER(K968),L968&gt;K968),"Check: correct &gt; assessed decisions",IF(AND(ISNUMBER(N968),ISNUMBER(M968),N968&gt;M968),"Check: intended &gt; assessed landings",IF(AND(ISNUMBER(J968),I968=""),"Check: solid contacts without swings","OK"))))))</f>
        <v/>
      </c>
    </row>
    <row r="969" customFormat="false" ht="15" hidden="false" customHeight="false" outlineLevel="0" collapsed="false">
      <c r="B969" s="26"/>
      <c r="C969" s="27"/>
      <c r="D969" s="28" t="str">
        <f aca="false">IF(C969="","",IFERROR(INDEX(Players!$C$5:$C$104,MATCH(C969,Players!$B$5:$B$104,0)),"ID not found"))</f>
        <v/>
      </c>
      <c r="E969" s="27"/>
      <c r="F969" s="27"/>
      <c r="G969" s="28" t="str">
        <f aca="false">IF(F969="","",IFERROR(INDEX('Hitting Drills'!$D$6:$D$45,MATCH(F969,'Hitting Drills'!$B$6:$B$45,0)),"Not a hitting drill ID"))</f>
        <v/>
      </c>
      <c r="H969" s="27"/>
      <c r="I969" s="27"/>
      <c r="J969" s="27"/>
      <c r="K969" s="27"/>
      <c r="L969" s="27"/>
      <c r="M969" s="27"/>
      <c r="N969" s="27"/>
      <c r="O969" s="27"/>
      <c r="P969" s="27"/>
      <c r="Q969" s="27"/>
      <c r="R969" s="27"/>
      <c r="S969" s="29" t="str">
        <f aca="false">IF(OR(B969="",C969=""),"",IF(COUNTIFS($B$5:B969,B969,$C$5:C969,C969)=1,1,0))</f>
        <v/>
      </c>
      <c r="T969" s="29" t="str">
        <f aca="false">IF(OR(B969="",C969="",E969=""),"",IF(COUNTIFS($B$5:B969,B969,$C$5:C969,C969,$E$5:E969,E969)=1,1,0))</f>
        <v/>
      </c>
      <c r="U969" s="28" t="str">
        <f aca="false">IF(COUNTA(B969:C969,E969:F969,H969:P969)=0,"",IF(OR(B969="",C969="",E969=""),"Check: date, player, and context required",IF(AND(ISNUMBER(J969),ISNUMBER(I969),J969&gt;I969),"Check: solid contacts &gt; swings",IF(AND(ISNUMBER(L969),ISNUMBER(K969),L969&gt;K969),"Check: correct &gt; assessed decisions",IF(AND(ISNUMBER(N969),ISNUMBER(M969),N969&gt;M969),"Check: intended &gt; assessed landings",IF(AND(ISNUMBER(J969),I969=""),"Check: solid contacts without swings","OK"))))))</f>
        <v/>
      </c>
    </row>
    <row r="970" customFormat="false" ht="15" hidden="false" customHeight="false" outlineLevel="0" collapsed="false">
      <c r="B970" s="26"/>
      <c r="C970" s="27"/>
      <c r="D970" s="28" t="str">
        <f aca="false">IF(C970="","",IFERROR(INDEX(Players!$C$5:$C$104,MATCH(C970,Players!$B$5:$B$104,0)),"ID not found"))</f>
        <v/>
      </c>
      <c r="E970" s="27"/>
      <c r="F970" s="27"/>
      <c r="G970" s="28" t="str">
        <f aca="false">IF(F970="","",IFERROR(INDEX('Hitting Drills'!$D$6:$D$45,MATCH(F970,'Hitting Drills'!$B$6:$B$45,0)),"Not a hitting drill ID"))</f>
        <v/>
      </c>
      <c r="H970" s="27"/>
      <c r="I970" s="27"/>
      <c r="J970" s="27"/>
      <c r="K970" s="27"/>
      <c r="L970" s="27"/>
      <c r="M970" s="27"/>
      <c r="N970" s="27"/>
      <c r="O970" s="27"/>
      <c r="P970" s="27"/>
      <c r="Q970" s="27"/>
      <c r="R970" s="27"/>
      <c r="S970" s="29" t="str">
        <f aca="false">IF(OR(B970="",C970=""),"",IF(COUNTIFS($B$5:B970,B970,$C$5:C970,C970)=1,1,0))</f>
        <v/>
      </c>
      <c r="T970" s="29" t="str">
        <f aca="false">IF(OR(B970="",C970="",E970=""),"",IF(COUNTIFS($B$5:B970,B970,$C$5:C970,C970,$E$5:E970,E970)=1,1,0))</f>
        <v/>
      </c>
      <c r="U970" s="28" t="str">
        <f aca="false">IF(COUNTA(B970:C970,E970:F970,H970:P970)=0,"",IF(OR(B970="",C970="",E970=""),"Check: date, player, and context required",IF(AND(ISNUMBER(J970),ISNUMBER(I970),J970&gt;I970),"Check: solid contacts &gt; swings",IF(AND(ISNUMBER(L970),ISNUMBER(K970),L970&gt;K970),"Check: correct &gt; assessed decisions",IF(AND(ISNUMBER(N970),ISNUMBER(M970),N970&gt;M970),"Check: intended &gt; assessed landings",IF(AND(ISNUMBER(J970),I970=""),"Check: solid contacts without swings","OK"))))))</f>
        <v/>
      </c>
    </row>
    <row r="971" customFormat="false" ht="15" hidden="false" customHeight="false" outlineLevel="0" collapsed="false">
      <c r="B971" s="26"/>
      <c r="C971" s="27"/>
      <c r="D971" s="28" t="str">
        <f aca="false">IF(C971="","",IFERROR(INDEX(Players!$C$5:$C$104,MATCH(C971,Players!$B$5:$B$104,0)),"ID not found"))</f>
        <v/>
      </c>
      <c r="E971" s="27"/>
      <c r="F971" s="27"/>
      <c r="G971" s="28" t="str">
        <f aca="false">IF(F971="","",IFERROR(INDEX('Hitting Drills'!$D$6:$D$45,MATCH(F971,'Hitting Drills'!$B$6:$B$45,0)),"Not a hitting drill ID"))</f>
        <v/>
      </c>
      <c r="H971" s="27"/>
      <c r="I971" s="27"/>
      <c r="J971" s="27"/>
      <c r="K971" s="27"/>
      <c r="L971" s="27"/>
      <c r="M971" s="27"/>
      <c r="N971" s="27"/>
      <c r="O971" s="27"/>
      <c r="P971" s="27"/>
      <c r="Q971" s="27"/>
      <c r="R971" s="27"/>
      <c r="S971" s="29" t="str">
        <f aca="false">IF(OR(B971="",C971=""),"",IF(COUNTIFS($B$5:B971,B971,$C$5:C971,C971)=1,1,0))</f>
        <v/>
      </c>
      <c r="T971" s="29" t="str">
        <f aca="false">IF(OR(B971="",C971="",E971=""),"",IF(COUNTIFS($B$5:B971,B971,$C$5:C971,C971,$E$5:E971,E971)=1,1,0))</f>
        <v/>
      </c>
      <c r="U971" s="28" t="str">
        <f aca="false">IF(COUNTA(B971:C971,E971:F971,H971:P971)=0,"",IF(OR(B971="",C971="",E971=""),"Check: date, player, and context required",IF(AND(ISNUMBER(J971),ISNUMBER(I971),J971&gt;I971),"Check: solid contacts &gt; swings",IF(AND(ISNUMBER(L971),ISNUMBER(K971),L971&gt;K971),"Check: correct &gt; assessed decisions",IF(AND(ISNUMBER(N971),ISNUMBER(M971),N971&gt;M971),"Check: intended &gt; assessed landings",IF(AND(ISNUMBER(J971),I971=""),"Check: solid contacts without swings","OK"))))))</f>
        <v/>
      </c>
    </row>
    <row r="972" customFormat="false" ht="15" hidden="false" customHeight="false" outlineLevel="0" collapsed="false">
      <c r="B972" s="26"/>
      <c r="C972" s="27"/>
      <c r="D972" s="28" t="str">
        <f aca="false">IF(C972="","",IFERROR(INDEX(Players!$C$5:$C$104,MATCH(C972,Players!$B$5:$B$104,0)),"ID not found"))</f>
        <v/>
      </c>
      <c r="E972" s="27"/>
      <c r="F972" s="27"/>
      <c r="G972" s="28" t="str">
        <f aca="false">IF(F972="","",IFERROR(INDEX('Hitting Drills'!$D$6:$D$45,MATCH(F972,'Hitting Drills'!$B$6:$B$45,0)),"Not a hitting drill ID"))</f>
        <v/>
      </c>
      <c r="H972" s="27"/>
      <c r="I972" s="27"/>
      <c r="J972" s="27"/>
      <c r="K972" s="27"/>
      <c r="L972" s="27"/>
      <c r="M972" s="27"/>
      <c r="N972" s="27"/>
      <c r="O972" s="27"/>
      <c r="P972" s="27"/>
      <c r="Q972" s="27"/>
      <c r="R972" s="27"/>
      <c r="S972" s="29" t="str">
        <f aca="false">IF(OR(B972="",C972=""),"",IF(COUNTIFS($B$5:B972,B972,$C$5:C972,C972)=1,1,0))</f>
        <v/>
      </c>
      <c r="T972" s="29" t="str">
        <f aca="false">IF(OR(B972="",C972="",E972=""),"",IF(COUNTIFS($B$5:B972,B972,$C$5:C972,C972,$E$5:E972,E972)=1,1,0))</f>
        <v/>
      </c>
      <c r="U972" s="28" t="str">
        <f aca="false">IF(COUNTA(B972:C972,E972:F972,H972:P972)=0,"",IF(OR(B972="",C972="",E972=""),"Check: date, player, and context required",IF(AND(ISNUMBER(J972),ISNUMBER(I972),J972&gt;I972),"Check: solid contacts &gt; swings",IF(AND(ISNUMBER(L972),ISNUMBER(K972),L972&gt;K972),"Check: correct &gt; assessed decisions",IF(AND(ISNUMBER(N972),ISNUMBER(M972),N972&gt;M972),"Check: intended &gt; assessed landings",IF(AND(ISNUMBER(J972),I972=""),"Check: solid contacts without swings","OK"))))))</f>
        <v/>
      </c>
    </row>
    <row r="973" customFormat="false" ht="15" hidden="false" customHeight="false" outlineLevel="0" collapsed="false">
      <c r="B973" s="26"/>
      <c r="C973" s="27"/>
      <c r="D973" s="28" t="str">
        <f aca="false">IF(C973="","",IFERROR(INDEX(Players!$C$5:$C$104,MATCH(C973,Players!$B$5:$B$104,0)),"ID not found"))</f>
        <v/>
      </c>
      <c r="E973" s="27"/>
      <c r="F973" s="27"/>
      <c r="G973" s="28" t="str">
        <f aca="false">IF(F973="","",IFERROR(INDEX('Hitting Drills'!$D$6:$D$45,MATCH(F973,'Hitting Drills'!$B$6:$B$45,0)),"Not a hitting drill ID"))</f>
        <v/>
      </c>
      <c r="H973" s="27"/>
      <c r="I973" s="27"/>
      <c r="J973" s="27"/>
      <c r="K973" s="27"/>
      <c r="L973" s="27"/>
      <c r="M973" s="27"/>
      <c r="N973" s="27"/>
      <c r="O973" s="27"/>
      <c r="P973" s="27"/>
      <c r="Q973" s="27"/>
      <c r="R973" s="27"/>
      <c r="S973" s="29" t="str">
        <f aca="false">IF(OR(B973="",C973=""),"",IF(COUNTIFS($B$5:B973,B973,$C$5:C973,C973)=1,1,0))</f>
        <v/>
      </c>
      <c r="T973" s="29" t="str">
        <f aca="false">IF(OR(B973="",C973="",E973=""),"",IF(COUNTIFS($B$5:B973,B973,$C$5:C973,C973,$E$5:E973,E973)=1,1,0))</f>
        <v/>
      </c>
      <c r="U973" s="28" t="str">
        <f aca="false">IF(COUNTA(B973:C973,E973:F973,H973:P973)=0,"",IF(OR(B973="",C973="",E973=""),"Check: date, player, and context required",IF(AND(ISNUMBER(J973),ISNUMBER(I973),J973&gt;I973),"Check: solid contacts &gt; swings",IF(AND(ISNUMBER(L973),ISNUMBER(K973),L973&gt;K973),"Check: correct &gt; assessed decisions",IF(AND(ISNUMBER(N973),ISNUMBER(M973),N973&gt;M973),"Check: intended &gt; assessed landings",IF(AND(ISNUMBER(J973),I973=""),"Check: solid contacts without swings","OK"))))))</f>
        <v/>
      </c>
    </row>
    <row r="974" customFormat="false" ht="15" hidden="false" customHeight="false" outlineLevel="0" collapsed="false">
      <c r="B974" s="26"/>
      <c r="C974" s="27"/>
      <c r="D974" s="28" t="str">
        <f aca="false">IF(C974="","",IFERROR(INDEX(Players!$C$5:$C$104,MATCH(C974,Players!$B$5:$B$104,0)),"ID not found"))</f>
        <v/>
      </c>
      <c r="E974" s="27"/>
      <c r="F974" s="27"/>
      <c r="G974" s="28" t="str">
        <f aca="false">IF(F974="","",IFERROR(INDEX('Hitting Drills'!$D$6:$D$45,MATCH(F974,'Hitting Drills'!$B$6:$B$45,0)),"Not a hitting drill ID"))</f>
        <v/>
      </c>
      <c r="H974" s="27"/>
      <c r="I974" s="27"/>
      <c r="J974" s="27"/>
      <c r="K974" s="27"/>
      <c r="L974" s="27"/>
      <c r="M974" s="27"/>
      <c r="N974" s="27"/>
      <c r="O974" s="27"/>
      <c r="P974" s="27"/>
      <c r="Q974" s="27"/>
      <c r="R974" s="27"/>
      <c r="S974" s="29" t="str">
        <f aca="false">IF(OR(B974="",C974=""),"",IF(COUNTIFS($B$5:B974,B974,$C$5:C974,C974)=1,1,0))</f>
        <v/>
      </c>
      <c r="T974" s="29" t="str">
        <f aca="false">IF(OR(B974="",C974="",E974=""),"",IF(COUNTIFS($B$5:B974,B974,$C$5:C974,C974,$E$5:E974,E974)=1,1,0))</f>
        <v/>
      </c>
      <c r="U974" s="28" t="str">
        <f aca="false">IF(COUNTA(B974:C974,E974:F974,H974:P974)=0,"",IF(OR(B974="",C974="",E974=""),"Check: date, player, and context required",IF(AND(ISNUMBER(J974),ISNUMBER(I974),J974&gt;I974),"Check: solid contacts &gt; swings",IF(AND(ISNUMBER(L974),ISNUMBER(K974),L974&gt;K974),"Check: correct &gt; assessed decisions",IF(AND(ISNUMBER(N974),ISNUMBER(M974),N974&gt;M974),"Check: intended &gt; assessed landings",IF(AND(ISNUMBER(J974),I974=""),"Check: solid contacts without swings","OK"))))))</f>
        <v/>
      </c>
    </row>
    <row r="975" customFormat="false" ht="15" hidden="false" customHeight="false" outlineLevel="0" collapsed="false">
      <c r="B975" s="26"/>
      <c r="C975" s="27"/>
      <c r="D975" s="28" t="str">
        <f aca="false">IF(C975="","",IFERROR(INDEX(Players!$C$5:$C$104,MATCH(C975,Players!$B$5:$B$104,0)),"ID not found"))</f>
        <v/>
      </c>
      <c r="E975" s="27"/>
      <c r="F975" s="27"/>
      <c r="G975" s="28" t="str">
        <f aca="false">IF(F975="","",IFERROR(INDEX('Hitting Drills'!$D$6:$D$45,MATCH(F975,'Hitting Drills'!$B$6:$B$45,0)),"Not a hitting drill ID"))</f>
        <v/>
      </c>
      <c r="H975" s="27"/>
      <c r="I975" s="27"/>
      <c r="J975" s="27"/>
      <c r="K975" s="27"/>
      <c r="L975" s="27"/>
      <c r="M975" s="27"/>
      <c r="N975" s="27"/>
      <c r="O975" s="27"/>
      <c r="P975" s="27"/>
      <c r="Q975" s="27"/>
      <c r="R975" s="27"/>
      <c r="S975" s="29" t="str">
        <f aca="false">IF(OR(B975="",C975=""),"",IF(COUNTIFS($B$5:B975,B975,$C$5:C975,C975)=1,1,0))</f>
        <v/>
      </c>
      <c r="T975" s="29" t="str">
        <f aca="false">IF(OR(B975="",C975="",E975=""),"",IF(COUNTIFS($B$5:B975,B975,$C$5:C975,C975,$E$5:E975,E975)=1,1,0))</f>
        <v/>
      </c>
      <c r="U975" s="28" t="str">
        <f aca="false">IF(COUNTA(B975:C975,E975:F975,H975:P975)=0,"",IF(OR(B975="",C975="",E975=""),"Check: date, player, and context required",IF(AND(ISNUMBER(J975),ISNUMBER(I975),J975&gt;I975),"Check: solid contacts &gt; swings",IF(AND(ISNUMBER(L975),ISNUMBER(K975),L975&gt;K975),"Check: correct &gt; assessed decisions",IF(AND(ISNUMBER(N975),ISNUMBER(M975),N975&gt;M975),"Check: intended &gt; assessed landings",IF(AND(ISNUMBER(J975),I975=""),"Check: solid contacts without swings","OK"))))))</f>
        <v/>
      </c>
    </row>
    <row r="976" customFormat="false" ht="15" hidden="false" customHeight="false" outlineLevel="0" collapsed="false">
      <c r="B976" s="26"/>
      <c r="C976" s="27"/>
      <c r="D976" s="28" t="str">
        <f aca="false">IF(C976="","",IFERROR(INDEX(Players!$C$5:$C$104,MATCH(C976,Players!$B$5:$B$104,0)),"ID not found"))</f>
        <v/>
      </c>
      <c r="E976" s="27"/>
      <c r="F976" s="27"/>
      <c r="G976" s="28" t="str">
        <f aca="false">IF(F976="","",IFERROR(INDEX('Hitting Drills'!$D$6:$D$45,MATCH(F976,'Hitting Drills'!$B$6:$B$45,0)),"Not a hitting drill ID"))</f>
        <v/>
      </c>
      <c r="H976" s="27"/>
      <c r="I976" s="27"/>
      <c r="J976" s="27"/>
      <c r="K976" s="27"/>
      <c r="L976" s="27"/>
      <c r="M976" s="27"/>
      <c r="N976" s="27"/>
      <c r="O976" s="27"/>
      <c r="P976" s="27"/>
      <c r="Q976" s="27"/>
      <c r="R976" s="27"/>
      <c r="S976" s="29" t="str">
        <f aca="false">IF(OR(B976="",C976=""),"",IF(COUNTIFS($B$5:B976,B976,$C$5:C976,C976)=1,1,0))</f>
        <v/>
      </c>
      <c r="T976" s="29" t="str">
        <f aca="false">IF(OR(B976="",C976="",E976=""),"",IF(COUNTIFS($B$5:B976,B976,$C$5:C976,C976,$E$5:E976,E976)=1,1,0))</f>
        <v/>
      </c>
      <c r="U976" s="28" t="str">
        <f aca="false">IF(COUNTA(B976:C976,E976:F976,H976:P976)=0,"",IF(OR(B976="",C976="",E976=""),"Check: date, player, and context required",IF(AND(ISNUMBER(J976),ISNUMBER(I976),J976&gt;I976),"Check: solid contacts &gt; swings",IF(AND(ISNUMBER(L976),ISNUMBER(K976),L976&gt;K976),"Check: correct &gt; assessed decisions",IF(AND(ISNUMBER(N976),ISNUMBER(M976),N976&gt;M976),"Check: intended &gt; assessed landings",IF(AND(ISNUMBER(J976),I976=""),"Check: solid contacts without swings","OK"))))))</f>
        <v/>
      </c>
    </row>
    <row r="977" customFormat="false" ht="15" hidden="false" customHeight="false" outlineLevel="0" collapsed="false">
      <c r="B977" s="26"/>
      <c r="C977" s="27"/>
      <c r="D977" s="28" t="str">
        <f aca="false">IF(C977="","",IFERROR(INDEX(Players!$C$5:$C$104,MATCH(C977,Players!$B$5:$B$104,0)),"ID not found"))</f>
        <v/>
      </c>
      <c r="E977" s="27"/>
      <c r="F977" s="27"/>
      <c r="G977" s="28" t="str">
        <f aca="false">IF(F977="","",IFERROR(INDEX('Hitting Drills'!$D$6:$D$45,MATCH(F977,'Hitting Drills'!$B$6:$B$45,0)),"Not a hitting drill ID"))</f>
        <v/>
      </c>
      <c r="H977" s="27"/>
      <c r="I977" s="27"/>
      <c r="J977" s="27"/>
      <c r="K977" s="27"/>
      <c r="L977" s="27"/>
      <c r="M977" s="27"/>
      <c r="N977" s="27"/>
      <c r="O977" s="27"/>
      <c r="P977" s="27"/>
      <c r="Q977" s="27"/>
      <c r="R977" s="27"/>
      <c r="S977" s="29" t="str">
        <f aca="false">IF(OR(B977="",C977=""),"",IF(COUNTIFS($B$5:B977,B977,$C$5:C977,C977)=1,1,0))</f>
        <v/>
      </c>
      <c r="T977" s="29" t="str">
        <f aca="false">IF(OR(B977="",C977="",E977=""),"",IF(COUNTIFS($B$5:B977,B977,$C$5:C977,C977,$E$5:E977,E977)=1,1,0))</f>
        <v/>
      </c>
      <c r="U977" s="28" t="str">
        <f aca="false">IF(COUNTA(B977:C977,E977:F977,H977:P977)=0,"",IF(OR(B977="",C977="",E977=""),"Check: date, player, and context required",IF(AND(ISNUMBER(J977),ISNUMBER(I977),J977&gt;I977),"Check: solid contacts &gt; swings",IF(AND(ISNUMBER(L977),ISNUMBER(K977),L977&gt;K977),"Check: correct &gt; assessed decisions",IF(AND(ISNUMBER(N977),ISNUMBER(M977),N977&gt;M977),"Check: intended &gt; assessed landings",IF(AND(ISNUMBER(J977),I977=""),"Check: solid contacts without swings","OK"))))))</f>
        <v/>
      </c>
    </row>
    <row r="978" customFormat="false" ht="15" hidden="false" customHeight="false" outlineLevel="0" collapsed="false">
      <c r="B978" s="26"/>
      <c r="C978" s="27"/>
      <c r="D978" s="28" t="str">
        <f aca="false">IF(C978="","",IFERROR(INDEX(Players!$C$5:$C$104,MATCH(C978,Players!$B$5:$B$104,0)),"ID not found"))</f>
        <v/>
      </c>
      <c r="E978" s="27"/>
      <c r="F978" s="27"/>
      <c r="G978" s="28" t="str">
        <f aca="false">IF(F978="","",IFERROR(INDEX('Hitting Drills'!$D$6:$D$45,MATCH(F978,'Hitting Drills'!$B$6:$B$45,0)),"Not a hitting drill ID"))</f>
        <v/>
      </c>
      <c r="H978" s="27"/>
      <c r="I978" s="27"/>
      <c r="J978" s="27"/>
      <c r="K978" s="27"/>
      <c r="L978" s="27"/>
      <c r="M978" s="27"/>
      <c r="N978" s="27"/>
      <c r="O978" s="27"/>
      <c r="P978" s="27"/>
      <c r="Q978" s="27"/>
      <c r="R978" s="27"/>
      <c r="S978" s="29" t="str">
        <f aca="false">IF(OR(B978="",C978=""),"",IF(COUNTIFS($B$5:B978,B978,$C$5:C978,C978)=1,1,0))</f>
        <v/>
      </c>
      <c r="T978" s="29" t="str">
        <f aca="false">IF(OR(B978="",C978="",E978=""),"",IF(COUNTIFS($B$5:B978,B978,$C$5:C978,C978,$E$5:E978,E978)=1,1,0))</f>
        <v/>
      </c>
      <c r="U978" s="28" t="str">
        <f aca="false">IF(COUNTA(B978:C978,E978:F978,H978:P978)=0,"",IF(OR(B978="",C978="",E978=""),"Check: date, player, and context required",IF(AND(ISNUMBER(J978),ISNUMBER(I978),J978&gt;I978),"Check: solid contacts &gt; swings",IF(AND(ISNUMBER(L978),ISNUMBER(K978),L978&gt;K978),"Check: correct &gt; assessed decisions",IF(AND(ISNUMBER(N978),ISNUMBER(M978),N978&gt;M978),"Check: intended &gt; assessed landings",IF(AND(ISNUMBER(J978),I978=""),"Check: solid contacts without swings","OK"))))))</f>
        <v/>
      </c>
    </row>
    <row r="979" customFormat="false" ht="15" hidden="false" customHeight="false" outlineLevel="0" collapsed="false">
      <c r="B979" s="26"/>
      <c r="C979" s="27"/>
      <c r="D979" s="28" t="str">
        <f aca="false">IF(C979="","",IFERROR(INDEX(Players!$C$5:$C$104,MATCH(C979,Players!$B$5:$B$104,0)),"ID not found"))</f>
        <v/>
      </c>
      <c r="E979" s="27"/>
      <c r="F979" s="27"/>
      <c r="G979" s="28" t="str">
        <f aca="false">IF(F979="","",IFERROR(INDEX('Hitting Drills'!$D$6:$D$45,MATCH(F979,'Hitting Drills'!$B$6:$B$45,0)),"Not a hitting drill ID"))</f>
        <v/>
      </c>
      <c r="H979" s="27"/>
      <c r="I979" s="27"/>
      <c r="J979" s="27"/>
      <c r="K979" s="27"/>
      <c r="L979" s="27"/>
      <c r="M979" s="27"/>
      <c r="N979" s="27"/>
      <c r="O979" s="27"/>
      <c r="P979" s="27"/>
      <c r="Q979" s="27"/>
      <c r="R979" s="27"/>
      <c r="S979" s="29" t="str">
        <f aca="false">IF(OR(B979="",C979=""),"",IF(COUNTIFS($B$5:B979,B979,$C$5:C979,C979)=1,1,0))</f>
        <v/>
      </c>
      <c r="T979" s="29" t="str">
        <f aca="false">IF(OR(B979="",C979="",E979=""),"",IF(COUNTIFS($B$5:B979,B979,$C$5:C979,C979,$E$5:E979,E979)=1,1,0))</f>
        <v/>
      </c>
      <c r="U979" s="28" t="str">
        <f aca="false">IF(COUNTA(B979:C979,E979:F979,H979:P979)=0,"",IF(OR(B979="",C979="",E979=""),"Check: date, player, and context required",IF(AND(ISNUMBER(J979),ISNUMBER(I979),J979&gt;I979),"Check: solid contacts &gt; swings",IF(AND(ISNUMBER(L979),ISNUMBER(K979),L979&gt;K979),"Check: correct &gt; assessed decisions",IF(AND(ISNUMBER(N979),ISNUMBER(M979),N979&gt;M979),"Check: intended &gt; assessed landings",IF(AND(ISNUMBER(J979),I979=""),"Check: solid contacts without swings","OK"))))))</f>
        <v/>
      </c>
    </row>
    <row r="980" customFormat="false" ht="15" hidden="false" customHeight="false" outlineLevel="0" collapsed="false">
      <c r="B980" s="26"/>
      <c r="C980" s="27"/>
      <c r="D980" s="28" t="str">
        <f aca="false">IF(C980="","",IFERROR(INDEX(Players!$C$5:$C$104,MATCH(C980,Players!$B$5:$B$104,0)),"ID not found"))</f>
        <v/>
      </c>
      <c r="E980" s="27"/>
      <c r="F980" s="27"/>
      <c r="G980" s="28" t="str">
        <f aca="false">IF(F980="","",IFERROR(INDEX('Hitting Drills'!$D$6:$D$45,MATCH(F980,'Hitting Drills'!$B$6:$B$45,0)),"Not a hitting drill ID"))</f>
        <v/>
      </c>
      <c r="H980" s="27"/>
      <c r="I980" s="27"/>
      <c r="J980" s="27"/>
      <c r="K980" s="27"/>
      <c r="L980" s="27"/>
      <c r="M980" s="27"/>
      <c r="N980" s="27"/>
      <c r="O980" s="27"/>
      <c r="P980" s="27"/>
      <c r="Q980" s="27"/>
      <c r="R980" s="27"/>
      <c r="S980" s="29" t="str">
        <f aca="false">IF(OR(B980="",C980=""),"",IF(COUNTIFS($B$5:B980,B980,$C$5:C980,C980)=1,1,0))</f>
        <v/>
      </c>
      <c r="T980" s="29" t="str">
        <f aca="false">IF(OR(B980="",C980="",E980=""),"",IF(COUNTIFS($B$5:B980,B980,$C$5:C980,C980,$E$5:E980,E980)=1,1,0))</f>
        <v/>
      </c>
      <c r="U980" s="28" t="str">
        <f aca="false">IF(COUNTA(B980:C980,E980:F980,H980:P980)=0,"",IF(OR(B980="",C980="",E980=""),"Check: date, player, and context required",IF(AND(ISNUMBER(J980),ISNUMBER(I980),J980&gt;I980),"Check: solid contacts &gt; swings",IF(AND(ISNUMBER(L980),ISNUMBER(K980),L980&gt;K980),"Check: correct &gt; assessed decisions",IF(AND(ISNUMBER(N980),ISNUMBER(M980),N980&gt;M980),"Check: intended &gt; assessed landings",IF(AND(ISNUMBER(J980),I980=""),"Check: solid contacts without swings","OK"))))))</f>
        <v/>
      </c>
    </row>
    <row r="981" customFormat="false" ht="15" hidden="false" customHeight="false" outlineLevel="0" collapsed="false">
      <c r="B981" s="26"/>
      <c r="C981" s="27"/>
      <c r="D981" s="28" t="str">
        <f aca="false">IF(C981="","",IFERROR(INDEX(Players!$C$5:$C$104,MATCH(C981,Players!$B$5:$B$104,0)),"ID not found"))</f>
        <v/>
      </c>
      <c r="E981" s="27"/>
      <c r="F981" s="27"/>
      <c r="G981" s="28" t="str">
        <f aca="false">IF(F981="","",IFERROR(INDEX('Hitting Drills'!$D$6:$D$45,MATCH(F981,'Hitting Drills'!$B$6:$B$45,0)),"Not a hitting drill ID"))</f>
        <v/>
      </c>
      <c r="H981" s="27"/>
      <c r="I981" s="27"/>
      <c r="J981" s="27"/>
      <c r="K981" s="27"/>
      <c r="L981" s="27"/>
      <c r="M981" s="27"/>
      <c r="N981" s="27"/>
      <c r="O981" s="27"/>
      <c r="P981" s="27"/>
      <c r="Q981" s="27"/>
      <c r="R981" s="27"/>
      <c r="S981" s="29" t="str">
        <f aca="false">IF(OR(B981="",C981=""),"",IF(COUNTIFS($B$5:B981,B981,$C$5:C981,C981)=1,1,0))</f>
        <v/>
      </c>
      <c r="T981" s="29" t="str">
        <f aca="false">IF(OR(B981="",C981="",E981=""),"",IF(COUNTIFS($B$5:B981,B981,$C$5:C981,C981,$E$5:E981,E981)=1,1,0))</f>
        <v/>
      </c>
      <c r="U981" s="28" t="str">
        <f aca="false">IF(COUNTA(B981:C981,E981:F981,H981:P981)=0,"",IF(OR(B981="",C981="",E981=""),"Check: date, player, and context required",IF(AND(ISNUMBER(J981),ISNUMBER(I981),J981&gt;I981),"Check: solid contacts &gt; swings",IF(AND(ISNUMBER(L981),ISNUMBER(K981),L981&gt;K981),"Check: correct &gt; assessed decisions",IF(AND(ISNUMBER(N981),ISNUMBER(M981),N981&gt;M981),"Check: intended &gt; assessed landings",IF(AND(ISNUMBER(J981),I981=""),"Check: solid contacts without swings","OK"))))))</f>
        <v/>
      </c>
    </row>
    <row r="982" customFormat="false" ht="15" hidden="false" customHeight="false" outlineLevel="0" collapsed="false">
      <c r="B982" s="26"/>
      <c r="C982" s="27"/>
      <c r="D982" s="28" t="str">
        <f aca="false">IF(C982="","",IFERROR(INDEX(Players!$C$5:$C$104,MATCH(C982,Players!$B$5:$B$104,0)),"ID not found"))</f>
        <v/>
      </c>
      <c r="E982" s="27"/>
      <c r="F982" s="27"/>
      <c r="G982" s="28" t="str">
        <f aca="false">IF(F982="","",IFERROR(INDEX('Hitting Drills'!$D$6:$D$45,MATCH(F982,'Hitting Drills'!$B$6:$B$45,0)),"Not a hitting drill ID"))</f>
        <v/>
      </c>
      <c r="H982" s="27"/>
      <c r="I982" s="27"/>
      <c r="J982" s="27"/>
      <c r="K982" s="27"/>
      <c r="L982" s="27"/>
      <c r="M982" s="27"/>
      <c r="N982" s="27"/>
      <c r="O982" s="27"/>
      <c r="P982" s="27"/>
      <c r="Q982" s="27"/>
      <c r="R982" s="27"/>
      <c r="S982" s="29" t="str">
        <f aca="false">IF(OR(B982="",C982=""),"",IF(COUNTIFS($B$5:B982,B982,$C$5:C982,C982)=1,1,0))</f>
        <v/>
      </c>
      <c r="T982" s="29" t="str">
        <f aca="false">IF(OR(B982="",C982="",E982=""),"",IF(COUNTIFS($B$5:B982,B982,$C$5:C982,C982,$E$5:E982,E982)=1,1,0))</f>
        <v/>
      </c>
      <c r="U982" s="28" t="str">
        <f aca="false">IF(COUNTA(B982:C982,E982:F982,H982:P982)=0,"",IF(OR(B982="",C982="",E982=""),"Check: date, player, and context required",IF(AND(ISNUMBER(J982),ISNUMBER(I982),J982&gt;I982),"Check: solid contacts &gt; swings",IF(AND(ISNUMBER(L982),ISNUMBER(K982),L982&gt;K982),"Check: correct &gt; assessed decisions",IF(AND(ISNUMBER(N982),ISNUMBER(M982),N982&gt;M982),"Check: intended &gt; assessed landings",IF(AND(ISNUMBER(J982),I982=""),"Check: solid contacts without swings","OK"))))))</f>
        <v/>
      </c>
    </row>
    <row r="983" customFormat="false" ht="15" hidden="false" customHeight="false" outlineLevel="0" collapsed="false">
      <c r="B983" s="26"/>
      <c r="C983" s="27"/>
      <c r="D983" s="28" t="str">
        <f aca="false">IF(C983="","",IFERROR(INDEX(Players!$C$5:$C$104,MATCH(C983,Players!$B$5:$B$104,0)),"ID not found"))</f>
        <v/>
      </c>
      <c r="E983" s="27"/>
      <c r="F983" s="27"/>
      <c r="G983" s="28" t="str">
        <f aca="false">IF(F983="","",IFERROR(INDEX('Hitting Drills'!$D$6:$D$45,MATCH(F983,'Hitting Drills'!$B$6:$B$45,0)),"Not a hitting drill ID"))</f>
        <v/>
      </c>
      <c r="H983" s="27"/>
      <c r="I983" s="27"/>
      <c r="J983" s="27"/>
      <c r="K983" s="27"/>
      <c r="L983" s="27"/>
      <c r="M983" s="27"/>
      <c r="N983" s="27"/>
      <c r="O983" s="27"/>
      <c r="P983" s="27"/>
      <c r="Q983" s="27"/>
      <c r="R983" s="27"/>
      <c r="S983" s="29" t="str">
        <f aca="false">IF(OR(B983="",C983=""),"",IF(COUNTIFS($B$5:B983,B983,$C$5:C983,C983)=1,1,0))</f>
        <v/>
      </c>
      <c r="T983" s="29" t="str">
        <f aca="false">IF(OR(B983="",C983="",E983=""),"",IF(COUNTIFS($B$5:B983,B983,$C$5:C983,C983,$E$5:E983,E983)=1,1,0))</f>
        <v/>
      </c>
      <c r="U983" s="28" t="str">
        <f aca="false">IF(COUNTA(B983:C983,E983:F983,H983:P983)=0,"",IF(OR(B983="",C983="",E983=""),"Check: date, player, and context required",IF(AND(ISNUMBER(J983),ISNUMBER(I983),J983&gt;I983),"Check: solid contacts &gt; swings",IF(AND(ISNUMBER(L983),ISNUMBER(K983),L983&gt;K983),"Check: correct &gt; assessed decisions",IF(AND(ISNUMBER(N983),ISNUMBER(M983),N983&gt;M983),"Check: intended &gt; assessed landings",IF(AND(ISNUMBER(J983),I983=""),"Check: solid contacts without swings","OK"))))))</f>
        <v/>
      </c>
    </row>
    <row r="984" customFormat="false" ht="15" hidden="false" customHeight="false" outlineLevel="0" collapsed="false">
      <c r="B984" s="26"/>
      <c r="C984" s="27"/>
      <c r="D984" s="28" t="str">
        <f aca="false">IF(C984="","",IFERROR(INDEX(Players!$C$5:$C$104,MATCH(C984,Players!$B$5:$B$104,0)),"ID not found"))</f>
        <v/>
      </c>
      <c r="E984" s="27"/>
      <c r="F984" s="27"/>
      <c r="G984" s="28" t="str">
        <f aca="false">IF(F984="","",IFERROR(INDEX('Hitting Drills'!$D$6:$D$45,MATCH(F984,'Hitting Drills'!$B$6:$B$45,0)),"Not a hitting drill ID"))</f>
        <v/>
      </c>
      <c r="H984" s="27"/>
      <c r="I984" s="27"/>
      <c r="J984" s="27"/>
      <c r="K984" s="27"/>
      <c r="L984" s="27"/>
      <c r="M984" s="27"/>
      <c r="N984" s="27"/>
      <c r="O984" s="27"/>
      <c r="P984" s="27"/>
      <c r="Q984" s="27"/>
      <c r="R984" s="27"/>
      <c r="S984" s="29" t="str">
        <f aca="false">IF(OR(B984="",C984=""),"",IF(COUNTIFS($B$5:B984,B984,$C$5:C984,C984)=1,1,0))</f>
        <v/>
      </c>
      <c r="T984" s="29" t="str">
        <f aca="false">IF(OR(B984="",C984="",E984=""),"",IF(COUNTIFS($B$5:B984,B984,$C$5:C984,C984,$E$5:E984,E984)=1,1,0))</f>
        <v/>
      </c>
      <c r="U984" s="28" t="str">
        <f aca="false">IF(COUNTA(B984:C984,E984:F984,H984:P984)=0,"",IF(OR(B984="",C984="",E984=""),"Check: date, player, and context required",IF(AND(ISNUMBER(J984),ISNUMBER(I984),J984&gt;I984),"Check: solid contacts &gt; swings",IF(AND(ISNUMBER(L984),ISNUMBER(K984),L984&gt;K984),"Check: correct &gt; assessed decisions",IF(AND(ISNUMBER(N984),ISNUMBER(M984),N984&gt;M984),"Check: intended &gt; assessed landings",IF(AND(ISNUMBER(J984),I984=""),"Check: solid contacts without swings","OK"))))))</f>
        <v/>
      </c>
    </row>
    <row r="985" customFormat="false" ht="15" hidden="false" customHeight="false" outlineLevel="0" collapsed="false">
      <c r="B985" s="26"/>
      <c r="C985" s="27"/>
      <c r="D985" s="28" t="str">
        <f aca="false">IF(C985="","",IFERROR(INDEX(Players!$C$5:$C$104,MATCH(C985,Players!$B$5:$B$104,0)),"ID not found"))</f>
        <v/>
      </c>
      <c r="E985" s="27"/>
      <c r="F985" s="27"/>
      <c r="G985" s="28" t="str">
        <f aca="false">IF(F985="","",IFERROR(INDEX('Hitting Drills'!$D$6:$D$45,MATCH(F985,'Hitting Drills'!$B$6:$B$45,0)),"Not a hitting drill ID"))</f>
        <v/>
      </c>
      <c r="H985" s="27"/>
      <c r="I985" s="27"/>
      <c r="J985" s="27"/>
      <c r="K985" s="27"/>
      <c r="L985" s="27"/>
      <c r="M985" s="27"/>
      <c r="N985" s="27"/>
      <c r="O985" s="27"/>
      <c r="P985" s="27"/>
      <c r="Q985" s="27"/>
      <c r="R985" s="27"/>
      <c r="S985" s="29" t="str">
        <f aca="false">IF(OR(B985="",C985=""),"",IF(COUNTIFS($B$5:B985,B985,$C$5:C985,C985)=1,1,0))</f>
        <v/>
      </c>
      <c r="T985" s="29" t="str">
        <f aca="false">IF(OR(B985="",C985="",E985=""),"",IF(COUNTIFS($B$5:B985,B985,$C$5:C985,C985,$E$5:E985,E985)=1,1,0))</f>
        <v/>
      </c>
      <c r="U985" s="28" t="str">
        <f aca="false">IF(COUNTA(B985:C985,E985:F985,H985:P985)=0,"",IF(OR(B985="",C985="",E985=""),"Check: date, player, and context required",IF(AND(ISNUMBER(J985),ISNUMBER(I985),J985&gt;I985),"Check: solid contacts &gt; swings",IF(AND(ISNUMBER(L985),ISNUMBER(K985),L985&gt;K985),"Check: correct &gt; assessed decisions",IF(AND(ISNUMBER(N985),ISNUMBER(M985),N985&gt;M985),"Check: intended &gt; assessed landings",IF(AND(ISNUMBER(J985),I985=""),"Check: solid contacts without swings","OK"))))))</f>
        <v/>
      </c>
    </row>
    <row r="986" customFormat="false" ht="15" hidden="false" customHeight="false" outlineLevel="0" collapsed="false">
      <c r="B986" s="26"/>
      <c r="C986" s="27"/>
      <c r="D986" s="28" t="str">
        <f aca="false">IF(C986="","",IFERROR(INDEX(Players!$C$5:$C$104,MATCH(C986,Players!$B$5:$B$104,0)),"ID not found"))</f>
        <v/>
      </c>
      <c r="E986" s="27"/>
      <c r="F986" s="27"/>
      <c r="G986" s="28" t="str">
        <f aca="false">IF(F986="","",IFERROR(INDEX('Hitting Drills'!$D$6:$D$45,MATCH(F986,'Hitting Drills'!$B$6:$B$45,0)),"Not a hitting drill ID"))</f>
        <v/>
      </c>
      <c r="H986" s="27"/>
      <c r="I986" s="27"/>
      <c r="J986" s="27"/>
      <c r="K986" s="27"/>
      <c r="L986" s="27"/>
      <c r="M986" s="27"/>
      <c r="N986" s="27"/>
      <c r="O986" s="27"/>
      <c r="P986" s="27"/>
      <c r="Q986" s="27"/>
      <c r="R986" s="27"/>
      <c r="S986" s="29" t="str">
        <f aca="false">IF(OR(B986="",C986=""),"",IF(COUNTIFS($B$5:B986,B986,$C$5:C986,C986)=1,1,0))</f>
        <v/>
      </c>
      <c r="T986" s="29" t="str">
        <f aca="false">IF(OR(B986="",C986="",E986=""),"",IF(COUNTIFS($B$5:B986,B986,$C$5:C986,C986,$E$5:E986,E986)=1,1,0))</f>
        <v/>
      </c>
      <c r="U986" s="28" t="str">
        <f aca="false">IF(COUNTA(B986:C986,E986:F986,H986:P986)=0,"",IF(OR(B986="",C986="",E986=""),"Check: date, player, and context required",IF(AND(ISNUMBER(J986),ISNUMBER(I986),J986&gt;I986),"Check: solid contacts &gt; swings",IF(AND(ISNUMBER(L986),ISNUMBER(K986),L986&gt;K986),"Check: correct &gt; assessed decisions",IF(AND(ISNUMBER(N986),ISNUMBER(M986),N986&gt;M986),"Check: intended &gt; assessed landings",IF(AND(ISNUMBER(J986),I986=""),"Check: solid contacts without swings","OK"))))))</f>
        <v/>
      </c>
    </row>
    <row r="987" customFormat="false" ht="15" hidden="false" customHeight="false" outlineLevel="0" collapsed="false">
      <c r="B987" s="26"/>
      <c r="C987" s="27"/>
      <c r="D987" s="28" t="str">
        <f aca="false">IF(C987="","",IFERROR(INDEX(Players!$C$5:$C$104,MATCH(C987,Players!$B$5:$B$104,0)),"ID not found"))</f>
        <v/>
      </c>
      <c r="E987" s="27"/>
      <c r="F987" s="27"/>
      <c r="G987" s="28" t="str">
        <f aca="false">IF(F987="","",IFERROR(INDEX('Hitting Drills'!$D$6:$D$45,MATCH(F987,'Hitting Drills'!$B$6:$B$45,0)),"Not a hitting drill ID"))</f>
        <v/>
      </c>
      <c r="H987" s="27"/>
      <c r="I987" s="27"/>
      <c r="J987" s="27"/>
      <c r="K987" s="27"/>
      <c r="L987" s="27"/>
      <c r="M987" s="27"/>
      <c r="N987" s="27"/>
      <c r="O987" s="27"/>
      <c r="P987" s="27"/>
      <c r="Q987" s="27"/>
      <c r="R987" s="27"/>
      <c r="S987" s="29" t="str">
        <f aca="false">IF(OR(B987="",C987=""),"",IF(COUNTIFS($B$5:B987,B987,$C$5:C987,C987)=1,1,0))</f>
        <v/>
      </c>
      <c r="T987" s="29" t="str">
        <f aca="false">IF(OR(B987="",C987="",E987=""),"",IF(COUNTIFS($B$5:B987,B987,$C$5:C987,C987,$E$5:E987,E987)=1,1,0))</f>
        <v/>
      </c>
      <c r="U987" s="28" t="str">
        <f aca="false">IF(COUNTA(B987:C987,E987:F987,H987:P987)=0,"",IF(OR(B987="",C987="",E987=""),"Check: date, player, and context required",IF(AND(ISNUMBER(J987),ISNUMBER(I987),J987&gt;I987),"Check: solid contacts &gt; swings",IF(AND(ISNUMBER(L987),ISNUMBER(K987),L987&gt;K987),"Check: correct &gt; assessed decisions",IF(AND(ISNUMBER(N987),ISNUMBER(M987),N987&gt;M987),"Check: intended &gt; assessed landings",IF(AND(ISNUMBER(J987),I987=""),"Check: solid contacts without swings","OK"))))))</f>
        <v/>
      </c>
    </row>
    <row r="988" customFormat="false" ht="15" hidden="false" customHeight="false" outlineLevel="0" collapsed="false">
      <c r="B988" s="26"/>
      <c r="C988" s="27"/>
      <c r="D988" s="28" t="str">
        <f aca="false">IF(C988="","",IFERROR(INDEX(Players!$C$5:$C$104,MATCH(C988,Players!$B$5:$B$104,0)),"ID not found"))</f>
        <v/>
      </c>
      <c r="E988" s="27"/>
      <c r="F988" s="27"/>
      <c r="G988" s="28" t="str">
        <f aca="false">IF(F988="","",IFERROR(INDEX('Hitting Drills'!$D$6:$D$45,MATCH(F988,'Hitting Drills'!$B$6:$B$45,0)),"Not a hitting drill ID"))</f>
        <v/>
      </c>
      <c r="H988" s="27"/>
      <c r="I988" s="27"/>
      <c r="J988" s="27"/>
      <c r="K988" s="27"/>
      <c r="L988" s="27"/>
      <c r="M988" s="27"/>
      <c r="N988" s="27"/>
      <c r="O988" s="27"/>
      <c r="P988" s="27"/>
      <c r="Q988" s="27"/>
      <c r="R988" s="27"/>
      <c r="S988" s="29" t="str">
        <f aca="false">IF(OR(B988="",C988=""),"",IF(COUNTIFS($B$5:B988,B988,$C$5:C988,C988)=1,1,0))</f>
        <v/>
      </c>
      <c r="T988" s="29" t="str">
        <f aca="false">IF(OR(B988="",C988="",E988=""),"",IF(COUNTIFS($B$5:B988,B988,$C$5:C988,C988,$E$5:E988,E988)=1,1,0))</f>
        <v/>
      </c>
      <c r="U988" s="28" t="str">
        <f aca="false">IF(COUNTA(B988:C988,E988:F988,H988:P988)=0,"",IF(OR(B988="",C988="",E988=""),"Check: date, player, and context required",IF(AND(ISNUMBER(J988),ISNUMBER(I988),J988&gt;I988),"Check: solid contacts &gt; swings",IF(AND(ISNUMBER(L988),ISNUMBER(K988),L988&gt;K988),"Check: correct &gt; assessed decisions",IF(AND(ISNUMBER(N988),ISNUMBER(M988),N988&gt;M988),"Check: intended &gt; assessed landings",IF(AND(ISNUMBER(J988),I988=""),"Check: solid contacts without swings","OK"))))))</f>
        <v/>
      </c>
    </row>
    <row r="989" customFormat="false" ht="15" hidden="false" customHeight="false" outlineLevel="0" collapsed="false">
      <c r="B989" s="26"/>
      <c r="C989" s="27"/>
      <c r="D989" s="28" t="str">
        <f aca="false">IF(C989="","",IFERROR(INDEX(Players!$C$5:$C$104,MATCH(C989,Players!$B$5:$B$104,0)),"ID not found"))</f>
        <v/>
      </c>
      <c r="E989" s="27"/>
      <c r="F989" s="27"/>
      <c r="G989" s="28" t="str">
        <f aca="false">IF(F989="","",IFERROR(INDEX('Hitting Drills'!$D$6:$D$45,MATCH(F989,'Hitting Drills'!$B$6:$B$45,0)),"Not a hitting drill ID"))</f>
        <v/>
      </c>
      <c r="H989" s="27"/>
      <c r="I989" s="27"/>
      <c r="J989" s="27"/>
      <c r="K989" s="27"/>
      <c r="L989" s="27"/>
      <c r="M989" s="27"/>
      <c r="N989" s="27"/>
      <c r="O989" s="27"/>
      <c r="P989" s="27"/>
      <c r="Q989" s="27"/>
      <c r="R989" s="27"/>
      <c r="S989" s="29" t="str">
        <f aca="false">IF(OR(B989="",C989=""),"",IF(COUNTIFS($B$5:B989,B989,$C$5:C989,C989)=1,1,0))</f>
        <v/>
      </c>
      <c r="T989" s="29" t="str">
        <f aca="false">IF(OR(B989="",C989="",E989=""),"",IF(COUNTIFS($B$5:B989,B989,$C$5:C989,C989,$E$5:E989,E989)=1,1,0))</f>
        <v/>
      </c>
      <c r="U989" s="28" t="str">
        <f aca="false">IF(COUNTA(B989:C989,E989:F989,H989:P989)=0,"",IF(OR(B989="",C989="",E989=""),"Check: date, player, and context required",IF(AND(ISNUMBER(J989),ISNUMBER(I989),J989&gt;I989),"Check: solid contacts &gt; swings",IF(AND(ISNUMBER(L989),ISNUMBER(K989),L989&gt;K989),"Check: correct &gt; assessed decisions",IF(AND(ISNUMBER(N989),ISNUMBER(M989),N989&gt;M989),"Check: intended &gt; assessed landings",IF(AND(ISNUMBER(J989),I989=""),"Check: solid contacts without swings","OK"))))))</f>
        <v/>
      </c>
    </row>
    <row r="990" customFormat="false" ht="15" hidden="false" customHeight="false" outlineLevel="0" collapsed="false">
      <c r="B990" s="26"/>
      <c r="C990" s="27"/>
      <c r="D990" s="28" t="str">
        <f aca="false">IF(C990="","",IFERROR(INDEX(Players!$C$5:$C$104,MATCH(C990,Players!$B$5:$B$104,0)),"ID not found"))</f>
        <v/>
      </c>
      <c r="E990" s="27"/>
      <c r="F990" s="27"/>
      <c r="G990" s="28" t="str">
        <f aca="false">IF(F990="","",IFERROR(INDEX('Hitting Drills'!$D$6:$D$45,MATCH(F990,'Hitting Drills'!$B$6:$B$45,0)),"Not a hitting drill ID"))</f>
        <v/>
      </c>
      <c r="H990" s="27"/>
      <c r="I990" s="27"/>
      <c r="J990" s="27"/>
      <c r="K990" s="27"/>
      <c r="L990" s="27"/>
      <c r="M990" s="27"/>
      <c r="N990" s="27"/>
      <c r="O990" s="27"/>
      <c r="P990" s="27"/>
      <c r="Q990" s="27"/>
      <c r="R990" s="27"/>
      <c r="S990" s="29" t="str">
        <f aca="false">IF(OR(B990="",C990=""),"",IF(COUNTIFS($B$5:B990,B990,$C$5:C990,C990)=1,1,0))</f>
        <v/>
      </c>
      <c r="T990" s="29" t="str">
        <f aca="false">IF(OR(B990="",C990="",E990=""),"",IF(COUNTIFS($B$5:B990,B990,$C$5:C990,C990,$E$5:E990,E990)=1,1,0))</f>
        <v/>
      </c>
      <c r="U990" s="28" t="str">
        <f aca="false">IF(COUNTA(B990:C990,E990:F990,H990:P990)=0,"",IF(OR(B990="",C990="",E990=""),"Check: date, player, and context required",IF(AND(ISNUMBER(J990),ISNUMBER(I990),J990&gt;I990),"Check: solid contacts &gt; swings",IF(AND(ISNUMBER(L990),ISNUMBER(K990),L990&gt;K990),"Check: correct &gt; assessed decisions",IF(AND(ISNUMBER(N990),ISNUMBER(M990),N990&gt;M990),"Check: intended &gt; assessed landings",IF(AND(ISNUMBER(J990),I990=""),"Check: solid contacts without swings","OK"))))))</f>
        <v/>
      </c>
    </row>
    <row r="991" customFormat="false" ht="15" hidden="false" customHeight="false" outlineLevel="0" collapsed="false">
      <c r="B991" s="26"/>
      <c r="C991" s="27"/>
      <c r="D991" s="28" t="str">
        <f aca="false">IF(C991="","",IFERROR(INDEX(Players!$C$5:$C$104,MATCH(C991,Players!$B$5:$B$104,0)),"ID not found"))</f>
        <v/>
      </c>
      <c r="E991" s="27"/>
      <c r="F991" s="27"/>
      <c r="G991" s="28" t="str">
        <f aca="false">IF(F991="","",IFERROR(INDEX('Hitting Drills'!$D$6:$D$45,MATCH(F991,'Hitting Drills'!$B$6:$B$45,0)),"Not a hitting drill ID"))</f>
        <v/>
      </c>
      <c r="H991" s="27"/>
      <c r="I991" s="27"/>
      <c r="J991" s="27"/>
      <c r="K991" s="27"/>
      <c r="L991" s="27"/>
      <c r="M991" s="27"/>
      <c r="N991" s="27"/>
      <c r="O991" s="27"/>
      <c r="P991" s="27"/>
      <c r="Q991" s="27"/>
      <c r="R991" s="27"/>
      <c r="S991" s="29" t="str">
        <f aca="false">IF(OR(B991="",C991=""),"",IF(COUNTIFS($B$5:B991,B991,$C$5:C991,C991)=1,1,0))</f>
        <v/>
      </c>
      <c r="T991" s="29" t="str">
        <f aca="false">IF(OR(B991="",C991="",E991=""),"",IF(COUNTIFS($B$5:B991,B991,$C$5:C991,C991,$E$5:E991,E991)=1,1,0))</f>
        <v/>
      </c>
      <c r="U991" s="28" t="str">
        <f aca="false">IF(COUNTA(B991:C991,E991:F991,H991:P991)=0,"",IF(OR(B991="",C991="",E991=""),"Check: date, player, and context required",IF(AND(ISNUMBER(J991),ISNUMBER(I991),J991&gt;I991),"Check: solid contacts &gt; swings",IF(AND(ISNUMBER(L991),ISNUMBER(K991),L991&gt;K991),"Check: correct &gt; assessed decisions",IF(AND(ISNUMBER(N991),ISNUMBER(M991),N991&gt;M991),"Check: intended &gt; assessed landings",IF(AND(ISNUMBER(J991),I991=""),"Check: solid contacts without swings","OK"))))))</f>
        <v/>
      </c>
    </row>
    <row r="992" customFormat="false" ht="15" hidden="false" customHeight="false" outlineLevel="0" collapsed="false">
      <c r="B992" s="26"/>
      <c r="C992" s="27"/>
      <c r="D992" s="28" t="str">
        <f aca="false">IF(C992="","",IFERROR(INDEX(Players!$C$5:$C$104,MATCH(C992,Players!$B$5:$B$104,0)),"ID not found"))</f>
        <v/>
      </c>
      <c r="E992" s="27"/>
      <c r="F992" s="27"/>
      <c r="G992" s="28" t="str">
        <f aca="false">IF(F992="","",IFERROR(INDEX('Hitting Drills'!$D$6:$D$45,MATCH(F992,'Hitting Drills'!$B$6:$B$45,0)),"Not a hitting drill ID"))</f>
        <v/>
      </c>
      <c r="H992" s="27"/>
      <c r="I992" s="27"/>
      <c r="J992" s="27"/>
      <c r="K992" s="27"/>
      <c r="L992" s="27"/>
      <c r="M992" s="27"/>
      <c r="N992" s="27"/>
      <c r="O992" s="27"/>
      <c r="P992" s="27"/>
      <c r="Q992" s="27"/>
      <c r="R992" s="27"/>
      <c r="S992" s="29" t="str">
        <f aca="false">IF(OR(B992="",C992=""),"",IF(COUNTIFS($B$5:B992,B992,$C$5:C992,C992)=1,1,0))</f>
        <v/>
      </c>
      <c r="T992" s="29" t="str">
        <f aca="false">IF(OR(B992="",C992="",E992=""),"",IF(COUNTIFS($B$5:B992,B992,$C$5:C992,C992,$E$5:E992,E992)=1,1,0))</f>
        <v/>
      </c>
      <c r="U992" s="28" t="str">
        <f aca="false">IF(COUNTA(B992:C992,E992:F992,H992:P992)=0,"",IF(OR(B992="",C992="",E992=""),"Check: date, player, and context required",IF(AND(ISNUMBER(J992),ISNUMBER(I992),J992&gt;I992),"Check: solid contacts &gt; swings",IF(AND(ISNUMBER(L992),ISNUMBER(K992),L992&gt;K992),"Check: correct &gt; assessed decisions",IF(AND(ISNUMBER(N992),ISNUMBER(M992),N992&gt;M992),"Check: intended &gt; assessed landings",IF(AND(ISNUMBER(J992),I992=""),"Check: solid contacts without swings","OK"))))))</f>
        <v/>
      </c>
    </row>
    <row r="993" customFormat="false" ht="15" hidden="false" customHeight="false" outlineLevel="0" collapsed="false">
      <c r="B993" s="26"/>
      <c r="C993" s="27"/>
      <c r="D993" s="28" t="str">
        <f aca="false">IF(C993="","",IFERROR(INDEX(Players!$C$5:$C$104,MATCH(C993,Players!$B$5:$B$104,0)),"ID not found"))</f>
        <v/>
      </c>
      <c r="E993" s="27"/>
      <c r="F993" s="27"/>
      <c r="G993" s="28" t="str">
        <f aca="false">IF(F993="","",IFERROR(INDEX('Hitting Drills'!$D$6:$D$45,MATCH(F993,'Hitting Drills'!$B$6:$B$45,0)),"Not a hitting drill ID"))</f>
        <v/>
      </c>
      <c r="H993" s="27"/>
      <c r="I993" s="27"/>
      <c r="J993" s="27"/>
      <c r="K993" s="27"/>
      <c r="L993" s="27"/>
      <c r="M993" s="27"/>
      <c r="N993" s="27"/>
      <c r="O993" s="27"/>
      <c r="P993" s="27"/>
      <c r="Q993" s="27"/>
      <c r="R993" s="27"/>
      <c r="S993" s="29" t="str">
        <f aca="false">IF(OR(B993="",C993=""),"",IF(COUNTIFS($B$5:B993,B993,$C$5:C993,C993)=1,1,0))</f>
        <v/>
      </c>
      <c r="T993" s="29" t="str">
        <f aca="false">IF(OR(B993="",C993="",E993=""),"",IF(COUNTIFS($B$5:B993,B993,$C$5:C993,C993,$E$5:E993,E993)=1,1,0))</f>
        <v/>
      </c>
      <c r="U993" s="28" t="str">
        <f aca="false">IF(COUNTA(B993:C993,E993:F993,H993:P993)=0,"",IF(OR(B993="",C993="",E993=""),"Check: date, player, and context required",IF(AND(ISNUMBER(J993),ISNUMBER(I993),J993&gt;I993),"Check: solid contacts &gt; swings",IF(AND(ISNUMBER(L993),ISNUMBER(K993),L993&gt;K993),"Check: correct &gt; assessed decisions",IF(AND(ISNUMBER(N993),ISNUMBER(M993),N993&gt;M993),"Check: intended &gt; assessed landings",IF(AND(ISNUMBER(J993),I993=""),"Check: solid contacts without swings","OK"))))))</f>
        <v/>
      </c>
    </row>
    <row r="994" customFormat="false" ht="15" hidden="false" customHeight="false" outlineLevel="0" collapsed="false">
      <c r="B994" s="26"/>
      <c r="C994" s="27"/>
      <c r="D994" s="28" t="str">
        <f aca="false">IF(C994="","",IFERROR(INDEX(Players!$C$5:$C$104,MATCH(C994,Players!$B$5:$B$104,0)),"ID not found"))</f>
        <v/>
      </c>
      <c r="E994" s="27"/>
      <c r="F994" s="27"/>
      <c r="G994" s="28" t="str">
        <f aca="false">IF(F994="","",IFERROR(INDEX('Hitting Drills'!$D$6:$D$45,MATCH(F994,'Hitting Drills'!$B$6:$B$45,0)),"Not a hitting drill ID"))</f>
        <v/>
      </c>
      <c r="H994" s="27"/>
      <c r="I994" s="27"/>
      <c r="J994" s="27"/>
      <c r="K994" s="27"/>
      <c r="L994" s="27"/>
      <c r="M994" s="27"/>
      <c r="N994" s="27"/>
      <c r="O994" s="27"/>
      <c r="P994" s="27"/>
      <c r="Q994" s="27"/>
      <c r="R994" s="27"/>
      <c r="S994" s="29" t="str">
        <f aca="false">IF(OR(B994="",C994=""),"",IF(COUNTIFS($B$5:B994,B994,$C$5:C994,C994)=1,1,0))</f>
        <v/>
      </c>
      <c r="T994" s="29" t="str">
        <f aca="false">IF(OR(B994="",C994="",E994=""),"",IF(COUNTIFS($B$5:B994,B994,$C$5:C994,C994,$E$5:E994,E994)=1,1,0))</f>
        <v/>
      </c>
      <c r="U994" s="28" t="str">
        <f aca="false">IF(COUNTA(B994:C994,E994:F994,H994:P994)=0,"",IF(OR(B994="",C994="",E994=""),"Check: date, player, and context required",IF(AND(ISNUMBER(J994),ISNUMBER(I994),J994&gt;I994),"Check: solid contacts &gt; swings",IF(AND(ISNUMBER(L994),ISNUMBER(K994),L994&gt;K994),"Check: correct &gt; assessed decisions",IF(AND(ISNUMBER(N994),ISNUMBER(M994),N994&gt;M994),"Check: intended &gt; assessed landings",IF(AND(ISNUMBER(J994),I994=""),"Check: solid contacts without swings","OK"))))))</f>
        <v/>
      </c>
    </row>
    <row r="995" customFormat="false" ht="15" hidden="false" customHeight="false" outlineLevel="0" collapsed="false">
      <c r="B995" s="26"/>
      <c r="C995" s="27"/>
      <c r="D995" s="28" t="str">
        <f aca="false">IF(C995="","",IFERROR(INDEX(Players!$C$5:$C$104,MATCH(C995,Players!$B$5:$B$104,0)),"ID not found"))</f>
        <v/>
      </c>
      <c r="E995" s="27"/>
      <c r="F995" s="27"/>
      <c r="G995" s="28" t="str">
        <f aca="false">IF(F995="","",IFERROR(INDEX('Hitting Drills'!$D$6:$D$45,MATCH(F995,'Hitting Drills'!$B$6:$B$45,0)),"Not a hitting drill ID"))</f>
        <v/>
      </c>
      <c r="H995" s="27"/>
      <c r="I995" s="27"/>
      <c r="J995" s="27"/>
      <c r="K995" s="27"/>
      <c r="L995" s="27"/>
      <c r="M995" s="27"/>
      <c r="N995" s="27"/>
      <c r="O995" s="27"/>
      <c r="P995" s="27"/>
      <c r="Q995" s="27"/>
      <c r="R995" s="27"/>
      <c r="S995" s="29" t="str">
        <f aca="false">IF(OR(B995="",C995=""),"",IF(COUNTIFS($B$5:B995,B995,$C$5:C995,C995)=1,1,0))</f>
        <v/>
      </c>
      <c r="T995" s="29" t="str">
        <f aca="false">IF(OR(B995="",C995="",E995=""),"",IF(COUNTIFS($B$5:B995,B995,$C$5:C995,C995,$E$5:E995,E995)=1,1,0))</f>
        <v/>
      </c>
      <c r="U995" s="28" t="str">
        <f aca="false">IF(COUNTA(B995:C995,E995:F995,H995:P995)=0,"",IF(OR(B995="",C995="",E995=""),"Check: date, player, and context required",IF(AND(ISNUMBER(J995),ISNUMBER(I995),J995&gt;I995),"Check: solid contacts &gt; swings",IF(AND(ISNUMBER(L995),ISNUMBER(K995),L995&gt;K995),"Check: correct &gt; assessed decisions",IF(AND(ISNUMBER(N995),ISNUMBER(M995),N995&gt;M995),"Check: intended &gt; assessed landings",IF(AND(ISNUMBER(J995),I995=""),"Check: solid contacts without swings","OK"))))))</f>
        <v/>
      </c>
    </row>
    <row r="996" customFormat="false" ht="15" hidden="false" customHeight="false" outlineLevel="0" collapsed="false">
      <c r="B996" s="26"/>
      <c r="C996" s="27"/>
      <c r="D996" s="28" t="str">
        <f aca="false">IF(C996="","",IFERROR(INDEX(Players!$C$5:$C$104,MATCH(C996,Players!$B$5:$B$104,0)),"ID not found"))</f>
        <v/>
      </c>
      <c r="E996" s="27"/>
      <c r="F996" s="27"/>
      <c r="G996" s="28" t="str">
        <f aca="false">IF(F996="","",IFERROR(INDEX('Hitting Drills'!$D$6:$D$45,MATCH(F996,'Hitting Drills'!$B$6:$B$45,0)),"Not a hitting drill ID"))</f>
        <v/>
      </c>
      <c r="H996" s="27"/>
      <c r="I996" s="27"/>
      <c r="J996" s="27"/>
      <c r="K996" s="27"/>
      <c r="L996" s="27"/>
      <c r="M996" s="27"/>
      <c r="N996" s="27"/>
      <c r="O996" s="27"/>
      <c r="P996" s="27"/>
      <c r="Q996" s="27"/>
      <c r="R996" s="27"/>
      <c r="S996" s="29" t="str">
        <f aca="false">IF(OR(B996="",C996=""),"",IF(COUNTIFS($B$5:B996,B996,$C$5:C996,C996)=1,1,0))</f>
        <v/>
      </c>
      <c r="T996" s="29" t="str">
        <f aca="false">IF(OR(B996="",C996="",E996=""),"",IF(COUNTIFS($B$5:B996,B996,$C$5:C996,C996,$E$5:E996,E996)=1,1,0))</f>
        <v/>
      </c>
      <c r="U996" s="28" t="str">
        <f aca="false">IF(COUNTA(B996:C996,E996:F996,H996:P996)=0,"",IF(OR(B996="",C996="",E996=""),"Check: date, player, and context required",IF(AND(ISNUMBER(J996),ISNUMBER(I996),J996&gt;I996),"Check: solid contacts &gt; swings",IF(AND(ISNUMBER(L996),ISNUMBER(K996),L996&gt;K996),"Check: correct &gt; assessed decisions",IF(AND(ISNUMBER(N996),ISNUMBER(M996),N996&gt;M996),"Check: intended &gt; assessed landings",IF(AND(ISNUMBER(J996),I996=""),"Check: solid contacts without swings","OK"))))))</f>
        <v/>
      </c>
    </row>
    <row r="997" customFormat="false" ht="15" hidden="false" customHeight="false" outlineLevel="0" collapsed="false">
      <c r="B997" s="26"/>
      <c r="C997" s="27"/>
      <c r="D997" s="28" t="str">
        <f aca="false">IF(C997="","",IFERROR(INDEX(Players!$C$5:$C$104,MATCH(C997,Players!$B$5:$B$104,0)),"ID not found"))</f>
        <v/>
      </c>
      <c r="E997" s="27"/>
      <c r="F997" s="27"/>
      <c r="G997" s="28" t="str">
        <f aca="false">IF(F997="","",IFERROR(INDEX('Hitting Drills'!$D$6:$D$45,MATCH(F997,'Hitting Drills'!$B$6:$B$45,0)),"Not a hitting drill ID"))</f>
        <v/>
      </c>
      <c r="H997" s="27"/>
      <c r="I997" s="27"/>
      <c r="J997" s="27"/>
      <c r="K997" s="27"/>
      <c r="L997" s="27"/>
      <c r="M997" s="27"/>
      <c r="N997" s="27"/>
      <c r="O997" s="27"/>
      <c r="P997" s="27"/>
      <c r="Q997" s="27"/>
      <c r="R997" s="27"/>
      <c r="S997" s="29" t="str">
        <f aca="false">IF(OR(B997="",C997=""),"",IF(COUNTIFS($B$5:B997,B997,$C$5:C997,C997)=1,1,0))</f>
        <v/>
      </c>
      <c r="T997" s="29" t="str">
        <f aca="false">IF(OR(B997="",C997="",E997=""),"",IF(COUNTIFS($B$5:B997,B997,$C$5:C997,C997,$E$5:E997,E997)=1,1,0))</f>
        <v/>
      </c>
      <c r="U997" s="28" t="str">
        <f aca="false">IF(COUNTA(B997:C997,E997:F997,H997:P997)=0,"",IF(OR(B997="",C997="",E997=""),"Check: date, player, and context required",IF(AND(ISNUMBER(J997),ISNUMBER(I997),J997&gt;I997),"Check: solid contacts &gt; swings",IF(AND(ISNUMBER(L997),ISNUMBER(K997),L997&gt;K997),"Check: correct &gt; assessed decisions",IF(AND(ISNUMBER(N997),ISNUMBER(M997),N997&gt;M997),"Check: intended &gt; assessed landings",IF(AND(ISNUMBER(J997),I997=""),"Check: solid contacts without swings","OK"))))))</f>
        <v/>
      </c>
    </row>
    <row r="998" customFormat="false" ht="15" hidden="false" customHeight="false" outlineLevel="0" collapsed="false">
      <c r="B998" s="26"/>
      <c r="C998" s="27"/>
      <c r="D998" s="28" t="str">
        <f aca="false">IF(C998="","",IFERROR(INDEX(Players!$C$5:$C$104,MATCH(C998,Players!$B$5:$B$104,0)),"ID not found"))</f>
        <v/>
      </c>
      <c r="E998" s="27"/>
      <c r="F998" s="27"/>
      <c r="G998" s="28" t="str">
        <f aca="false">IF(F998="","",IFERROR(INDEX('Hitting Drills'!$D$6:$D$45,MATCH(F998,'Hitting Drills'!$B$6:$B$45,0)),"Not a hitting drill ID"))</f>
        <v/>
      </c>
      <c r="H998" s="27"/>
      <c r="I998" s="27"/>
      <c r="J998" s="27"/>
      <c r="K998" s="27"/>
      <c r="L998" s="27"/>
      <c r="M998" s="27"/>
      <c r="N998" s="27"/>
      <c r="O998" s="27"/>
      <c r="P998" s="27"/>
      <c r="Q998" s="27"/>
      <c r="R998" s="27"/>
      <c r="S998" s="29" t="str">
        <f aca="false">IF(OR(B998="",C998=""),"",IF(COUNTIFS($B$5:B998,B998,$C$5:C998,C998)=1,1,0))</f>
        <v/>
      </c>
      <c r="T998" s="29" t="str">
        <f aca="false">IF(OR(B998="",C998="",E998=""),"",IF(COUNTIFS($B$5:B998,B998,$C$5:C998,C998,$E$5:E998,E998)=1,1,0))</f>
        <v/>
      </c>
      <c r="U998" s="28" t="str">
        <f aca="false">IF(COUNTA(B998:C998,E998:F998,H998:P998)=0,"",IF(OR(B998="",C998="",E998=""),"Check: date, player, and context required",IF(AND(ISNUMBER(J998),ISNUMBER(I998),J998&gt;I998),"Check: solid contacts &gt; swings",IF(AND(ISNUMBER(L998),ISNUMBER(K998),L998&gt;K998),"Check: correct &gt; assessed decisions",IF(AND(ISNUMBER(N998),ISNUMBER(M998),N998&gt;M998),"Check: intended &gt; assessed landings",IF(AND(ISNUMBER(J998),I998=""),"Check: solid contacts without swings","OK"))))))</f>
        <v/>
      </c>
    </row>
    <row r="999" customFormat="false" ht="15" hidden="false" customHeight="false" outlineLevel="0" collapsed="false">
      <c r="B999" s="26"/>
      <c r="C999" s="27"/>
      <c r="D999" s="28" t="str">
        <f aca="false">IF(C999="","",IFERROR(INDEX(Players!$C$5:$C$104,MATCH(C999,Players!$B$5:$B$104,0)),"ID not found"))</f>
        <v/>
      </c>
      <c r="E999" s="27"/>
      <c r="F999" s="27"/>
      <c r="G999" s="28" t="str">
        <f aca="false">IF(F999="","",IFERROR(INDEX('Hitting Drills'!$D$6:$D$45,MATCH(F999,'Hitting Drills'!$B$6:$B$45,0)),"Not a hitting drill ID"))</f>
        <v/>
      </c>
      <c r="H999" s="27"/>
      <c r="I999" s="27"/>
      <c r="J999" s="27"/>
      <c r="K999" s="27"/>
      <c r="L999" s="27"/>
      <c r="M999" s="27"/>
      <c r="N999" s="27"/>
      <c r="O999" s="27"/>
      <c r="P999" s="27"/>
      <c r="Q999" s="27"/>
      <c r="R999" s="27"/>
      <c r="S999" s="29" t="str">
        <f aca="false">IF(OR(B999="",C999=""),"",IF(COUNTIFS($B$5:B999,B999,$C$5:C999,C999)=1,1,0))</f>
        <v/>
      </c>
      <c r="T999" s="29" t="str">
        <f aca="false">IF(OR(B999="",C999="",E999=""),"",IF(COUNTIFS($B$5:B999,B999,$C$5:C999,C999,$E$5:E999,E999)=1,1,0))</f>
        <v/>
      </c>
      <c r="U999" s="28" t="str">
        <f aca="false">IF(COUNTA(B999:C999,E999:F999,H999:P999)=0,"",IF(OR(B999="",C999="",E999=""),"Check: date, player, and context required",IF(AND(ISNUMBER(J999),ISNUMBER(I999),J999&gt;I999),"Check: solid contacts &gt; swings",IF(AND(ISNUMBER(L999),ISNUMBER(K999),L999&gt;K999),"Check: correct &gt; assessed decisions",IF(AND(ISNUMBER(N999),ISNUMBER(M999),N999&gt;M999),"Check: intended &gt; assessed landings",IF(AND(ISNUMBER(J999),I999=""),"Check: solid contacts without swings","OK"))))))</f>
        <v/>
      </c>
    </row>
    <row r="1000" customFormat="false" ht="15" hidden="false" customHeight="false" outlineLevel="0" collapsed="false">
      <c r="B1000" s="26"/>
      <c r="C1000" s="27"/>
      <c r="D1000" s="28" t="str">
        <f aca="false">IF(C1000="","",IFERROR(INDEX(Players!$C$5:$C$104,MATCH(C1000,Players!$B$5:$B$104,0)),"ID not found"))</f>
        <v/>
      </c>
      <c r="E1000" s="27"/>
      <c r="F1000" s="27"/>
      <c r="G1000" s="28" t="str">
        <f aca="false">IF(F1000="","",IFERROR(INDEX('Hitting Drills'!$D$6:$D$45,MATCH(F1000,'Hitting Drills'!$B$6:$B$45,0)),"Not a hitting drill ID"))</f>
        <v/>
      </c>
      <c r="H1000" s="27"/>
      <c r="I1000" s="27"/>
      <c r="J1000" s="27"/>
      <c r="K1000" s="27"/>
      <c r="L1000" s="27"/>
      <c r="M1000" s="27"/>
      <c r="N1000" s="27"/>
      <c r="O1000" s="27"/>
      <c r="P1000" s="27"/>
      <c r="Q1000" s="27"/>
      <c r="R1000" s="27"/>
      <c r="S1000" s="29" t="str">
        <f aca="false">IF(OR(B1000="",C1000=""),"",IF(COUNTIFS($B$5:B1000,B1000,$C$5:C1000,C1000)=1,1,0))</f>
        <v/>
      </c>
      <c r="T1000" s="29" t="str">
        <f aca="false">IF(OR(B1000="",C1000="",E1000=""),"",IF(COUNTIFS($B$5:B1000,B1000,$C$5:C1000,C1000,$E$5:E1000,E1000)=1,1,0))</f>
        <v/>
      </c>
      <c r="U1000" s="28" t="str">
        <f aca="false">IF(COUNTA(B1000:C1000,E1000:F1000,H1000:P1000)=0,"",IF(OR(B1000="",C1000="",E1000=""),"Check: date, player, and context required",IF(AND(ISNUMBER(J1000),ISNUMBER(I1000),J1000&gt;I1000),"Check: solid contacts &gt; swings",IF(AND(ISNUMBER(L1000),ISNUMBER(K1000),L1000&gt;K1000),"Check: correct &gt; assessed decisions",IF(AND(ISNUMBER(N1000),ISNUMBER(M1000),N1000&gt;M1000),"Check: intended &gt; assessed landings",IF(AND(ISNUMBER(J1000),I1000=""),"Check: solid contacts without swings","OK"))))))</f>
        <v/>
      </c>
    </row>
    <row r="1001" customFormat="false" ht="15" hidden="false" customHeight="false" outlineLevel="0" collapsed="false">
      <c r="B1001" s="26"/>
      <c r="C1001" s="27"/>
      <c r="D1001" s="28" t="str">
        <f aca="false">IF(C1001="","",IFERROR(INDEX(Players!$C$5:$C$104,MATCH(C1001,Players!$B$5:$B$104,0)),"ID not found"))</f>
        <v/>
      </c>
      <c r="E1001" s="27"/>
      <c r="F1001" s="27"/>
      <c r="G1001" s="28" t="str">
        <f aca="false">IF(F1001="","",IFERROR(INDEX('Hitting Drills'!$D$6:$D$45,MATCH(F1001,'Hitting Drills'!$B$6:$B$45,0)),"Not a hitting drill ID"))</f>
        <v/>
      </c>
      <c r="H1001" s="27"/>
      <c r="I1001" s="27"/>
      <c r="J1001" s="27"/>
      <c r="K1001" s="27"/>
      <c r="L1001" s="27"/>
      <c r="M1001" s="27"/>
      <c r="N1001" s="27"/>
      <c r="O1001" s="27"/>
      <c r="P1001" s="27"/>
      <c r="Q1001" s="27"/>
      <c r="R1001" s="27"/>
      <c r="S1001" s="29" t="str">
        <f aca="false">IF(OR(B1001="",C1001=""),"",IF(COUNTIFS($B$5:B1001,B1001,$C$5:C1001,C1001)=1,1,0))</f>
        <v/>
      </c>
      <c r="T1001" s="29" t="str">
        <f aca="false">IF(OR(B1001="",C1001="",E1001=""),"",IF(COUNTIFS($B$5:B1001,B1001,$C$5:C1001,C1001,$E$5:E1001,E1001)=1,1,0))</f>
        <v/>
      </c>
      <c r="U1001" s="28" t="str">
        <f aca="false">IF(COUNTA(B1001:C1001,E1001:F1001,H1001:P1001)=0,"",IF(OR(B1001="",C1001="",E1001=""),"Check: date, player, and context required",IF(AND(ISNUMBER(J1001),ISNUMBER(I1001),J1001&gt;I1001),"Check: solid contacts &gt; swings",IF(AND(ISNUMBER(L1001),ISNUMBER(K1001),L1001&gt;K1001),"Check: correct &gt; assessed decisions",IF(AND(ISNUMBER(N1001),ISNUMBER(M1001),N1001&gt;M1001),"Check: intended &gt; assessed landings",IF(AND(ISNUMBER(J1001),I1001=""),"Check: solid contacts without swings","OK"))))))</f>
        <v/>
      </c>
    </row>
    <row r="1002" customFormat="false" ht="15" hidden="false" customHeight="false" outlineLevel="0" collapsed="false">
      <c r="B1002" s="26"/>
      <c r="C1002" s="27"/>
      <c r="D1002" s="28" t="str">
        <f aca="false">IF(C1002="","",IFERROR(INDEX(Players!$C$5:$C$104,MATCH(C1002,Players!$B$5:$B$104,0)),"ID not found"))</f>
        <v/>
      </c>
      <c r="E1002" s="27"/>
      <c r="F1002" s="27"/>
      <c r="G1002" s="28" t="str">
        <f aca="false">IF(F1002="","",IFERROR(INDEX('Hitting Drills'!$D$6:$D$45,MATCH(F1002,'Hitting Drills'!$B$6:$B$45,0)),"Not a hitting drill ID"))</f>
        <v/>
      </c>
      <c r="H1002" s="27"/>
      <c r="I1002" s="27"/>
      <c r="J1002" s="27"/>
      <c r="K1002" s="27"/>
      <c r="L1002" s="27"/>
      <c r="M1002" s="27"/>
      <c r="N1002" s="27"/>
      <c r="O1002" s="27"/>
      <c r="P1002" s="27"/>
      <c r="Q1002" s="27"/>
      <c r="R1002" s="27"/>
      <c r="S1002" s="29" t="str">
        <f aca="false">IF(OR(B1002="",C1002=""),"",IF(COUNTIFS($B$5:B1002,B1002,$C$5:C1002,C1002)=1,1,0))</f>
        <v/>
      </c>
      <c r="T1002" s="29" t="str">
        <f aca="false">IF(OR(B1002="",C1002="",E1002=""),"",IF(COUNTIFS($B$5:B1002,B1002,$C$5:C1002,C1002,$E$5:E1002,E1002)=1,1,0))</f>
        <v/>
      </c>
      <c r="U1002" s="28" t="str">
        <f aca="false">IF(COUNTA(B1002:C1002,E1002:F1002,H1002:P1002)=0,"",IF(OR(B1002="",C1002="",E1002=""),"Check: date, player, and context required",IF(AND(ISNUMBER(J1002),ISNUMBER(I1002),J1002&gt;I1002),"Check: solid contacts &gt; swings",IF(AND(ISNUMBER(L1002),ISNUMBER(K1002),L1002&gt;K1002),"Check: correct &gt; assessed decisions",IF(AND(ISNUMBER(N1002),ISNUMBER(M1002),N1002&gt;M1002),"Check: intended &gt; assessed landings",IF(AND(ISNUMBER(J1002),I1002=""),"Check: solid contacts without swings","OK"))))))</f>
        <v/>
      </c>
    </row>
    <row r="1003" customFormat="false" ht="15" hidden="false" customHeight="false" outlineLevel="0" collapsed="false">
      <c r="B1003" s="26"/>
      <c r="C1003" s="27"/>
      <c r="D1003" s="28" t="str">
        <f aca="false">IF(C1003="","",IFERROR(INDEX(Players!$C$5:$C$104,MATCH(C1003,Players!$B$5:$B$104,0)),"ID not found"))</f>
        <v/>
      </c>
      <c r="E1003" s="27"/>
      <c r="F1003" s="27"/>
      <c r="G1003" s="28" t="str">
        <f aca="false">IF(F1003="","",IFERROR(INDEX('Hitting Drills'!$D$6:$D$45,MATCH(F1003,'Hitting Drills'!$B$6:$B$45,0)),"Not a hitting drill ID"))</f>
        <v/>
      </c>
      <c r="H1003" s="27"/>
      <c r="I1003" s="27"/>
      <c r="J1003" s="27"/>
      <c r="K1003" s="27"/>
      <c r="L1003" s="27"/>
      <c r="M1003" s="27"/>
      <c r="N1003" s="27"/>
      <c r="O1003" s="27"/>
      <c r="P1003" s="27"/>
      <c r="Q1003" s="27"/>
      <c r="R1003" s="27"/>
      <c r="S1003" s="29" t="str">
        <f aca="false">IF(OR(B1003="",C1003=""),"",IF(COUNTIFS($B$5:B1003,B1003,$C$5:C1003,C1003)=1,1,0))</f>
        <v/>
      </c>
      <c r="T1003" s="29" t="str">
        <f aca="false">IF(OR(B1003="",C1003="",E1003=""),"",IF(COUNTIFS($B$5:B1003,B1003,$C$5:C1003,C1003,$E$5:E1003,E1003)=1,1,0))</f>
        <v/>
      </c>
      <c r="U1003" s="28" t="str">
        <f aca="false">IF(COUNTA(B1003:C1003,E1003:F1003,H1003:P1003)=0,"",IF(OR(B1003="",C1003="",E1003=""),"Check: date, player, and context required",IF(AND(ISNUMBER(J1003),ISNUMBER(I1003),J1003&gt;I1003),"Check: solid contacts &gt; swings",IF(AND(ISNUMBER(L1003),ISNUMBER(K1003),L1003&gt;K1003),"Check: correct &gt; assessed decisions",IF(AND(ISNUMBER(N1003),ISNUMBER(M1003),N1003&gt;M1003),"Check: intended &gt; assessed landings",IF(AND(ISNUMBER(J1003),I1003=""),"Check: solid contacts without swings","OK"))))))</f>
        <v/>
      </c>
    </row>
    <row r="1004" customFormat="false" ht="15" hidden="false" customHeight="false" outlineLevel="0" collapsed="false">
      <c r="B1004" s="26"/>
      <c r="C1004" s="27"/>
      <c r="D1004" s="28" t="str">
        <f aca="false">IF(C1004="","",IFERROR(INDEX(Players!$C$5:$C$104,MATCH(C1004,Players!$B$5:$B$104,0)),"ID not found"))</f>
        <v/>
      </c>
      <c r="E1004" s="27"/>
      <c r="F1004" s="27"/>
      <c r="G1004" s="28" t="str">
        <f aca="false">IF(F1004="","",IFERROR(INDEX('Hitting Drills'!$D$6:$D$45,MATCH(F1004,'Hitting Drills'!$B$6:$B$45,0)),"Not a hitting drill ID"))</f>
        <v/>
      </c>
      <c r="H1004" s="27"/>
      <c r="I1004" s="27"/>
      <c r="J1004" s="27"/>
      <c r="K1004" s="27"/>
      <c r="L1004" s="27"/>
      <c r="M1004" s="27"/>
      <c r="N1004" s="27"/>
      <c r="O1004" s="27"/>
      <c r="P1004" s="27"/>
      <c r="Q1004" s="27"/>
      <c r="R1004" s="27"/>
      <c r="S1004" s="29" t="str">
        <f aca="false">IF(OR(B1004="",C1004=""),"",IF(COUNTIFS($B$5:B1004,B1004,$C$5:C1004,C1004)=1,1,0))</f>
        <v/>
      </c>
      <c r="T1004" s="29" t="str">
        <f aca="false">IF(OR(B1004="",C1004="",E1004=""),"",IF(COUNTIFS($B$5:B1004,B1004,$C$5:C1004,C1004,$E$5:E1004,E1004)=1,1,0))</f>
        <v/>
      </c>
      <c r="U1004" s="28" t="str">
        <f aca="false">IF(COUNTA(B1004:C1004,E1004:F1004,H1004:P1004)=0,"",IF(OR(B1004="",C1004="",E1004=""),"Check: date, player, and context required",IF(AND(ISNUMBER(J1004),ISNUMBER(I1004),J1004&gt;I1004),"Check: solid contacts &gt; swings",IF(AND(ISNUMBER(L1004),ISNUMBER(K1004),L1004&gt;K1004),"Check: correct &gt; assessed decisions",IF(AND(ISNUMBER(N1004),ISNUMBER(M1004),N1004&gt;M1004),"Check: intended &gt; assessed landings",IF(AND(ISNUMBER(J1004),I1004=""),"Check: solid contacts without swings","OK"))))))</f>
        <v/>
      </c>
    </row>
  </sheetData>
  <autoFilter ref="B4:U1004"/>
  <conditionalFormatting sqref="U5:U1004">
    <cfRule type="expression" priority="2" aboveAverage="0" equalAverage="0" bottom="0" percent="0" rank="0" text="" dxfId="5">
      <formula>LEFT(U5,5)="Check"</formula>
    </cfRule>
  </conditionalFormatting>
  <dataValidations count="13">
    <dataValidation allowBlank="true" errorStyle="stop" operator="between" showDropDown="false" showErrorMessage="true" showInputMessage="false" sqref="C5:C1004" type="list">
      <formula1>Players!$B$5:$B$104</formula1>
      <formula2>0</formula2>
    </dataValidation>
    <dataValidation allowBlank="true" errorStyle="stop" operator="between" showDropDown="false" showErrorMessage="true" showInputMessage="false" sqref="E5:E1004" type="list">
      <formula1>"Tee,Toss,Live,Home,Other"</formula1>
      <formula2>0</formula2>
    </dataValidation>
    <dataValidation allowBlank="true" errorStyle="stop" operator="between" showDropDown="false" showErrorMessage="true" showInputMessage="false" sqref="F5:F1004" type="list">
      <formula1>'Hitting Drills'!$B$6:$B$45</formula1>
      <formula2>0</formula2>
    </dataValidation>
    <dataValidation allowBlank="true" errorStyle="stop" operator="between" showDropDown="false" showErrorMessage="true" showInputMessage="false" sqref="O5:O1004" type="whole">
      <formula1>1</formula1>
      <formula2>5</formula2>
    </dataValidation>
    <dataValidation allowBlank="true" errorStyle="stop" operator="between" showDropDown="false" showErrorMessage="true" showInputMessage="false" sqref="P5:P1004" type="list">
      <formula1>"Y,N"</formula1>
      <formula2>0</formula2>
    </dataValidation>
    <dataValidation allowBlank="true" errorStyle="stop" operator="greaterThan" showDropDown="false" showErrorMessage="true" showInputMessage="false" sqref="B5:B1004" type="date">
      <formula1>36526</formula1>
      <formula2>0</formula2>
    </dataValidation>
    <dataValidation allowBlank="true" errorStyle="stop" operator="greaterThanOrEqual" showDropDown="false" showErrorMessage="true" showInputMessage="false" sqref="H5:H1004" type="decimal">
      <formula1>0</formula1>
      <formula2>0</formula2>
    </dataValidation>
    <dataValidation allowBlank="true" errorStyle="stop" operator="greaterThanOrEqual" showDropDown="false" showErrorMessage="true" showInputMessage="false" sqref="I5:I1004" type="whole">
      <formula1>0</formula1>
      <formula2>0</formula2>
    </dataValidation>
    <dataValidation allowBlank="true" errorStyle="stop" operator="greaterThanOrEqual" showDropDown="false" showErrorMessage="true" showInputMessage="false" sqref="J5:J1004" type="whole">
      <formula1>0</formula1>
      <formula2>0</formula2>
    </dataValidation>
    <dataValidation allowBlank="true" errorStyle="stop" operator="greaterThanOrEqual" showDropDown="false" showErrorMessage="true" showInputMessage="false" sqref="K5:K1004" type="whole">
      <formula1>0</formula1>
      <formula2>0</formula2>
    </dataValidation>
    <dataValidation allowBlank="true" errorStyle="stop" operator="greaterThanOrEqual" showDropDown="false" showErrorMessage="true" showInputMessage="false" sqref="L5:L1004" type="whole">
      <formula1>0</formula1>
      <formula2>0</formula2>
    </dataValidation>
    <dataValidation allowBlank="true" errorStyle="stop" operator="greaterThanOrEqual" showDropDown="false" showErrorMessage="true" showInputMessage="false" sqref="M5:M1004" type="whole">
      <formula1>0</formula1>
      <formula2>0</formula2>
    </dataValidation>
    <dataValidation allowBlank="true" errorStyle="stop" operator="greaterThanOrEqual" showDropDown="false" showErrorMessage="true" showInputMessage="false" sqref="N5:N1004" type="whole">
      <formula1>0</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1:P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4" min="4" style="0" width="20"/>
    <col collapsed="false" customWidth="true" hidden="false" outlineLevel="0" max="5" min="5" style="0" width="10"/>
    <col collapsed="false" customWidth="true" hidden="false" outlineLevel="0" max="6" min="6" style="0" width="30"/>
    <col collapsed="false" customWidth="true" hidden="false" outlineLevel="0" max="7" min="7" style="0" width="11"/>
    <col collapsed="false" customWidth="true" hidden="false" outlineLevel="0" max="8" min="8" style="0" width="7"/>
    <col collapsed="false" customWidth="true" hidden="false" outlineLevel="0" max="11" min="9" style="0" width="10"/>
    <col collapsed="false" customWidth="true" hidden="false" outlineLevel="0" max="12" min="12" style="0" width="9"/>
    <col collapsed="false" customWidth="true" hidden="false" outlineLevel="0" max="13" min="13" style="0" width="11"/>
    <col collapsed="false" customWidth="true" hidden="false" outlineLevel="0" max="14" min="14" style="0" width="9"/>
    <col collapsed="false" customWidth="true" hidden="false" outlineLevel="0" max="15" min="15" style="0" width="12"/>
    <col collapsed="false" customWidth="true" hidden="false" outlineLevel="0" max="16" min="16" style="0" width="30"/>
  </cols>
  <sheetData>
    <row r="1" customFormat="false" ht="15" hidden="false" customHeight="false" outlineLevel="0" collapsed="false">
      <c r="B1" s="12" t="s">
        <v>24</v>
      </c>
    </row>
    <row r="2" customFormat="false" ht="22.05" hidden="false" customHeight="false" outlineLevel="0" collapsed="false">
      <c r="B2" s="13" t="s">
        <v>1637</v>
      </c>
    </row>
    <row r="3" customFormat="false" ht="15" hidden="false" customHeight="false" outlineLevel="0" collapsed="false">
      <c r="B3" s="14" t="s">
        <v>1638</v>
      </c>
    </row>
    <row r="4" customFormat="false" ht="30" hidden="false" customHeight="true" outlineLevel="0" collapsed="false">
      <c r="B4" s="15" t="s">
        <v>1622</v>
      </c>
      <c r="C4" s="15" t="s">
        <v>151</v>
      </c>
      <c r="D4" s="15" t="s">
        <v>152</v>
      </c>
      <c r="E4" s="15" t="s">
        <v>1639</v>
      </c>
      <c r="F4" s="15" t="s">
        <v>652</v>
      </c>
      <c r="G4" s="15" t="s">
        <v>1640</v>
      </c>
      <c r="H4" s="15" t="s">
        <v>1641</v>
      </c>
      <c r="I4" s="15" t="s">
        <v>1642</v>
      </c>
      <c r="J4" s="15" t="s">
        <v>1643</v>
      </c>
      <c r="K4" s="15" t="s">
        <v>1644</v>
      </c>
      <c r="L4" s="15" t="s">
        <v>1645</v>
      </c>
      <c r="M4" s="15" t="s">
        <v>1646</v>
      </c>
      <c r="N4" s="15" t="s">
        <v>1632</v>
      </c>
      <c r="O4" s="15" t="s">
        <v>1647</v>
      </c>
      <c r="P4" s="15" t="s">
        <v>160</v>
      </c>
    </row>
    <row r="5" customFormat="false" ht="15" hidden="false" customHeight="false" outlineLevel="0" collapsed="false">
      <c r="B5" s="26"/>
      <c r="C5" s="27"/>
      <c r="D5" s="28" t="str">
        <f aca="false">IF(C5="","",IFERROR(INDEX(Players!$C$5:$C$104,MATCH(C5,Players!$B$5:$B$104,0)),"ID not found"))</f>
        <v/>
      </c>
      <c r="E5" s="27"/>
      <c r="F5" s="28" t="str">
        <f aca="false">IF(E5="","",IFERROR(INDEX('Med Ball Library'!$C$6:$C$19,MATCH(E5,'Med Ball Library'!$B$6:$B$19,0)),"Unknown ID"))</f>
        <v/>
      </c>
      <c r="G5" s="27"/>
      <c r="H5" s="27"/>
      <c r="I5" s="27"/>
      <c r="J5" s="27"/>
      <c r="K5" s="28" t="str">
        <f aca="false">IF(COUNT(H5,I5,J5)&lt;3,"",H5*I5*J5)</f>
        <v/>
      </c>
      <c r="L5" s="27"/>
      <c r="M5" s="27"/>
      <c r="N5" s="27"/>
      <c r="O5" s="27"/>
      <c r="P5" s="27"/>
    </row>
    <row r="6" customFormat="false" ht="15" hidden="false" customHeight="false" outlineLevel="0" collapsed="false">
      <c r="B6" s="26"/>
      <c r="C6" s="27"/>
      <c r="D6" s="28" t="str">
        <f aca="false">IF(C6="","",IFERROR(INDEX(Players!$C$5:$C$104,MATCH(C6,Players!$B$5:$B$104,0)),"ID not found"))</f>
        <v/>
      </c>
      <c r="E6" s="27"/>
      <c r="F6" s="28" t="str">
        <f aca="false">IF(E6="","",IFERROR(INDEX('Med Ball Library'!$C$6:$C$19,MATCH(E6,'Med Ball Library'!$B$6:$B$19,0)),"Unknown ID"))</f>
        <v/>
      </c>
      <c r="G6" s="27"/>
      <c r="H6" s="27"/>
      <c r="I6" s="27"/>
      <c r="J6" s="27"/>
      <c r="K6" s="28" t="str">
        <f aca="false">IF(COUNT(H6,I6,J6)&lt;3,"",H6*I6*J6)</f>
        <v/>
      </c>
      <c r="L6" s="27"/>
      <c r="M6" s="27"/>
      <c r="N6" s="27"/>
      <c r="O6" s="27"/>
      <c r="P6" s="27"/>
    </row>
    <row r="7" customFormat="false" ht="15" hidden="false" customHeight="false" outlineLevel="0" collapsed="false">
      <c r="B7" s="26"/>
      <c r="C7" s="27"/>
      <c r="D7" s="28" t="str">
        <f aca="false">IF(C7="","",IFERROR(INDEX(Players!$C$5:$C$104,MATCH(C7,Players!$B$5:$B$104,0)),"ID not found"))</f>
        <v/>
      </c>
      <c r="E7" s="27"/>
      <c r="F7" s="28" t="str">
        <f aca="false">IF(E7="","",IFERROR(INDEX('Med Ball Library'!$C$6:$C$19,MATCH(E7,'Med Ball Library'!$B$6:$B$19,0)),"Unknown ID"))</f>
        <v/>
      </c>
      <c r="G7" s="27"/>
      <c r="H7" s="27"/>
      <c r="I7" s="27"/>
      <c r="J7" s="27"/>
      <c r="K7" s="28" t="str">
        <f aca="false">IF(COUNT(H7,I7,J7)&lt;3,"",H7*I7*J7)</f>
        <v/>
      </c>
      <c r="L7" s="27"/>
      <c r="M7" s="27"/>
      <c r="N7" s="27"/>
      <c r="O7" s="27"/>
      <c r="P7" s="27"/>
    </row>
    <row r="8" customFormat="false" ht="15" hidden="false" customHeight="false" outlineLevel="0" collapsed="false">
      <c r="B8" s="26"/>
      <c r="C8" s="27"/>
      <c r="D8" s="28" t="str">
        <f aca="false">IF(C8="","",IFERROR(INDEX(Players!$C$5:$C$104,MATCH(C8,Players!$B$5:$B$104,0)),"ID not found"))</f>
        <v/>
      </c>
      <c r="E8" s="27"/>
      <c r="F8" s="28" t="str">
        <f aca="false">IF(E8="","",IFERROR(INDEX('Med Ball Library'!$C$6:$C$19,MATCH(E8,'Med Ball Library'!$B$6:$B$19,0)),"Unknown ID"))</f>
        <v/>
      </c>
      <c r="G8" s="27"/>
      <c r="H8" s="27"/>
      <c r="I8" s="27"/>
      <c r="J8" s="27"/>
      <c r="K8" s="28" t="str">
        <f aca="false">IF(COUNT(H8,I8,J8)&lt;3,"",H8*I8*J8)</f>
        <v/>
      </c>
      <c r="L8" s="27"/>
      <c r="M8" s="27"/>
      <c r="N8" s="27"/>
      <c r="O8" s="27"/>
      <c r="P8" s="27"/>
    </row>
    <row r="9" customFormat="false" ht="15" hidden="false" customHeight="false" outlineLevel="0" collapsed="false">
      <c r="B9" s="26"/>
      <c r="C9" s="27"/>
      <c r="D9" s="28" t="str">
        <f aca="false">IF(C9="","",IFERROR(INDEX(Players!$C$5:$C$104,MATCH(C9,Players!$B$5:$B$104,0)),"ID not found"))</f>
        <v/>
      </c>
      <c r="E9" s="27"/>
      <c r="F9" s="28" t="str">
        <f aca="false">IF(E9="","",IFERROR(INDEX('Med Ball Library'!$C$6:$C$19,MATCH(E9,'Med Ball Library'!$B$6:$B$19,0)),"Unknown ID"))</f>
        <v/>
      </c>
      <c r="G9" s="27"/>
      <c r="H9" s="27"/>
      <c r="I9" s="27"/>
      <c r="J9" s="27"/>
      <c r="K9" s="28" t="str">
        <f aca="false">IF(COUNT(H9,I9,J9)&lt;3,"",H9*I9*J9)</f>
        <v/>
      </c>
      <c r="L9" s="27"/>
      <c r="M9" s="27"/>
      <c r="N9" s="27"/>
      <c r="O9" s="27"/>
      <c r="P9" s="27"/>
    </row>
    <row r="10" customFormat="false" ht="15" hidden="false" customHeight="false" outlineLevel="0" collapsed="false">
      <c r="B10" s="26"/>
      <c r="C10" s="27"/>
      <c r="D10" s="28" t="str">
        <f aca="false">IF(C10="","",IFERROR(INDEX(Players!$C$5:$C$104,MATCH(C10,Players!$B$5:$B$104,0)),"ID not found"))</f>
        <v/>
      </c>
      <c r="E10" s="27"/>
      <c r="F10" s="28" t="str">
        <f aca="false">IF(E10="","",IFERROR(INDEX('Med Ball Library'!$C$6:$C$19,MATCH(E10,'Med Ball Library'!$B$6:$B$19,0)),"Unknown ID"))</f>
        <v/>
      </c>
      <c r="G10" s="27"/>
      <c r="H10" s="27"/>
      <c r="I10" s="27"/>
      <c r="J10" s="27"/>
      <c r="K10" s="28" t="str">
        <f aca="false">IF(COUNT(H10,I10,J10)&lt;3,"",H10*I10*J10)</f>
        <v/>
      </c>
      <c r="L10" s="27"/>
      <c r="M10" s="27"/>
      <c r="N10" s="27"/>
      <c r="O10" s="27"/>
      <c r="P10" s="27"/>
    </row>
    <row r="11" customFormat="false" ht="15" hidden="false" customHeight="false" outlineLevel="0" collapsed="false">
      <c r="B11" s="26"/>
      <c r="C11" s="27"/>
      <c r="D11" s="28" t="str">
        <f aca="false">IF(C11="","",IFERROR(INDEX(Players!$C$5:$C$104,MATCH(C11,Players!$B$5:$B$104,0)),"ID not found"))</f>
        <v/>
      </c>
      <c r="E11" s="27"/>
      <c r="F11" s="28" t="str">
        <f aca="false">IF(E11="","",IFERROR(INDEX('Med Ball Library'!$C$6:$C$19,MATCH(E11,'Med Ball Library'!$B$6:$B$19,0)),"Unknown ID"))</f>
        <v/>
      </c>
      <c r="G11" s="27"/>
      <c r="H11" s="27"/>
      <c r="I11" s="27"/>
      <c r="J11" s="27"/>
      <c r="K11" s="28" t="str">
        <f aca="false">IF(COUNT(H11,I11,J11)&lt;3,"",H11*I11*J11)</f>
        <v/>
      </c>
      <c r="L11" s="27"/>
      <c r="M11" s="27"/>
      <c r="N11" s="27"/>
      <c r="O11" s="27"/>
      <c r="P11" s="27"/>
    </row>
    <row r="12" customFormat="false" ht="15" hidden="false" customHeight="false" outlineLevel="0" collapsed="false">
      <c r="B12" s="26"/>
      <c r="C12" s="27"/>
      <c r="D12" s="28" t="str">
        <f aca="false">IF(C12="","",IFERROR(INDEX(Players!$C$5:$C$104,MATCH(C12,Players!$B$5:$B$104,0)),"ID not found"))</f>
        <v/>
      </c>
      <c r="E12" s="27"/>
      <c r="F12" s="28" t="str">
        <f aca="false">IF(E12="","",IFERROR(INDEX('Med Ball Library'!$C$6:$C$19,MATCH(E12,'Med Ball Library'!$B$6:$B$19,0)),"Unknown ID"))</f>
        <v/>
      </c>
      <c r="G12" s="27"/>
      <c r="H12" s="27"/>
      <c r="I12" s="27"/>
      <c r="J12" s="27"/>
      <c r="K12" s="28" t="str">
        <f aca="false">IF(COUNT(H12,I12,J12)&lt;3,"",H12*I12*J12)</f>
        <v/>
      </c>
      <c r="L12" s="27"/>
      <c r="M12" s="27"/>
      <c r="N12" s="27"/>
      <c r="O12" s="27"/>
      <c r="P12" s="27"/>
    </row>
    <row r="13" customFormat="false" ht="15" hidden="false" customHeight="false" outlineLevel="0" collapsed="false">
      <c r="B13" s="26"/>
      <c r="C13" s="27"/>
      <c r="D13" s="28" t="str">
        <f aca="false">IF(C13="","",IFERROR(INDEX(Players!$C$5:$C$104,MATCH(C13,Players!$B$5:$B$104,0)),"ID not found"))</f>
        <v/>
      </c>
      <c r="E13" s="27"/>
      <c r="F13" s="28" t="str">
        <f aca="false">IF(E13="","",IFERROR(INDEX('Med Ball Library'!$C$6:$C$19,MATCH(E13,'Med Ball Library'!$B$6:$B$19,0)),"Unknown ID"))</f>
        <v/>
      </c>
      <c r="G13" s="27"/>
      <c r="H13" s="27"/>
      <c r="I13" s="27"/>
      <c r="J13" s="27"/>
      <c r="K13" s="28" t="str">
        <f aca="false">IF(COUNT(H13,I13,J13)&lt;3,"",H13*I13*J13)</f>
        <v/>
      </c>
      <c r="L13" s="27"/>
      <c r="M13" s="27"/>
      <c r="N13" s="27"/>
      <c r="O13" s="27"/>
      <c r="P13" s="27"/>
    </row>
    <row r="14" customFormat="false" ht="15" hidden="false" customHeight="false" outlineLevel="0" collapsed="false">
      <c r="B14" s="26"/>
      <c r="C14" s="27"/>
      <c r="D14" s="28" t="str">
        <f aca="false">IF(C14="","",IFERROR(INDEX(Players!$C$5:$C$104,MATCH(C14,Players!$B$5:$B$104,0)),"ID not found"))</f>
        <v/>
      </c>
      <c r="E14" s="27"/>
      <c r="F14" s="28" t="str">
        <f aca="false">IF(E14="","",IFERROR(INDEX('Med Ball Library'!$C$6:$C$19,MATCH(E14,'Med Ball Library'!$B$6:$B$19,0)),"Unknown ID"))</f>
        <v/>
      </c>
      <c r="G14" s="27"/>
      <c r="H14" s="27"/>
      <c r="I14" s="27"/>
      <c r="J14" s="27"/>
      <c r="K14" s="28" t="str">
        <f aca="false">IF(COUNT(H14,I14,J14)&lt;3,"",H14*I14*J14)</f>
        <v/>
      </c>
      <c r="L14" s="27"/>
      <c r="M14" s="27"/>
      <c r="N14" s="27"/>
      <c r="O14" s="27"/>
      <c r="P14" s="27"/>
    </row>
    <row r="15" customFormat="false" ht="15" hidden="false" customHeight="false" outlineLevel="0" collapsed="false">
      <c r="B15" s="26"/>
      <c r="C15" s="27"/>
      <c r="D15" s="28" t="str">
        <f aca="false">IF(C15="","",IFERROR(INDEX(Players!$C$5:$C$104,MATCH(C15,Players!$B$5:$B$104,0)),"ID not found"))</f>
        <v/>
      </c>
      <c r="E15" s="27"/>
      <c r="F15" s="28" t="str">
        <f aca="false">IF(E15="","",IFERROR(INDEX('Med Ball Library'!$C$6:$C$19,MATCH(E15,'Med Ball Library'!$B$6:$B$19,0)),"Unknown ID"))</f>
        <v/>
      </c>
      <c r="G15" s="27"/>
      <c r="H15" s="27"/>
      <c r="I15" s="27"/>
      <c r="J15" s="27"/>
      <c r="K15" s="28" t="str">
        <f aca="false">IF(COUNT(H15,I15,J15)&lt;3,"",H15*I15*J15)</f>
        <v/>
      </c>
      <c r="L15" s="27"/>
      <c r="M15" s="27"/>
      <c r="N15" s="27"/>
      <c r="O15" s="27"/>
      <c r="P15" s="27"/>
    </row>
    <row r="16" customFormat="false" ht="15" hidden="false" customHeight="false" outlineLevel="0" collapsed="false">
      <c r="B16" s="26"/>
      <c r="C16" s="27"/>
      <c r="D16" s="28" t="str">
        <f aca="false">IF(C16="","",IFERROR(INDEX(Players!$C$5:$C$104,MATCH(C16,Players!$B$5:$B$104,0)),"ID not found"))</f>
        <v/>
      </c>
      <c r="E16" s="27"/>
      <c r="F16" s="28" t="str">
        <f aca="false">IF(E16="","",IFERROR(INDEX('Med Ball Library'!$C$6:$C$19,MATCH(E16,'Med Ball Library'!$B$6:$B$19,0)),"Unknown ID"))</f>
        <v/>
      </c>
      <c r="G16" s="27"/>
      <c r="H16" s="27"/>
      <c r="I16" s="27"/>
      <c r="J16" s="27"/>
      <c r="K16" s="28" t="str">
        <f aca="false">IF(COUNT(H16,I16,J16)&lt;3,"",H16*I16*J16)</f>
        <v/>
      </c>
      <c r="L16" s="27"/>
      <c r="M16" s="27"/>
      <c r="N16" s="27"/>
      <c r="O16" s="27"/>
      <c r="P16" s="27"/>
    </row>
    <row r="17" customFormat="false" ht="15" hidden="false" customHeight="false" outlineLevel="0" collapsed="false">
      <c r="B17" s="26"/>
      <c r="C17" s="27"/>
      <c r="D17" s="28" t="str">
        <f aca="false">IF(C17="","",IFERROR(INDEX(Players!$C$5:$C$104,MATCH(C17,Players!$B$5:$B$104,0)),"ID not found"))</f>
        <v/>
      </c>
      <c r="E17" s="27"/>
      <c r="F17" s="28" t="str">
        <f aca="false">IF(E17="","",IFERROR(INDEX('Med Ball Library'!$C$6:$C$19,MATCH(E17,'Med Ball Library'!$B$6:$B$19,0)),"Unknown ID"))</f>
        <v/>
      </c>
      <c r="G17" s="27"/>
      <c r="H17" s="27"/>
      <c r="I17" s="27"/>
      <c r="J17" s="27"/>
      <c r="K17" s="28" t="str">
        <f aca="false">IF(COUNT(H17,I17,J17)&lt;3,"",H17*I17*J17)</f>
        <v/>
      </c>
      <c r="L17" s="27"/>
      <c r="M17" s="27"/>
      <c r="N17" s="27"/>
      <c r="O17" s="27"/>
      <c r="P17" s="27"/>
    </row>
    <row r="18" customFormat="false" ht="15" hidden="false" customHeight="false" outlineLevel="0" collapsed="false">
      <c r="B18" s="26"/>
      <c r="C18" s="27"/>
      <c r="D18" s="28" t="str">
        <f aca="false">IF(C18="","",IFERROR(INDEX(Players!$C$5:$C$104,MATCH(C18,Players!$B$5:$B$104,0)),"ID not found"))</f>
        <v/>
      </c>
      <c r="E18" s="27"/>
      <c r="F18" s="28" t="str">
        <f aca="false">IF(E18="","",IFERROR(INDEX('Med Ball Library'!$C$6:$C$19,MATCH(E18,'Med Ball Library'!$B$6:$B$19,0)),"Unknown ID"))</f>
        <v/>
      </c>
      <c r="G18" s="27"/>
      <c r="H18" s="27"/>
      <c r="I18" s="27"/>
      <c r="J18" s="27"/>
      <c r="K18" s="28" t="str">
        <f aca="false">IF(COUNT(H18,I18,J18)&lt;3,"",H18*I18*J18)</f>
        <v/>
      </c>
      <c r="L18" s="27"/>
      <c r="M18" s="27"/>
      <c r="N18" s="27"/>
      <c r="O18" s="27"/>
      <c r="P18" s="27"/>
    </row>
    <row r="19" customFormat="false" ht="15" hidden="false" customHeight="false" outlineLevel="0" collapsed="false">
      <c r="B19" s="26"/>
      <c r="C19" s="27"/>
      <c r="D19" s="28" t="str">
        <f aca="false">IF(C19="","",IFERROR(INDEX(Players!$C$5:$C$104,MATCH(C19,Players!$B$5:$B$104,0)),"ID not found"))</f>
        <v/>
      </c>
      <c r="E19" s="27"/>
      <c r="F19" s="28" t="str">
        <f aca="false">IF(E19="","",IFERROR(INDEX('Med Ball Library'!$C$6:$C$19,MATCH(E19,'Med Ball Library'!$B$6:$B$19,0)),"Unknown ID"))</f>
        <v/>
      </c>
      <c r="G19" s="27"/>
      <c r="H19" s="27"/>
      <c r="I19" s="27"/>
      <c r="J19" s="27"/>
      <c r="K19" s="28" t="str">
        <f aca="false">IF(COUNT(H19,I19,J19)&lt;3,"",H19*I19*J19)</f>
        <v/>
      </c>
      <c r="L19" s="27"/>
      <c r="M19" s="27"/>
      <c r="N19" s="27"/>
      <c r="O19" s="27"/>
      <c r="P19" s="27"/>
    </row>
    <row r="20" customFormat="false" ht="15" hidden="false" customHeight="false" outlineLevel="0" collapsed="false">
      <c r="B20" s="26"/>
      <c r="C20" s="27"/>
      <c r="D20" s="28" t="str">
        <f aca="false">IF(C20="","",IFERROR(INDEX(Players!$C$5:$C$104,MATCH(C20,Players!$B$5:$B$104,0)),"ID not found"))</f>
        <v/>
      </c>
      <c r="E20" s="27"/>
      <c r="F20" s="28" t="str">
        <f aca="false">IF(E20="","",IFERROR(INDEX('Med Ball Library'!$C$6:$C$19,MATCH(E20,'Med Ball Library'!$B$6:$B$19,0)),"Unknown ID"))</f>
        <v/>
      </c>
      <c r="G20" s="27"/>
      <c r="H20" s="27"/>
      <c r="I20" s="27"/>
      <c r="J20" s="27"/>
      <c r="K20" s="28" t="str">
        <f aca="false">IF(COUNT(H20,I20,J20)&lt;3,"",H20*I20*J20)</f>
        <v/>
      </c>
      <c r="L20" s="27"/>
      <c r="M20" s="27"/>
      <c r="N20" s="27"/>
      <c r="O20" s="27"/>
      <c r="P20" s="27"/>
    </row>
    <row r="21" customFormat="false" ht="15" hidden="false" customHeight="false" outlineLevel="0" collapsed="false">
      <c r="B21" s="26"/>
      <c r="C21" s="27"/>
      <c r="D21" s="28" t="str">
        <f aca="false">IF(C21="","",IFERROR(INDEX(Players!$C$5:$C$104,MATCH(C21,Players!$B$5:$B$104,0)),"ID not found"))</f>
        <v/>
      </c>
      <c r="E21" s="27"/>
      <c r="F21" s="28" t="str">
        <f aca="false">IF(E21="","",IFERROR(INDEX('Med Ball Library'!$C$6:$C$19,MATCH(E21,'Med Ball Library'!$B$6:$B$19,0)),"Unknown ID"))</f>
        <v/>
      </c>
      <c r="G21" s="27"/>
      <c r="H21" s="27"/>
      <c r="I21" s="27"/>
      <c r="J21" s="27"/>
      <c r="K21" s="28" t="str">
        <f aca="false">IF(COUNT(H21,I21,J21)&lt;3,"",H21*I21*J21)</f>
        <v/>
      </c>
      <c r="L21" s="27"/>
      <c r="M21" s="27"/>
      <c r="N21" s="27"/>
      <c r="O21" s="27"/>
      <c r="P21" s="27"/>
    </row>
    <row r="22" customFormat="false" ht="15" hidden="false" customHeight="false" outlineLevel="0" collapsed="false">
      <c r="B22" s="26"/>
      <c r="C22" s="27"/>
      <c r="D22" s="28" t="str">
        <f aca="false">IF(C22="","",IFERROR(INDEX(Players!$C$5:$C$104,MATCH(C22,Players!$B$5:$B$104,0)),"ID not found"))</f>
        <v/>
      </c>
      <c r="E22" s="27"/>
      <c r="F22" s="28" t="str">
        <f aca="false">IF(E22="","",IFERROR(INDEX('Med Ball Library'!$C$6:$C$19,MATCH(E22,'Med Ball Library'!$B$6:$B$19,0)),"Unknown ID"))</f>
        <v/>
      </c>
      <c r="G22" s="27"/>
      <c r="H22" s="27"/>
      <c r="I22" s="27"/>
      <c r="J22" s="27"/>
      <c r="K22" s="28" t="str">
        <f aca="false">IF(COUNT(H22,I22,J22)&lt;3,"",H22*I22*J22)</f>
        <v/>
      </c>
      <c r="L22" s="27"/>
      <c r="M22" s="27"/>
      <c r="N22" s="27"/>
      <c r="O22" s="27"/>
      <c r="P22" s="27"/>
    </row>
    <row r="23" customFormat="false" ht="15" hidden="false" customHeight="false" outlineLevel="0" collapsed="false">
      <c r="B23" s="26"/>
      <c r="C23" s="27"/>
      <c r="D23" s="28" t="str">
        <f aca="false">IF(C23="","",IFERROR(INDEX(Players!$C$5:$C$104,MATCH(C23,Players!$B$5:$B$104,0)),"ID not found"))</f>
        <v/>
      </c>
      <c r="E23" s="27"/>
      <c r="F23" s="28" t="str">
        <f aca="false">IF(E23="","",IFERROR(INDEX('Med Ball Library'!$C$6:$C$19,MATCH(E23,'Med Ball Library'!$B$6:$B$19,0)),"Unknown ID"))</f>
        <v/>
      </c>
      <c r="G23" s="27"/>
      <c r="H23" s="27"/>
      <c r="I23" s="27"/>
      <c r="J23" s="27"/>
      <c r="K23" s="28" t="str">
        <f aca="false">IF(COUNT(H23,I23,J23)&lt;3,"",H23*I23*J23)</f>
        <v/>
      </c>
      <c r="L23" s="27"/>
      <c r="M23" s="27"/>
      <c r="N23" s="27"/>
      <c r="O23" s="27"/>
      <c r="P23" s="27"/>
    </row>
    <row r="24" customFormat="false" ht="15" hidden="false" customHeight="false" outlineLevel="0" collapsed="false">
      <c r="B24" s="26"/>
      <c r="C24" s="27"/>
      <c r="D24" s="28" t="str">
        <f aca="false">IF(C24="","",IFERROR(INDEX(Players!$C$5:$C$104,MATCH(C24,Players!$B$5:$B$104,0)),"ID not found"))</f>
        <v/>
      </c>
      <c r="E24" s="27"/>
      <c r="F24" s="28" t="str">
        <f aca="false">IF(E24="","",IFERROR(INDEX('Med Ball Library'!$C$6:$C$19,MATCH(E24,'Med Ball Library'!$B$6:$B$19,0)),"Unknown ID"))</f>
        <v/>
      </c>
      <c r="G24" s="27"/>
      <c r="H24" s="27"/>
      <c r="I24" s="27"/>
      <c r="J24" s="27"/>
      <c r="K24" s="28" t="str">
        <f aca="false">IF(COUNT(H24,I24,J24)&lt;3,"",H24*I24*J24)</f>
        <v/>
      </c>
      <c r="L24" s="27"/>
      <c r="M24" s="27"/>
      <c r="N24" s="27"/>
      <c r="O24" s="27"/>
      <c r="P24" s="27"/>
    </row>
    <row r="25" customFormat="false" ht="15" hidden="false" customHeight="false" outlineLevel="0" collapsed="false">
      <c r="B25" s="26"/>
      <c r="C25" s="27"/>
      <c r="D25" s="28" t="str">
        <f aca="false">IF(C25="","",IFERROR(INDEX(Players!$C$5:$C$104,MATCH(C25,Players!$B$5:$B$104,0)),"ID not found"))</f>
        <v/>
      </c>
      <c r="E25" s="27"/>
      <c r="F25" s="28" t="str">
        <f aca="false">IF(E25="","",IFERROR(INDEX('Med Ball Library'!$C$6:$C$19,MATCH(E25,'Med Ball Library'!$B$6:$B$19,0)),"Unknown ID"))</f>
        <v/>
      </c>
      <c r="G25" s="27"/>
      <c r="H25" s="27"/>
      <c r="I25" s="27"/>
      <c r="J25" s="27"/>
      <c r="K25" s="28" t="str">
        <f aca="false">IF(COUNT(H25,I25,J25)&lt;3,"",H25*I25*J25)</f>
        <v/>
      </c>
      <c r="L25" s="27"/>
      <c r="M25" s="27"/>
      <c r="N25" s="27"/>
      <c r="O25" s="27"/>
      <c r="P25" s="27"/>
    </row>
    <row r="26" customFormat="false" ht="15" hidden="false" customHeight="false" outlineLevel="0" collapsed="false">
      <c r="B26" s="26"/>
      <c r="C26" s="27"/>
      <c r="D26" s="28" t="str">
        <f aca="false">IF(C26="","",IFERROR(INDEX(Players!$C$5:$C$104,MATCH(C26,Players!$B$5:$B$104,0)),"ID not found"))</f>
        <v/>
      </c>
      <c r="E26" s="27"/>
      <c r="F26" s="28" t="str">
        <f aca="false">IF(E26="","",IFERROR(INDEX('Med Ball Library'!$C$6:$C$19,MATCH(E26,'Med Ball Library'!$B$6:$B$19,0)),"Unknown ID"))</f>
        <v/>
      </c>
      <c r="G26" s="27"/>
      <c r="H26" s="27"/>
      <c r="I26" s="27"/>
      <c r="J26" s="27"/>
      <c r="K26" s="28" t="str">
        <f aca="false">IF(COUNT(H26,I26,J26)&lt;3,"",H26*I26*J26)</f>
        <v/>
      </c>
      <c r="L26" s="27"/>
      <c r="M26" s="27"/>
      <c r="N26" s="27"/>
      <c r="O26" s="27"/>
      <c r="P26" s="27"/>
    </row>
    <row r="27" customFormat="false" ht="15" hidden="false" customHeight="false" outlineLevel="0" collapsed="false">
      <c r="B27" s="26"/>
      <c r="C27" s="27"/>
      <c r="D27" s="28" t="str">
        <f aca="false">IF(C27="","",IFERROR(INDEX(Players!$C$5:$C$104,MATCH(C27,Players!$B$5:$B$104,0)),"ID not found"))</f>
        <v/>
      </c>
      <c r="E27" s="27"/>
      <c r="F27" s="28" t="str">
        <f aca="false">IF(E27="","",IFERROR(INDEX('Med Ball Library'!$C$6:$C$19,MATCH(E27,'Med Ball Library'!$B$6:$B$19,0)),"Unknown ID"))</f>
        <v/>
      </c>
      <c r="G27" s="27"/>
      <c r="H27" s="27"/>
      <c r="I27" s="27"/>
      <c r="J27" s="27"/>
      <c r="K27" s="28" t="str">
        <f aca="false">IF(COUNT(H27,I27,J27)&lt;3,"",H27*I27*J27)</f>
        <v/>
      </c>
      <c r="L27" s="27"/>
      <c r="M27" s="27"/>
      <c r="N27" s="27"/>
      <c r="O27" s="27"/>
      <c r="P27" s="27"/>
    </row>
    <row r="28" customFormat="false" ht="15" hidden="false" customHeight="false" outlineLevel="0" collapsed="false">
      <c r="B28" s="26"/>
      <c r="C28" s="27"/>
      <c r="D28" s="28" t="str">
        <f aca="false">IF(C28="","",IFERROR(INDEX(Players!$C$5:$C$104,MATCH(C28,Players!$B$5:$B$104,0)),"ID not found"))</f>
        <v/>
      </c>
      <c r="E28" s="27"/>
      <c r="F28" s="28" t="str">
        <f aca="false">IF(E28="","",IFERROR(INDEX('Med Ball Library'!$C$6:$C$19,MATCH(E28,'Med Ball Library'!$B$6:$B$19,0)),"Unknown ID"))</f>
        <v/>
      </c>
      <c r="G28" s="27"/>
      <c r="H28" s="27"/>
      <c r="I28" s="27"/>
      <c r="J28" s="27"/>
      <c r="K28" s="28" t="str">
        <f aca="false">IF(COUNT(H28,I28,J28)&lt;3,"",H28*I28*J28)</f>
        <v/>
      </c>
      <c r="L28" s="27"/>
      <c r="M28" s="27"/>
      <c r="N28" s="27"/>
      <c r="O28" s="27"/>
      <c r="P28" s="27"/>
    </row>
    <row r="29" customFormat="false" ht="15" hidden="false" customHeight="false" outlineLevel="0" collapsed="false">
      <c r="B29" s="26"/>
      <c r="C29" s="27"/>
      <c r="D29" s="28" t="str">
        <f aca="false">IF(C29="","",IFERROR(INDEX(Players!$C$5:$C$104,MATCH(C29,Players!$B$5:$B$104,0)),"ID not found"))</f>
        <v/>
      </c>
      <c r="E29" s="27"/>
      <c r="F29" s="28" t="str">
        <f aca="false">IF(E29="","",IFERROR(INDEX('Med Ball Library'!$C$6:$C$19,MATCH(E29,'Med Ball Library'!$B$6:$B$19,0)),"Unknown ID"))</f>
        <v/>
      </c>
      <c r="G29" s="27"/>
      <c r="H29" s="27"/>
      <c r="I29" s="27"/>
      <c r="J29" s="27"/>
      <c r="K29" s="28" t="str">
        <f aca="false">IF(COUNT(H29,I29,J29)&lt;3,"",H29*I29*J29)</f>
        <v/>
      </c>
      <c r="L29" s="27"/>
      <c r="M29" s="27"/>
      <c r="N29" s="27"/>
      <c r="O29" s="27"/>
      <c r="P29" s="27"/>
    </row>
    <row r="30" customFormat="false" ht="15" hidden="false" customHeight="false" outlineLevel="0" collapsed="false">
      <c r="B30" s="26"/>
      <c r="C30" s="27"/>
      <c r="D30" s="28" t="str">
        <f aca="false">IF(C30="","",IFERROR(INDEX(Players!$C$5:$C$104,MATCH(C30,Players!$B$5:$B$104,0)),"ID not found"))</f>
        <v/>
      </c>
      <c r="E30" s="27"/>
      <c r="F30" s="28" t="str">
        <f aca="false">IF(E30="","",IFERROR(INDEX('Med Ball Library'!$C$6:$C$19,MATCH(E30,'Med Ball Library'!$B$6:$B$19,0)),"Unknown ID"))</f>
        <v/>
      </c>
      <c r="G30" s="27"/>
      <c r="H30" s="27"/>
      <c r="I30" s="27"/>
      <c r="J30" s="27"/>
      <c r="K30" s="28" t="str">
        <f aca="false">IF(COUNT(H30,I30,J30)&lt;3,"",H30*I30*J30)</f>
        <v/>
      </c>
      <c r="L30" s="27"/>
      <c r="M30" s="27"/>
      <c r="N30" s="27"/>
      <c r="O30" s="27"/>
      <c r="P30" s="27"/>
    </row>
    <row r="31" customFormat="false" ht="15" hidden="false" customHeight="false" outlineLevel="0" collapsed="false">
      <c r="B31" s="26"/>
      <c r="C31" s="27"/>
      <c r="D31" s="28" t="str">
        <f aca="false">IF(C31="","",IFERROR(INDEX(Players!$C$5:$C$104,MATCH(C31,Players!$B$5:$B$104,0)),"ID not found"))</f>
        <v/>
      </c>
      <c r="E31" s="27"/>
      <c r="F31" s="28" t="str">
        <f aca="false">IF(E31="","",IFERROR(INDEX('Med Ball Library'!$C$6:$C$19,MATCH(E31,'Med Ball Library'!$B$6:$B$19,0)),"Unknown ID"))</f>
        <v/>
      </c>
      <c r="G31" s="27"/>
      <c r="H31" s="27"/>
      <c r="I31" s="27"/>
      <c r="J31" s="27"/>
      <c r="K31" s="28" t="str">
        <f aca="false">IF(COUNT(H31,I31,J31)&lt;3,"",H31*I31*J31)</f>
        <v/>
      </c>
      <c r="L31" s="27"/>
      <c r="M31" s="27"/>
      <c r="N31" s="27"/>
      <c r="O31" s="27"/>
      <c r="P31" s="27"/>
    </row>
    <row r="32" customFormat="false" ht="15" hidden="false" customHeight="false" outlineLevel="0" collapsed="false">
      <c r="B32" s="26"/>
      <c r="C32" s="27"/>
      <c r="D32" s="28" t="str">
        <f aca="false">IF(C32="","",IFERROR(INDEX(Players!$C$5:$C$104,MATCH(C32,Players!$B$5:$B$104,0)),"ID not found"))</f>
        <v/>
      </c>
      <c r="E32" s="27"/>
      <c r="F32" s="28" t="str">
        <f aca="false">IF(E32="","",IFERROR(INDEX('Med Ball Library'!$C$6:$C$19,MATCH(E32,'Med Ball Library'!$B$6:$B$19,0)),"Unknown ID"))</f>
        <v/>
      </c>
      <c r="G32" s="27"/>
      <c r="H32" s="27"/>
      <c r="I32" s="27"/>
      <c r="J32" s="27"/>
      <c r="K32" s="28" t="str">
        <f aca="false">IF(COUNT(H32,I32,J32)&lt;3,"",H32*I32*J32)</f>
        <v/>
      </c>
      <c r="L32" s="27"/>
      <c r="M32" s="27"/>
      <c r="N32" s="27"/>
      <c r="O32" s="27"/>
      <c r="P32" s="27"/>
    </row>
    <row r="33" customFormat="false" ht="15" hidden="false" customHeight="false" outlineLevel="0" collapsed="false">
      <c r="B33" s="26"/>
      <c r="C33" s="27"/>
      <c r="D33" s="28" t="str">
        <f aca="false">IF(C33="","",IFERROR(INDEX(Players!$C$5:$C$104,MATCH(C33,Players!$B$5:$B$104,0)),"ID not found"))</f>
        <v/>
      </c>
      <c r="E33" s="27"/>
      <c r="F33" s="28" t="str">
        <f aca="false">IF(E33="","",IFERROR(INDEX('Med Ball Library'!$C$6:$C$19,MATCH(E33,'Med Ball Library'!$B$6:$B$19,0)),"Unknown ID"))</f>
        <v/>
      </c>
      <c r="G33" s="27"/>
      <c r="H33" s="27"/>
      <c r="I33" s="27"/>
      <c r="J33" s="27"/>
      <c r="K33" s="28" t="str">
        <f aca="false">IF(COUNT(H33,I33,J33)&lt;3,"",H33*I33*J33)</f>
        <v/>
      </c>
      <c r="L33" s="27"/>
      <c r="M33" s="27"/>
      <c r="N33" s="27"/>
      <c r="O33" s="27"/>
      <c r="P33" s="27"/>
    </row>
    <row r="34" customFormat="false" ht="15" hidden="false" customHeight="false" outlineLevel="0" collapsed="false">
      <c r="B34" s="26"/>
      <c r="C34" s="27"/>
      <c r="D34" s="28" t="str">
        <f aca="false">IF(C34="","",IFERROR(INDEX(Players!$C$5:$C$104,MATCH(C34,Players!$B$5:$B$104,0)),"ID not found"))</f>
        <v/>
      </c>
      <c r="E34" s="27"/>
      <c r="F34" s="28" t="str">
        <f aca="false">IF(E34="","",IFERROR(INDEX('Med Ball Library'!$C$6:$C$19,MATCH(E34,'Med Ball Library'!$B$6:$B$19,0)),"Unknown ID"))</f>
        <v/>
      </c>
      <c r="G34" s="27"/>
      <c r="H34" s="27"/>
      <c r="I34" s="27"/>
      <c r="J34" s="27"/>
      <c r="K34" s="28" t="str">
        <f aca="false">IF(COUNT(H34,I34,J34)&lt;3,"",H34*I34*J34)</f>
        <v/>
      </c>
      <c r="L34" s="27"/>
      <c r="M34" s="27"/>
      <c r="N34" s="27"/>
      <c r="O34" s="27"/>
      <c r="P34" s="27"/>
    </row>
    <row r="35" customFormat="false" ht="15" hidden="false" customHeight="false" outlineLevel="0" collapsed="false">
      <c r="B35" s="26"/>
      <c r="C35" s="27"/>
      <c r="D35" s="28" t="str">
        <f aca="false">IF(C35="","",IFERROR(INDEX(Players!$C$5:$C$104,MATCH(C35,Players!$B$5:$B$104,0)),"ID not found"))</f>
        <v/>
      </c>
      <c r="E35" s="27"/>
      <c r="F35" s="28" t="str">
        <f aca="false">IF(E35="","",IFERROR(INDEX('Med Ball Library'!$C$6:$C$19,MATCH(E35,'Med Ball Library'!$B$6:$B$19,0)),"Unknown ID"))</f>
        <v/>
      </c>
      <c r="G35" s="27"/>
      <c r="H35" s="27"/>
      <c r="I35" s="27"/>
      <c r="J35" s="27"/>
      <c r="K35" s="28" t="str">
        <f aca="false">IF(COUNT(H35,I35,J35)&lt;3,"",H35*I35*J35)</f>
        <v/>
      </c>
      <c r="L35" s="27"/>
      <c r="M35" s="27"/>
      <c r="N35" s="27"/>
      <c r="O35" s="27"/>
      <c r="P35" s="27"/>
    </row>
    <row r="36" customFormat="false" ht="15" hidden="false" customHeight="false" outlineLevel="0" collapsed="false">
      <c r="B36" s="26"/>
      <c r="C36" s="27"/>
      <c r="D36" s="28" t="str">
        <f aca="false">IF(C36="","",IFERROR(INDEX(Players!$C$5:$C$104,MATCH(C36,Players!$B$5:$B$104,0)),"ID not found"))</f>
        <v/>
      </c>
      <c r="E36" s="27"/>
      <c r="F36" s="28" t="str">
        <f aca="false">IF(E36="","",IFERROR(INDEX('Med Ball Library'!$C$6:$C$19,MATCH(E36,'Med Ball Library'!$B$6:$B$19,0)),"Unknown ID"))</f>
        <v/>
      </c>
      <c r="G36" s="27"/>
      <c r="H36" s="27"/>
      <c r="I36" s="27"/>
      <c r="J36" s="27"/>
      <c r="K36" s="28" t="str">
        <f aca="false">IF(COUNT(H36,I36,J36)&lt;3,"",H36*I36*J36)</f>
        <v/>
      </c>
      <c r="L36" s="27"/>
      <c r="M36" s="27"/>
      <c r="N36" s="27"/>
      <c r="O36" s="27"/>
      <c r="P36" s="27"/>
    </row>
    <row r="37" customFormat="false" ht="15" hidden="false" customHeight="false" outlineLevel="0" collapsed="false">
      <c r="B37" s="26"/>
      <c r="C37" s="27"/>
      <c r="D37" s="28" t="str">
        <f aca="false">IF(C37="","",IFERROR(INDEX(Players!$C$5:$C$104,MATCH(C37,Players!$B$5:$B$104,0)),"ID not found"))</f>
        <v/>
      </c>
      <c r="E37" s="27"/>
      <c r="F37" s="28" t="str">
        <f aca="false">IF(E37="","",IFERROR(INDEX('Med Ball Library'!$C$6:$C$19,MATCH(E37,'Med Ball Library'!$B$6:$B$19,0)),"Unknown ID"))</f>
        <v/>
      </c>
      <c r="G37" s="27"/>
      <c r="H37" s="27"/>
      <c r="I37" s="27"/>
      <c r="J37" s="27"/>
      <c r="K37" s="28" t="str">
        <f aca="false">IF(COUNT(H37,I37,J37)&lt;3,"",H37*I37*J37)</f>
        <v/>
      </c>
      <c r="L37" s="27"/>
      <c r="M37" s="27"/>
      <c r="N37" s="27"/>
      <c r="O37" s="27"/>
      <c r="P37" s="27"/>
    </row>
    <row r="38" customFormat="false" ht="15" hidden="false" customHeight="false" outlineLevel="0" collapsed="false">
      <c r="B38" s="26"/>
      <c r="C38" s="27"/>
      <c r="D38" s="28" t="str">
        <f aca="false">IF(C38="","",IFERROR(INDEX(Players!$C$5:$C$104,MATCH(C38,Players!$B$5:$B$104,0)),"ID not found"))</f>
        <v/>
      </c>
      <c r="E38" s="27"/>
      <c r="F38" s="28" t="str">
        <f aca="false">IF(E38="","",IFERROR(INDEX('Med Ball Library'!$C$6:$C$19,MATCH(E38,'Med Ball Library'!$B$6:$B$19,0)),"Unknown ID"))</f>
        <v/>
      </c>
      <c r="G38" s="27"/>
      <c r="H38" s="27"/>
      <c r="I38" s="27"/>
      <c r="J38" s="27"/>
      <c r="K38" s="28" t="str">
        <f aca="false">IF(COUNT(H38,I38,J38)&lt;3,"",H38*I38*J38)</f>
        <v/>
      </c>
      <c r="L38" s="27"/>
      <c r="M38" s="27"/>
      <c r="N38" s="27"/>
      <c r="O38" s="27"/>
      <c r="P38" s="27"/>
    </row>
    <row r="39" customFormat="false" ht="15" hidden="false" customHeight="false" outlineLevel="0" collapsed="false">
      <c r="B39" s="26"/>
      <c r="C39" s="27"/>
      <c r="D39" s="28" t="str">
        <f aca="false">IF(C39="","",IFERROR(INDEX(Players!$C$5:$C$104,MATCH(C39,Players!$B$5:$B$104,0)),"ID not found"))</f>
        <v/>
      </c>
      <c r="E39" s="27"/>
      <c r="F39" s="28" t="str">
        <f aca="false">IF(E39="","",IFERROR(INDEX('Med Ball Library'!$C$6:$C$19,MATCH(E39,'Med Ball Library'!$B$6:$B$19,0)),"Unknown ID"))</f>
        <v/>
      </c>
      <c r="G39" s="27"/>
      <c r="H39" s="27"/>
      <c r="I39" s="27"/>
      <c r="J39" s="27"/>
      <c r="K39" s="28" t="str">
        <f aca="false">IF(COUNT(H39,I39,J39)&lt;3,"",H39*I39*J39)</f>
        <v/>
      </c>
      <c r="L39" s="27"/>
      <c r="M39" s="27"/>
      <c r="N39" s="27"/>
      <c r="O39" s="27"/>
      <c r="P39" s="27"/>
    </row>
    <row r="40" customFormat="false" ht="15" hidden="false" customHeight="false" outlineLevel="0" collapsed="false">
      <c r="B40" s="26"/>
      <c r="C40" s="27"/>
      <c r="D40" s="28" t="str">
        <f aca="false">IF(C40="","",IFERROR(INDEX(Players!$C$5:$C$104,MATCH(C40,Players!$B$5:$B$104,0)),"ID not found"))</f>
        <v/>
      </c>
      <c r="E40" s="27"/>
      <c r="F40" s="28" t="str">
        <f aca="false">IF(E40="","",IFERROR(INDEX('Med Ball Library'!$C$6:$C$19,MATCH(E40,'Med Ball Library'!$B$6:$B$19,0)),"Unknown ID"))</f>
        <v/>
      </c>
      <c r="G40" s="27"/>
      <c r="H40" s="27"/>
      <c r="I40" s="27"/>
      <c r="J40" s="27"/>
      <c r="K40" s="28" t="str">
        <f aca="false">IF(COUNT(H40,I40,J40)&lt;3,"",H40*I40*J40)</f>
        <v/>
      </c>
      <c r="L40" s="27"/>
      <c r="M40" s="27"/>
      <c r="N40" s="27"/>
      <c r="O40" s="27"/>
      <c r="P40" s="27"/>
    </row>
    <row r="41" customFormat="false" ht="15" hidden="false" customHeight="false" outlineLevel="0" collapsed="false">
      <c r="B41" s="26"/>
      <c r="C41" s="27"/>
      <c r="D41" s="28" t="str">
        <f aca="false">IF(C41="","",IFERROR(INDEX(Players!$C$5:$C$104,MATCH(C41,Players!$B$5:$B$104,0)),"ID not found"))</f>
        <v/>
      </c>
      <c r="E41" s="27"/>
      <c r="F41" s="28" t="str">
        <f aca="false">IF(E41="","",IFERROR(INDEX('Med Ball Library'!$C$6:$C$19,MATCH(E41,'Med Ball Library'!$B$6:$B$19,0)),"Unknown ID"))</f>
        <v/>
      </c>
      <c r="G41" s="27"/>
      <c r="H41" s="27"/>
      <c r="I41" s="27"/>
      <c r="J41" s="27"/>
      <c r="K41" s="28" t="str">
        <f aca="false">IF(COUNT(H41,I41,J41)&lt;3,"",H41*I41*J41)</f>
        <v/>
      </c>
      <c r="L41" s="27"/>
      <c r="M41" s="27"/>
      <c r="N41" s="27"/>
      <c r="O41" s="27"/>
      <c r="P41" s="27"/>
    </row>
    <row r="42" customFormat="false" ht="15" hidden="false" customHeight="false" outlineLevel="0" collapsed="false">
      <c r="B42" s="26"/>
      <c r="C42" s="27"/>
      <c r="D42" s="28" t="str">
        <f aca="false">IF(C42="","",IFERROR(INDEX(Players!$C$5:$C$104,MATCH(C42,Players!$B$5:$B$104,0)),"ID not found"))</f>
        <v/>
      </c>
      <c r="E42" s="27"/>
      <c r="F42" s="28" t="str">
        <f aca="false">IF(E42="","",IFERROR(INDEX('Med Ball Library'!$C$6:$C$19,MATCH(E42,'Med Ball Library'!$B$6:$B$19,0)),"Unknown ID"))</f>
        <v/>
      </c>
      <c r="G42" s="27"/>
      <c r="H42" s="27"/>
      <c r="I42" s="27"/>
      <c r="J42" s="27"/>
      <c r="K42" s="28" t="str">
        <f aca="false">IF(COUNT(H42,I42,J42)&lt;3,"",H42*I42*J42)</f>
        <v/>
      </c>
      <c r="L42" s="27"/>
      <c r="M42" s="27"/>
      <c r="N42" s="27"/>
      <c r="O42" s="27"/>
      <c r="P42" s="27"/>
    </row>
    <row r="43" customFormat="false" ht="15" hidden="false" customHeight="false" outlineLevel="0" collapsed="false">
      <c r="B43" s="26"/>
      <c r="C43" s="27"/>
      <c r="D43" s="28" t="str">
        <f aca="false">IF(C43="","",IFERROR(INDEX(Players!$C$5:$C$104,MATCH(C43,Players!$B$5:$B$104,0)),"ID not found"))</f>
        <v/>
      </c>
      <c r="E43" s="27"/>
      <c r="F43" s="28" t="str">
        <f aca="false">IF(E43="","",IFERROR(INDEX('Med Ball Library'!$C$6:$C$19,MATCH(E43,'Med Ball Library'!$B$6:$B$19,0)),"Unknown ID"))</f>
        <v/>
      </c>
      <c r="G43" s="27"/>
      <c r="H43" s="27"/>
      <c r="I43" s="27"/>
      <c r="J43" s="27"/>
      <c r="K43" s="28" t="str">
        <f aca="false">IF(COUNT(H43,I43,J43)&lt;3,"",H43*I43*J43)</f>
        <v/>
      </c>
      <c r="L43" s="27"/>
      <c r="M43" s="27"/>
      <c r="N43" s="27"/>
      <c r="O43" s="27"/>
      <c r="P43" s="27"/>
    </row>
    <row r="44" customFormat="false" ht="15" hidden="false" customHeight="false" outlineLevel="0" collapsed="false">
      <c r="B44" s="26"/>
      <c r="C44" s="27"/>
      <c r="D44" s="28" t="str">
        <f aca="false">IF(C44="","",IFERROR(INDEX(Players!$C$5:$C$104,MATCH(C44,Players!$B$5:$B$104,0)),"ID not found"))</f>
        <v/>
      </c>
      <c r="E44" s="27"/>
      <c r="F44" s="28" t="str">
        <f aca="false">IF(E44="","",IFERROR(INDEX('Med Ball Library'!$C$6:$C$19,MATCH(E44,'Med Ball Library'!$B$6:$B$19,0)),"Unknown ID"))</f>
        <v/>
      </c>
      <c r="G44" s="27"/>
      <c r="H44" s="27"/>
      <c r="I44" s="27"/>
      <c r="J44" s="27"/>
      <c r="K44" s="28" t="str">
        <f aca="false">IF(COUNT(H44,I44,J44)&lt;3,"",H44*I44*J44)</f>
        <v/>
      </c>
      <c r="L44" s="27"/>
      <c r="M44" s="27"/>
      <c r="N44" s="27"/>
      <c r="O44" s="27"/>
      <c r="P44" s="27"/>
    </row>
    <row r="45" customFormat="false" ht="15" hidden="false" customHeight="false" outlineLevel="0" collapsed="false">
      <c r="B45" s="26"/>
      <c r="C45" s="27"/>
      <c r="D45" s="28" t="str">
        <f aca="false">IF(C45="","",IFERROR(INDEX(Players!$C$5:$C$104,MATCH(C45,Players!$B$5:$B$104,0)),"ID not found"))</f>
        <v/>
      </c>
      <c r="E45" s="27"/>
      <c r="F45" s="28" t="str">
        <f aca="false">IF(E45="","",IFERROR(INDEX('Med Ball Library'!$C$6:$C$19,MATCH(E45,'Med Ball Library'!$B$6:$B$19,0)),"Unknown ID"))</f>
        <v/>
      </c>
      <c r="G45" s="27"/>
      <c r="H45" s="27"/>
      <c r="I45" s="27"/>
      <c r="J45" s="27"/>
      <c r="K45" s="28" t="str">
        <f aca="false">IF(COUNT(H45,I45,J45)&lt;3,"",H45*I45*J45)</f>
        <v/>
      </c>
      <c r="L45" s="27"/>
      <c r="M45" s="27"/>
      <c r="N45" s="27"/>
      <c r="O45" s="27"/>
      <c r="P45" s="27"/>
    </row>
    <row r="46" customFormat="false" ht="15" hidden="false" customHeight="false" outlineLevel="0" collapsed="false">
      <c r="B46" s="26"/>
      <c r="C46" s="27"/>
      <c r="D46" s="28" t="str">
        <f aca="false">IF(C46="","",IFERROR(INDEX(Players!$C$5:$C$104,MATCH(C46,Players!$B$5:$B$104,0)),"ID not found"))</f>
        <v/>
      </c>
      <c r="E46" s="27"/>
      <c r="F46" s="28" t="str">
        <f aca="false">IF(E46="","",IFERROR(INDEX('Med Ball Library'!$C$6:$C$19,MATCH(E46,'Med Ball Library'!$B$6:$B$19,0)),"Unknown ID"))</f>
        <v/>
      </c>
      <c r="G46" s="27"/>
      <c r="H46" s="27"/>
      <c r="I46" s="27"/>
      <c r="J46" s="27"/>
      <c r="K46" s="28" t="str">
        <f aca="false">IF(COUNT(H46,I46,J46)&lt;3,"",H46*I46*J46)</f>
        <v/>
      </c>
      <c r="L46" s="27"/>
      <c r="M46" s="27"/>
      <c r="N46" s="27"/>
      <c r="O46" s="27"/>
      <c r="P46" s="27"/>
    </row>
    <row r="47" customFormat="false" ht="15" hidden="false" customHeight="false" outlineLevel="0" collapsed="false">
      <c r="B47" s="26"/>
      <c r="C47" s="27"/>
      <c r="D47" s="28" t="str">
        <f aca="false">IF(C47="","",IFERROR(INDEX(Players!$C$5:$C$104,MATCH(C47,Players!$B$5:$B$104,0)),"ID not found"))</f>
        <v/>
      </c>
      <c r="E47" s="27"/>
      <c r="F47" s="28" t="str">
        <f aca="false">IF(E47="","",IFERROR(INDEX('Med Ball Library'!$C$6:$C$19,MATCH(E47,'Med Ball Library'!$B$6:$B$19,0)),"Unknown ID"))</f>
        <v/>
      </c>
      <c r="G47" s="27"/>
      <c r="H47" s="27"/>
      <c r="I47" s="27"/>
      <c r="J47" s="27"/>
      <c r="K47" s="28" t="str">
        <f aca="false">IF(COUNT(H47,I47,J47)&lt;3,"",H47*I47*J47)</f>
        <v/>
      </c>
      <c r="L47" s="27"/>
      <c r="M47" s="27"/>
      <c r="N47" s="27"/>
      <c r="O47" s="27"/>
      <c r="P47" s="27"/>
    </row>
    <row r="48" customFormat="false" ht="15" hidden="false" customHeight="false" outlineLevel="0" collapsed="false">
      <c r="B48" s="26"/>
      <c r="C48" s="27"/>
      <c r="D48" s="28" t="str">
        <f aca="false">IF(C48="","",IFERROR(INDEX(Players!$C$5:$C$104,MATCH(C48,Players!$B$5:$B$104,0)),"ID not found"))</f>
        <v/>
      </c>
      <c r="E48" s="27"/>
      <c r="F48" s="28" t="str">
        <f aca="false">IF(E48="","",IFERROR(INDEX('Med Ball Library'!$C$6:$C$19,MATCH(E48,'Med Ball Library'!$B$6:$B$19,0)),"Unknown ID"))</f>
        <v/>
      </c>
      <c r="G48" s="27"/>
      <c r="H48" s="27"/>
      <c r="I48" s="27"/>
      <c r="J48" s="27"/>
      <c r="K48" s="28" t="str">
        <f aca="false">IF(COUNT(H48,I48,J48)&lt;3,"",H48*I48*J48)</f>
        <v/>
      </c>
      <c r="L48" s="27"/>
      <c r="M48" s="27"/>
      <c r="N48" s="27"/>
      <c r="O48" s="27"/>
      <c r="P48" s="27"/>
    </row>
    <row r="49" customFormat="false" ht="15" hidden="false" customHeight="false" outlineLevel="0" collapsed="false">
      <c r="B49" s="26"/>
      <c r="C49" s="27"/>
      <c r="D49" s="28" t="str">
        <f aca="false">IF(C49="","",IFERROR(INDEX(Players!$C$5:$C$104,MATCH(C49,Players!$B$5:$B$104,0)),"ID not found"))</f>
        <v/>
      </c>
      <c r="E49" s="27"/>
      <c r="F49" s="28" t="str">
        <f aca="false">IF(E49="","",IFERROR(INDEX('Med Ball Library'!$C$6:$C$19,MATCH(E49,'Med Ball Library'!$B$6:$B$19,0)),"Unknown ID"))</f>
        <v/>
      </c>
      <c r="G49" s="27"/>
      <c r="H49" s="27"/>
      <c r="I49" s="27"/>
      <c r="J49" s="27"/>
      <c r="K49" s="28" t="str">
        <f aca="false">IF(COUNT(H49,I49,J49)&lt;3,"",H49*I49*J49)</f>
        <v/>
      </c>
      <c r="L49" s="27"/>
      <c r="M49" s="27"/>
      <c r="N49" s="27"/>
      <c r="O49" s="27"/>
      <c r="P49" s="27"/>
    </row>
    <row r="50" customFormat="false" ht="15" hidden="false" customHeight="false" outlineLevel="0" collapsed="false">
      <c r="B50" s="26"/>
      <c r="C50" s="27"/>
      <c r="D50" s="28" t="str">
        <f aca="false">IF(C50="","",IFERROR(INDEX(Players!$C$5:$C$104,MATCH(C50,Players!$B$5:$B$104,0)),"ID not found"))</f>
        <v/>
      </c>
      <c r="E50" s="27"/>
      <c r="F50" s="28" t="str">
        <f aca="false">IF(E50="","",IFERROR(INDEX('Med Ball Library'!$C$6:$C$19,MATCH(E50,'Med Ball Library'!$B$6:$B$19,0)),"Unknown ID"))</f>
        <v/>
      </c>
      <c r="G50" s="27"/>
      <c r="H50" s="27"/>
      <c r="I50" s="27"/>
      <c r="J50" s="27"/>
      <c r="K50" s="28" t="str">
        <f aca="false">IF(COUNT(H50,I50,J50)&lt;3,"",H50*I50*J50)</f>
        <v/>
      </c>
      <c r="L50" s="27"/>
      <c r="M50" s="27"/>
      <c r="N50" s="27"/>
      <c r="O50" s="27"/>
      <c r="P50" s="27"/>
    </row>
    <row r="51" customFormat="false" ht="15" hidden="false" customHeight="false" outlineLevel="0" collapsed="false">
      <c r="B51" s="26"/>
      <c r="C51" s="27"/>
      <c r="D51" s="28" t="str">
        <f aca="false">IF(C51="","",IFERROR(INDEX(Players!$C$5:$C$104,MATCH(C51,Players!$B$5:$B$104,0)),"ID not found"))</f>
        <v/>
      </c>
      <c r="E51" s="27"/>
      <c r="F51" s="28" t="str">
        <f aca="false">IF(E51="","",IFERROR(INDEX('Med Ball Library'!$C$6:$C$19,MATCH(E51,'Med Ball Library'!$B$6:$B$19,0)),"Unknown ID"))</f>
        <v/>
      </c>
      <c r="G51" s="27"/>
      <c r="H51" s="27"/>
      <c r="I51" s="27"/>
      <c r="J51" s="27"/>
      <c r="K51" s="28" t="str">
        <f aca="false">IF(COUNT(H51,I51,J51)&lt;3,"",H51*I51*J51)</f>
        <v/>
      </c>
      <c r="L51" s="27"/>
      <c r="M51" s="27"/>
      <c r="N51" s="27"/>
      <c r="O51" s="27"/>
      <c r="P51" s="27"/>
    </row>
    <row r="52" customFormat="false" ht="15" hidden="false" customHeight="false" outlineLevel="0" collapsed="false">
      <c r="B52" s="26"/>
      <c r="C52" s="27"/>
      <c r="D52" s="28" t="str">
        <f aca="false">IF(C52="","",IFERROR(INDEX(Players!$C$5:$C$104,MATCH(C52,Players!$B$5:$B$104,0)),"ID not found"))</f>
        <v/>
      </c>
      <c r="E52" s="27"/>
      <c r="F52" s="28" t="str">
        <f aca="false">IF(E52="","",IFERROR(INDEX('Med Ball Library'!$C$6:$C$19,MATCH(E52,'Med Ball Library'!$B$6:$B$19,0)),"Unknown ID"))</f>
        <v/>
      </c>
      <c r="G52" s="27"/>
      <c r="H52" s="27"/>
      <c r="I52" s="27"/>
      <c r="J52" s="27"/>
      <c r="K52" s="28" t="str">
        <f aca="false">IF(COUNT(H52,I52,J52)&lt;3,"",H52*I52*J52)</f>
        <v/>
      </c>
      <c r="L52" s="27"/>
      <c r="M52" s="27"/>
      <c r="N52" s="27"/>
      <c r="O52" s="27"/>
      <c r="P52" s="27"/>
    </row>
    <row r="53" customFormat="false" ht="15" hidden="false" customHeight="false" outlineLevel="0" collapsed="false">
      <c r="B53" s="26"/>
      <c r="C53" s="27"/>
      <c r="D53" s="28" t="str">
        <f aca="false">IF(C53="","",IFERROR(INDEX(Players!$C$5:$C$104,MATCH(C53,Players!$B$5:$B$104,0)),"ID not found"))</f>
        <v/>
      </c>
      <c r="E53" s="27"/>
      <c r="F53" s="28" t="str">
        <f aca="false">IF(E53="","",IFERROR(INDEX('Med Ball Library'!$C$6:$C$19,MATCH(E53,'Med Ball Library'!$B$6:$B$19,0)),"Unknown ID"))</f>
        <v/>
      </c>
      <c r="G53" s="27"/>
      <c r="H53" s="27"/>
      <c r="I53" s="27"/>
      <c r="J53" s="27"/>
      <c r="K53" s="28" t="str">
        <f aca="false">IF(COUNT(H53,I53,J53)&lt;3,"",H53*I53*J53)</f>
        <v/>
      </c>
      <c r="L53" s="27"/>
      <c r="M53" s="27"/>
      <c r="N53" s="27"/>
      <c r="O53" s="27"/>
      <c r="P53" s="27"/>
    </row>
    <row r="54" customFormat="false" ht="15" hidden="false" customHeight="false" outlineLevel="0" collapsed="false">
      <c r="B54" s="26"/>
      <c r="C54" s="27"/>
      <c r="D54" s="28" t="str">
        <f aca="false">IF(C54="","",IFERROR(INDEX(Players!$C$5:$C$104,MATCH(C54,Players!$B$5:$B$104,0)),"ID not found"))</f>
        <v/>
      </c>
      <c r="E54" s="27"/>
      <c r="F54" s="28" t="str">
        <f aca="false">IF(E54="","",IFERROR(INDEX('Med Ball Library'!$C$6:$C$19,MATCH(E54,'Med Ball Library'!$B$6:$B$19,0)),"Unknown ID"))</f>
        <v/>
      </c>
      <c r="G54" s="27"/>
      <c r="H54" s="27"/>
      <c r="I54" s="27"/>
      <c r="J54" s="27"/>
      <c r="K54" s="28" t="str">
        <f aca="false">IF(COUNT(H54,I54,J54)&lt;3,"",H54*I54*J54)</f>
        <v/>
      </c>
      <c r="L54" s="27"/>
      <c r="M54" s="27"/>
      <c r="N54" s="27"/>
      <c r="O54" s="27"/>
      <c r="P54" s="27"/>
    </row>
    <row r="55" customFormat="false" ht="15" hidden="false" customHeight="false" outlineLevel="0" collapsed="false">
      <c r="B55" s="26"/>
      <c r="C55" s="27"/>
      <c r="D55" s="28" t="str">
        <f aca="false">IF(C55="","",IFERROR(INDEX(Players!$C$5:$C$104,MATCH(C55,Players!$B$5:$B$104,0)),"ID not found"))</f>
        <v/>
      </c>
      <c r="E55" s="27"/>
      <c r="F55" s="28" t="str">
        <f aca="false">IF(E55="","",IFERROR(INDEX('Med Ball Library'!$C$6:$C$19,MATCH(E55,'Med Ball Library'!$B$6:$B$19,0)),"Unknown ID"))</f>
        <v/>
      </c>
      <c r="G55" s="27"/>
      <c r="H55" s="27"/>
      <c r="I55" s="27"/>
      <c r="J55" s="27"/>
      <c r="K55" s="28" t="str">
        <f aca="false">IF(COUNT(H55,I55,J55)&lt;3,"",H55*I55*J55)</f>
        <v/>
      </c>
      <c r="L55" s="27"/>
      <c r="M55" s="27"/>
      <c r="N55" s="27"/>
      <c r="O55" s="27"/>
      <c r="P55" s="27"/>
    </row>
    <row r="56" customFormat="false" ht="15" hidden="false" customHeight="false" outlineLevel="0" collapsed="false">
      <c r="B56" s="26"/>
      <c r="C56" s="27"/>
      <c r="D56" s="28" t="str">
        <f aca="false">IF(C56="","",IFERROR(INDEX(Players!$C$5:$C$104,MATCH(C56,Players!$B$5:$B$104,0)),"ID not found"))</f>
        <v/>
      </c>
      <c r="E56" s="27"/>
      <c r="F56" s="28" t="str">
        <f aca="false">IF(E56="","",IFERROR(INDEX('Med Ball Library'!$C$6:$C$19,MATCH(E56,'Med Ball Library'!$B$6:$B$19,0)),"Unknown ID"))</f>
        <v/>
      </c>
      <c r="G56" s="27"/>
      <c r="H56" s="27"/>
      <c r="I56" s="27"/>
      <c r="J56" s="27"/>
      <c r="K56" s="28" t="str">
        <f aca="false">IF(COUNT(H56,I56,J56)&lt;3,"",H56*I56*J56)</f>
        <v/>
      </c>
      <c r="L56" s="27"/>
      <c r="M56" s="27"/>
      <c r="N56" s="27"/>
      <c r="O56" s="27"/>
      <c r="P56" s="27"/>
    </row>
    <row r="57" customFormat="false" ht="15" hidden="false" customHeight="false" outlineLevel="0" collapsed="false">
      <c r="B57" s="26"/>
      <c r="C57" s="27"/>
      <c r="D57" s="28" t="str">
        <f aca="false">IF(C57="","",IFERROR(INDEX(Players!$C$5:$C$104,MATCH(C57,Players!$B$5:$B$104,0)),"ID not found"))</f>
        <v/>
      </c>
      <c r="E57" s="27"/>
      <c r="F57" s="28" t="str">
        <f aca="false">IF(E57="","",IFERROR(INDEX('Med Ball Library'!$C$6:$C$19,MATCH(E57,'Med Ball Library'!$B$6:$B$19,0)),"Unknown ID"))</f>
        <v/>
      </c>
      <c r="G57" s="27"/>
      <c r="H57" s="27"/>
      <c r="I57" s="27"/>
      <c r="J57" s="27"/>
      <c r="K57" s="28" t="str">
        <f aca="false">IF(COUNT(H57,I57,J57)&lt;3,"",H57*I57*J57)</f>
        <v/>
      </c>
      <c r="L57" s="27"/>
      <c r="M57" s="27"/>
      <c r="N57" s="27"/>
      <c r="O57" s="27"/>
      <c r="P57" s="27"/>
    </row>
    <row r="58" customFormat="false" ht="15" hidden="false" customHeight="false" outlineLevel="0" collapsed="false">
      <c r="B58" s="26"/>
      <c r="C58" s="27"/>
      <c r="D58" s="28" t="str">
        <f aca="false">IF(C58="","",IFERROR(INDEX(Players!$C$5:$C$104,MATCH(C58,Players!$B$5:$B$104,0)),"ID not found"))</f>
        <v/>
      </c>
      <c r="E58" s="27"/>
      <c r="F58" s="28" t="str">
        <f aca="false">IF(E58="","",IFERROR(INDEX('Med Ball Library'!$C$6:$C$19,MATCH(E58,'Med Ball Library'!$B$6:$B$19,0)),"Unknown ID"))</f>
        <v/>
      </c>
      <c r="G58" s="27"/>
      <c r="H58" s="27"/>
      <c r="I58" s="27"/>
      <c r="J58" s="27"/>
      <c r="K58" s="28" t="str">
        <f aca="false">IF(COUNT(H58,I58,J58)&lt;3,"",H58*I58*J58)</f>
        <v/>
      </c>
      <c r="L58" s="27"/>
      <c r="M58" s="27"/>
      <c r="N58" s="27"/>
      <c r="O58" s="27"/>
      <c r="P58" s="27"/>
    </row>
    <row r="59" customFormat="false" ht="15" hidden="false" customHeight="false" outlineLevel="0" collapsed="false">
      <c r="B59" s="26"/>
      <c r="C59" s="27"/>
      <c r="D59" s="28" t="str">
        <f aca="false">IF(C59="","",IFERROR(INDEX(Players!$C$5:$C$104,MATCH(C59,Players!$B$5:$B$104,0)),"ID not found"))</f>
        <v/>
      </c>
      <c r="E59" s="27"/>
      <c r="F59" s="28" t="str">
        <f aca="false">IF(E59="","",IFERROR(INDEX('Med Ball Library'!$C$6:$C$19,MATCH(E59,'Med Ball Library'!$B$6:$B$19,0)),"Unknown ID"))</f>
        <v/>
      </c>
      <c r="G59" s="27"/>
      <c r="H59" s="27"/>
      <c r="I59" s="27"/>
      <c r="J59" s="27"/>
      <c r="K59" s="28" t="str">
        <f aca="false">IF(COUNT(H59,I59,J59)&lt;3,"",H59*I59*J59)</f>
        <v/>
      </c>
      <c r="L59" s="27"/>
      <c r="M59" s="27"/>
      <c r="N59" s="27"/>
      <c r="O59" s="27"/>
      <c r="P59" s="27"/>
    </row>
    <row r="60" customFormat="false" ht="15" hidden="false" customHeight="false" outlineLevel="0" collapsed="false">
      <c r="B60" s="26"/>
      <c r="C60" s="27"/>
      <c r="D60" s="28" t="str">
        <f aca="false">IF(C60="","",IFERROR(INDEX(Players!$C$5:$C$104,MATCH(C60,Players!$B$5:$B$104,0)),"ID not found"))</f>
        <v/>
      </c>
      <c r="E60" s="27"/>
      <c r="F60" s="28" t="str">
        <f aca="false">IF(E60="","",IFERROR(INDEX('Med Ball Library'!$C$6:$C$19,MATCH(E60,'Med Ball Library'!$B$6:$B$19,0)),"Unknown ID"))</f>
        <v/>
      </c>
      <c r="G60" s="27"/>
      <c r="H60" s="27"/>
      <c r="I60" s="27"/>
      <c r="J60" s="27"/>
      <c r="K60" s="28" t="str">
        <f aca="false">IF(COUNT(H60,I60,J60)&lt;3,"",H60*I60*J60)</f>
        <v/>
      </c>
      <c r="L60" s="27"/>
      <c r="M60" s="27"/>
      <c r="N60" s="27"/>
      <c r="O60" s="27"/>
      <c r="P60" s="27"/>
    </row>
    <row r="61" customFormat="false" ht="15" hidden="false" customHeight="false" outlineLevel="0" collapsed="false">
      <c r="B61" s="26"/>
      <c r="C61" s="27"/>
      <c r="D61" s="28" t="str">
        <f aca="false">IF(C61="","",IFERROR(INDEX(Players!$C$5:$C$104,MATCH(C61,Players!$B$5:$B$104,0)),"ID not found"))</f>
        <v/>
      </c>
      <c r="E61" s="27"/>
      <c r="F61" s="28" t="str">
        <f aca="false">IF(E61="","",IFERROR(INDEX('Med Ball Library'!$C$6:$C$19,MATCH(E61,'Med Ball Library'!$B$6:$B$19,0)),"Unknown ID"))</f>
        <v/>
      </c>
      <c r="G61" s="27"/>
      <c r="H61" s="27"/>
      <c r="I61" s="27"/>
      <c r="J61" s="27"/>
      <c r="K61" s="28" t="str">
        <f aca="false">IF(COUNT(H61,I61,J61)&lt;3,"",H61*I61*J61)</f>
        <v/>
      </c>
      <c r="L61" s="27"/>
      <c r="M61" s="27"/>
      <c r="N61" s="27"/>
      <c r="O61" s="27"/>
      <c r="P61" s="27"/>
    </row>
    <row r="62" customFormat="false" ht="15" hidden="false" customHeight="false" outlineLevel="0" collapsed="false">
      <c r="B62" s="26"/>
      <c r="C62" s="27"/>
      <c r="D62" s="28" t="str">
        <f aca="false">IF(C62="","",IFERROR(INDEX(Players!$C$5:$C$104,MATCH(C62,Players!$B$5:$B$104,0)),"ID not found"))</f>
        <v/>
      </c>
      <c r="E62" s="27"/>
      <c r="F62" s="28" t="str">
        <f aca="false">IF(E62="","",IFERROR(INDEX('Med Ball Library'!$C$6:$C$19,MATCH(E62,'Med Ball Library'!$B$6:$B$19,0)),"Unknown ID"))</f>
        <v/>
      </c>
      <c r="G62" s="27"/>
      <c r="H62" s="27"/>
      <c r="I62" s="27"/>
      <c r="J62" s="27"/>
      <c r="K62" s="28" t="str">
        <f aca="false">IF(COUNT(H62,I62,J62)&lt;3,"",H62*I62*J62)</f>
        <v/>
      </c>
      <c r="L62" s="27"/>
      <c r="M62" s="27"/>
      <c r="N62" s="27"/>
      <c r="O62" s="27"/>
      <c r="P62" s="27"/>
    </row>
    <row r="63" customFormat="false" ht="15" hidden="false" customHeight="false" outlineLevel="0" collapsed="false">
      <c r="B63" s="26"/>
      <c r="C63" s="27"/>
      <c r="D63" s="28" t="str">
        <f aca="false">IF(C63="","",IFERROR(INDEX(Players!$C$5:$C$104,MATCH(C63,Players!$B$5:$B$104,0)),"ID not found"))</f>
        <v/>
      </c>
      <c r="E63" s="27"/>
      <c r="F63" s="28" t="str">
        <f aca="false">IF(E63="","",IFERROR(INDEX('Med Ball Library'!$C$6:$C$19,MATCH(E63,'Med Ball Library'!$B$6:$B$19,0)),"Unknown ID"))</f>
        <v/>
      </c>
      <c r="G63" s="27"/>
      <c r="H63" s="27"/>
      <c r="I63" s="27"/>
      <c r="J63" s="27"/>
      <c r="K63" s="28" t="str">
        <f aca="false">IF(COUNT(H63,I63,J63)&lt;3,"",H63*I63*J63)</f>
        <v/>
      </c>
      <c r="L63" s="27"/>
      <c r="M63" s="27"/>
      <c r="N63" s="27"/>
      <c r="O63" s="27"/>
      <c r="P63" s="27"/>
    </row>
    <row r="64" customFormat="false" ht="15" hidden="false" customHeight="false" outlineLevel="0" collapsed="false">
      <c r="B64" s="26"/>
      <c r="C64" s="27"/>
      <c r="D64" s="28" t="str">
        <f aca="false">IF(C64="","",IFERROR(INDEX(Players!$C$5:$C$104,MATCH(C64,Players!$B$5:$B$104,0)),"ID not found"))</f>
        <v/>
      </c>
      <c r="E64" s="27"/>
      <c r="F64" s="28" t="str">
        <f aca="false">IF(E64="","",IFERROR(INDEX('Med Ball Library'!$C$6:$C$19,MATCH(E64,'Med Ball Library'!$B$6:$B$19,0)),"Unknown ID"))</f>
        <v/>
      </c>
      <c r="G64" s="27"/>
      <c r="H64" s="27"/>
      <c r="I64" s="27"/>
      <c r="J64" s="27"/>
      <c r="K64" s="28" t="str">
        <f aca="false">IF(COUNT(H64,I64,J64)&lt;3,"",H64*I64*J64)</f>
        <v/>
      </c>
      <c r="L64" s="27"/>
      <c r="M64" s="27"/>
      <c r="N64" s="27"/>
      <c r="O64" s="27"/>
      <c r="P64" s="27"/>
    </row>
    <row r="65" customFormat="false" ht="15" hidden="false" customHeight="false" outlineLevel="0" collapsed="false">
      <c r="B65" s="26"/>
      <c r="C65" s="27"/>
      <c r="D65" s="28" t="str">
        <f aca="false">IF(C65="","",IFERROR(INDEX(Players!$C$5:$C$104,MATCH(C65,Players!$B$5:$B$104,0)),"ID not found"))</f>
        <v/>
      </c>
      <c r="E65" s="27"/>
      <c r="F65" s="28" t="str">
        <f aca="false">IF(E65="","",IFERROR(INDEX('Med Ball Library'!$C$6:$C$19,MATCH(E65,'Med Ball Library'!$B$6:$B$19,0)),"Unknown ID"))</f>
        <v/>
      </c>
      <c r="G65" s="27"/>
      <c r="H65" s="27"/>
      <c r="I65" s="27"/>
      <c r="J65" s="27"/>
      <c r="K65" s="28" t="str">
        <f aca="false">IF(COUNT(H65,I65,J65)&lt;3,"",H65*I65*J65)</f>
        <v/>
      </c>
      <c r="L65" s="27"/>
      <c r="M65" s="27"/>
      <c r="N65" s="27"/>
      <c r="O65" s="27"/>
      <c r="P65" s="27"/>
    </row>
    <row r="66" customFormat="false" ht="15" hidden="false" customHeight="false" outlineLevel="0" collapsed="false">
      <c r="B66" s="26"/>
      <c r="C66" s="27"/>
      <c r="D66" s="28" t="str">
        <f aca="false">IF(C66="","",IFERROR(INDEX(Players!$C$5:$C$104,MATCH(C66,Players!$B$5:$B$104,0)),"ID not found"))</f>
        <v/>
      </c>
      <c r="E66" s="27"/>
      <c r="F66" s="28" t="str">
        <f aca="false">IF(E66="","",IFERROR(INDEX('Med Ball Library'!$C$6:$C$19,MATCH(E66,'Med Ball Library'!$B$6:$B$19,0)),"Unknown ID"))</f>
        <v/>
      </c>
      <c r="G66" s="27"/>
      <c r="H66" s="27"/>
      <c r="I66" s="27"/>
      <c r="J66" s="27"/>
      <c r="K66" s="28" t="str">
        <f aca="false">IF(COUNT(H66,I66,J66)&lt;3,"",H66*I66*J66)</f>
        <v/>
      </c>
      <c r="L66" s="27"/>
      <c r="M66" s="27"/>
      <c r="N66" s="27"/>
      <c r="O66" s="27"/>
      <c r="P66" s="27"/>
    </row>
    <row r="67" customFormat="false" ht="15" hidden="false" customHeight="false" outlineLevel="0" collapsed="false">
      <c r="B67" s="26"/>
      <c r="C67" s="27"/>
      <c r="D67" s="28" t="str">
        <f aca="false">IF(C67="","",IFERROR(INDEX(Players!$C$5:$C$104,MATCH(C67,Players!$B$5:$B$104,0)),"ID not found"))</f>
        <v/>
      </c>
      <c r="E67" s="27"/>
      <c r="F67" s="28" t="str">
        <f aca="false">IF(E67="","",IFERROR(INDEX('Med Ball Library'!$C$6:$C$19,MATCH(E67,'Med Ball Library'!$B$6:$B$19,0)),"Unknown ID"))</f>
        <v/>
      </c>
      <c r="G67" s="27"/>
      <c r="H67" s="27"/>
      <c r="I67" s="27"/>
      <c r="J67" s="27"/>
      <c r="K67" s="28" t="str">
        <f aca="false">IF(COUNT(H67,I67,J67)&lt;3,"",H67*I67*J67)</f>
        <v/>
      </c>
      <c r="L67" s="27"/>
      <c r="M67" s="27"/>
      <c r="N67" s="27"/>
      <c r="O67" s="27"/>
      <c r="P67" s="27"/>
    </row>
    <row r="68" customFormat="false" ht="15" hidden="false" customHeight="false" outlineLevel="0" collapsed="false">
      <c r="B68" s="26"/>
      <c r="C68" s="27"/>
      <c r="D68" s="28" t="str">
        <f aca="false">IF(C68="","",IFERROR(INDEX(Players!$C$5:$C$104,MATCH(C68,Players!$B$5:$B$104,0)),"ID not found"))</f>
        <v/>
      </c>
      <c r="E68" s="27"/>
      <c r="F68" s="28" t="str">
        <f aca="false">IF(E68="","",IFERROR(INDEX('Med Ball Library'!$C$6:$C$19,MATCH(E68,'Med Ball Library'!$B$6:$B$19,0)),"Unknown ID"))</f>
        <v/>
      </c>
      <c r="G68" s="27"/>
      <c r="H68" s="27"/>
      <c r="I68" s="27"/>
      <c r="J68" s="27"/>
      <c r="K68" s="28" t="str">
        <f aca="false">IF(COUNT(H68,I68,J68)&lt;3,"",H68*I68*J68)</f>
        <v/>
      </c>
      <c r="L68" s="27"/>
      <c r="M68" s="27"/>
      <c r="N68" s="27"/>
      <c r="O68" s="27"/>
      <c r="P68" s="27"/>
    </row>
    <row r="69" customFormat="false" ht="15" hidden="false" customHeight="false" outlineLevel="0" collapsed="false">
      <c r="B69" s="26"/>
      <c r="C69" s="27"/>
      <c r="D69" s="28" t="str">
        <f aca="false">IF(C69="","",IFERROR(INDEX(Players!$C$5:$C$104,MATCH(C69,Players!$B$5:$B$104,0)),"ID not found"))</f>
        <v/>
      </c>
      <c r="E69" s="27"/>
      <c r="F69" s="28" t="str">
        <f aca="false">IF(E69="","",IFERROR(INDEX('Med Ball Library'!$C$6:$C$19,MATCH(E69,'Med Ball Library'!$B$6:$B$19,0)),"Unknown ID"))</f>
        <v/>
      </c>
      <c r="G69" s="27"/>
      <c r="H69" s="27"/>
      <c r="I69" s="27"/>
      <c r="J69" s="27"/>
      <c r="K69" s="28" t="str">
        <f aca="false">IF(COUNT(H69,I69,J69)&lt;3,"",H69*I69*J69)</f>
        <v/>
      </c>
      <c r="L69" s="27"/>
      <c r="M69" s="27"/>
      <c r="N69" s="27"/>
      <c r="O69" s="27"/>
      <c r="P69" s="27"/>
    </row>
    <row r="70" customFormat="false" ht="15" hidden="false" customHeight="false" outlineLevel="0" collapsed="false">
      <c r="B70" s="26"/>
      <c r="C70" s="27"/>
      <c r="D70" s="28" t="str">
        <f aca="false">IF(C70="","",IFERROR(INDEX(Players!$C$5:$C$104,MATCH(C70,Players!$B$5:$B$104,0)),"ID not found"))</f>
        <v/>
      </c>
      <c r="E70" s="27"/>
      <c r="F70" s="28" t="str">
        <f aca="false">IF(E70="","",IFERROR(INDEX('Med Ball Library'!$C$6:$C$19,MATCH(E70,'Med Ball Library'!$B$6:$B$19,0)),"Unknown ID"))</f>
        <v/>
      </c>
      <c r="G70" s="27"/>
      <c r="H70" s="27"/>
      <c r="I70" s="27"/>
      <c r="J70" s="27"/>
      <c r="K70" s="28" t="str">
        <f aca="false">IF(COUNT(H70,I70,J70)&lt;3,"",H70*I70*J70)</f>
        <v/>
      </c>
      <c r="L70" s="27"/>
      <c r="M70" s="27"/>
      <c r="N70" s="27"/>
      <c r="O70" s="27"/>
      <c r="P70" s="27"/>
    </row>
    <row r="71" customFormat="false" ht="15" hidden="false" customHeight="false" outlineLevel="0" collapsed="false">
      <c r="B71" s="26"/>
      <c r="C71" s="27"/>
      <c r="D71" s="28" t="str">
        <f aca="false">IF(C71="","",IFERROR(INDEX(Players!$C$5:$C$104,MATCH(C71,Players!$B$5:$B$104,0)),"ID not found"))</f>
        <v/>
      </c>
      <c r="E71" s="27"/>
      <c r="F71" s="28" t="str">
        <f aca="false">IF(E71="","",IFERROR(INDEX('Med Ball Library'!$C$6:$C$19,MATCH(E71,'Med Ball Library'!$B$6:$B$19,0)),"Unknown ID"))</f>
        <v/>
      </c>
      <c r="G71" s="27"/>
      <c r="H71" s="27"/>
      <c r="I71" s="27"/>
      <c r="J71" s="27"/>
      <c r="K71" s="28" t="str">
        <f aca="false">IF(COUNT(H71,I71,J71)&lt;3,"",H71*I71*J71)</f>
        <v/>
      </c>
      <c r="L71" s="27"/>
      <c r="M71" s="27"/>
      <c r="N71" s="27"/>
      <c r="O71" s="27"/>
      <c r="P71" s="27"/>
    </row>
    <row r="72" customFormat="false" ht="15" hidden="false" customHeight="false" outlineLevel="0" collapsed="false">
      <c r="B72" s="26"/>
      <c r="C72" s="27"/>
      <c r="D72" s="28" t="str">
        <f aca="false">IF(C72="","",IFERROR(INDEX(Players!$C$5:$C$104,MATCH(C72,Players!$B$5:$B$104,0)),"ID not found"))</f>
        <v/>
      </c>
      <c r="E72" s="27"/>
      <c r="F72" s="28" t="str">
        <f aca="false">IF(E72="","",IFERROR(INDEX('Med Ball Library'!$C$6:$C$19,MATCH(E72,'Med Ball Library'!$B$6:$B$19,0)),"Unknown ID"))</f>
        <v/>
      </c>
      <c r="G72" s="27"/>
      <c r="H72" s="27"/>
      <c r="I72" s="27"/>
      <c r="J72" s="27"/>
      <c r="K72" s="28" t="str">
        <f aca="false">IF(COUNT(H72,I72,J72)&lt;3,"",H72*I72*J72)</f>
        <v/>
      </c>
      <c r="L72" s="27"/>
      <c r="M72" s="27"/>
      <c r="N72" s="27"/>
      <c r="O72" s="27"/>
      <c r="P72" s="27"/>
    </row>
    <row r="73" customFormat="false" ht="15" hidden="false" customHeight="false" outlineLevel="0" collapsed="false">
      <c r="B73" s="26"/>
      <c r="C73" s="27"/>
      <c r="D73" s="28" t="str">
        <f aca="false">IF(C73="","",IFERROR(INDEX(Players!$C$5:$C$104,MATCH(C73,Players!$B$5:$B$104,0)),"ID not found"))</f>
        <v/>
      </c>
      <c r="E73" s="27"/>
      <c r="F73" s="28" t="str">
        <f aca="false">IF(E73="","",IFERROR(INDEX('Med Ball Library'!$C$6:$C$19,MATCH(E73,'Med Ball Library'!$B$6:$B$19,0)),"Unknown ID"))</f>
        <v/>
      </c>
      <c r="G73" s="27"/>
      <c r="H73" s="27"/>
      <c r="I73" s="27"/>
      <c r="J73" s="27"/>
      <c r="K73" s="28" t="str">
        <f aca="false">IF(COUNT(H73,I73,J73)&lt;3,"",H73*I73*J73)</f>
        <v/>
      </c>
      <c r="L73" s="27"/>
      <c r="M73" s="27"/>
      <c r="N73" s="27"/>
      <c r="O73" s="27"/>
      <c r="P73" s="27"/>
    </row>
    <row r="74" customFormat="false" ht="15" hidden="false" customHeight="false" outlineLevel="0" collapsed="false">
      <c r="B74" s="26"/>
      <c r="C74" s="27"/>
      <c r="D74" s="28" t="str">
        <f aca="false">IF(C74="","",IFERROR(INDEX(Players!$C$5:$C$104,MATCH(C74,Players!$B$5:$B$104,0)),"ID not found"))</f>
        <v/>
      </c>
      <c r="E74" s="27"/>
      <c r="F74" s="28" t="str">
        <f aca="false">IF(E74="","",IFERROR(INDEX('Med Ball Library'!$C$6:$C$19,MATCH(E74,'Med Ball Library'!$B$6:$B$19,0)),"Unknown ID"))</f>
        <v/>
      </c>
      <c r="G74" s="27"/>
      <c r="H74" s="27"/>
      <c r="I74" s="27"/>
      <c r="J74" s="27"/>
      <c r="K74" s="28" t="str">
        <f aca="false">IF(COUNT(H74,I74,J74)&lt;3,"",H74*I74*J74)</f>
        <v/>
      </c>
      <c r="L74" s="27"/>
      <c r="M74" s="27"/>
      <c r="N74" s="27"/>
      <c r="O74" s="27"/>
      <c r="P74" s="27"/>
    </row>
    <row r="75" customFormat="false" ht="15" hidden="false" customHeight="false" outlineLevel="0" collapsed="false">
      <c r="B75" s="26"/>
      <c r="C75" s="27"/>
      <c r="D75" s="28" t="str">
        <f aca="false">IF(C75="","",IFERROR(INDEX(Players!$C$5:$C$104,MATCH(C75,Players!$B$5:$B$104,0)),"ID not found"))</f>
        <v/>
      </c>
      <c r="E75" s="27"/>
      <c r="F75" s="28" t="str">
        <f aca="false">IF(E75="","",IFERROR(INDEX('Med Ball Library'!$C$6:$C$19,MATCH(E75,'Med Ball Library'!$B$6:$B$19,0)),"Unknown ID"))</f>
        <v/>
      </c>
      <c r="G75" s="27"/>
      <c r="H75" s="27"/>
      <c r="I75" s="27"/>
      <c r="J75" s="27"/>
      <c r="K75" s="28" t="str">
        <f aca="false">IF(COUNT(H75,I75,J75)&lt;3,"",H75*I75*J75)</f>
        <v/>
      </c>
      <c r="L75" s="27"/>
      <c r="M75" s="27"/>
      <c r="N75" s="27"/>
      <c r="O75" s="27"/>
      <c r="P75" s="27"/>
    </row>
    <row r="76" customFormat="false" ht="15" hidden="false" customHeight="false" outlineLevel="0" collapsed="false">
      <c r="B76" s="26"/>
      <c r="C76" s="27"/>
      <c r="D76" s="28" t="str">
        <f aca="false">IF(C76="","",IFERROR(INDEX(Players!$C$5:$C$104,MATCH(C76,Players!$B$5:$B$104,0)),"ID not found"))</f>
        <v/>
      </c>
      <c r="E76" s="27"/>
      <c r="F76" s="28" t="str">
        <f aca="false">IF(E76="","",IFERROR(INDEX('Med Ball Library'!$C$6:$C$19,MATCH(E76,'Med Ball Library'!$B$6:$B$19,0)),"Unknown ID"))</f>
        <v/>
      </c>
      <c r="G76" s="27"/>
      <c r="H76" s="27"/>
      <c r="I76" s="27"/>
      <c r="J76" s="27"/>
      <c r="K76" s="28" t="str">
        <f aca="false">IF(COUNT(H76,I76,J76)&lt;3,"",H76*I76*J76)</f>
        <v/>
      </c>
      <c r="L76" s="27"/>
      <c r="M76" s="27"/>
      <c r="N76" s="27"/>
      <c r="O76" s="27"/>
      <c r="P76" s="27"/>
    </row>
    <row r="77" customFormat="false" ht="15" hidden="false" customHeight="false" outlineLevel="0" collapsed="false">
      <c r="B77" s="26"/>
      <c r="C77" s="27"/>
      <c r="D77" s="28" t="str">
        <f aca="false">IF(C77="","",IFERROR(INDEX(Players!$C$5:$C$104,MATCH(C77,Players!$B$5:$B$104,0)),"ID not found"))</f>
        <v/>
      </c>
      <c r="E77" s="27"/>
      <c r="F77" s="28" t="str">
        <f aca="false">IF(E77="","",IFERROR(INDEX('Med Ball Library'!$C$6:$C$19,MATCH(E77,'Med Ball Library'!$B$6:$B$19,0)),"Unknown ID"))</f>
        <v/>
      </c>
      <c r="G77" s="27"/>
      <c r="H77" s="27"/>
      <c r="I77" s="27"/>
      <c r="J77" s="27"/>
      <c r="K77" s="28" t="str">
        <f aca="false">IF(COUNT(H77,I77,J77)&lt;3,"",H77*I77*J77)</f>
        <v/>
      </c>
      <c r="L77" s="27"/>
      <c r="M77" s="27"/>
      <c r="N77" s="27"/>
      <c r="O77" s="27"/>
      <c r="P77" s="27"/>
    </row>
    <row r="78" customFormat="false" ht="15" hidden="false" customHeight="false" outlineLevel="0" collapsed="false">
      <c r="B78" s="26"/>
      <c r="C78" s="27"/>
      <c r="D78" s="28" t="str">
        <f aca="false">IF(C78="","",IFERROR(INDEX(Players!$C$5:$C$104,MATCH(C78,Players!$B$5:$B$104,0)),"ID not found"))</f>
        <v/>
      </c>
      <c r="E78" s="27"/>
      <c r="F78" s="28" t="str">
        <f aca="false">IF(E78="","",IFERROR(INDEX('Med Ball Library'!$C$6:$C$19,MATCH(E78,'Med Ball Library'!$B$6:$B$19,0)),"Unknown ID"))</f>
        <v/>
      </c>
      <c r="G78" s="27"/>
      <c r="H78" s="27"/>
      <c r="I78" s="27"/>
      <c r="J78" s="27"/>
      <c r="K78" s="28" t="str">
        <f aca="false">IF(COUNT(H78,I78,J78)&lt;3,"",H78*I78*J78)</f>
        <v/>
      </c>
      <c r="L78" s="27"/>
      <c r="M78" s="27"/>
      <c r="N78" s="27"/>
      <c r="O78" s="27"/>
      <c r="P78" s="27"/>
    </row>
    <row r="79" customFormat="false" ht="15" hidden="false" customHeight="false" outlineLevel="0" collapsed="false">
      <c r="B79" s="26"/>
      <c r="C79" s="27"/>
      <c r="D79" s="28" t="str">
        <f aca="false">IF(C79="","",IFERROR(INDEX(Players!$C$5:$C$104,MATCH(C79,Players!$B$5:$B$104,0)),"ID not found"))</f>
        <v/>
      </c>
      <c r="E79" s="27"/>
      <c r="F79" s="28" t="str">
        <f aca="false">IF(E79="","",IFERROR(INDEX('Med Ball Library'!$C$6:$C$19,MATCH(E79,'Med Ball Library'!$B$6:$B$19,0)),"Unknown ID"))</f>
        <v/>
      </c>
      <c r="G79" s="27"/>
      <c r="H79" s="27"/>
      <c r="I79" s="27"/>
      <c r="J79" s="27"/>
      <c r="K79" s="28" t="str">
        <f aca="false">IF(COUNT(H79,I79,J79)&lt;3,"",H79*I79*J79)</f>
        <v/>
      </c>
      <c r="L79" s="27"/>
      <c r="M79" s="27"/>
      <c r="N79" s="27"/>
      <c r="O79" s="27"/>
      <c r="P79" s="27"/>
    </row>
    <row r="80" customFormat="false" ht="15" hidden="false" customHeight="false" outlineLevel="0" collapsed="false">
      <c r="B80" s="26"/>
      <c r="C80" s="27"/>
      <c r="D80" s="28" t="str">
        <f aca="false">IF(C80="","",IFERROR(INDEX(Players!$C$5:$C$104,MATCH(C80,Players!$B$5:$B$104,0)),"ID not found"))</f>
        <v/>
      </c>
      <c r="E80" s="27"/>
      <c r="F80" s="28" t="str">
        <f aca="false">IF(E80="","",IFERROR(INDEX('Med Ball Library'!$C$6:$C$19,MATCH(E80,'Med Ball Library'!$B$6:$B$19,0)),"Unknown ID"))</f>
        <v/>
      </c>
      <c r="G80" s="27"/>
      <c r="H80" s="27"/>
      <c r="I80" s="27"/>
      <c r="J80" s="27"/>
      <c r="K80" s="28" t="str">
        <f aca="false">IF(COUNT(H80,I80,J80)&lt;3,"",H80*I80*J80)</f>
        <v/>
      </c>
      <c r="L80" s="27"/>
      <c r="M80" s="27"/>
      <c r="N80" s="27"/>
      <c r="O80" s="27"/>
      <c r="P80" s="27"/>
    </row>
    <row r="81" customFormat="false" ht="15" hidden="false" customHeight="false" outlineLevel="0" collapsed="false">
      <c r="B81" s="26"/>
      <c r="C81" s="27"/>
      <c r="D81" s="28" t="str">
        <f aca="false">IF(C81="","",IFERROR(INDEX(Players!$C$5:$C$104,MATCH(C81,Players!$B$5:$B$104,0)),"ID not found"))</f>
        <v/>
      </c>
      <c r="E81" s="27"/>
      <c r="F81" s="28" t="str">
        <f aca="false">IF(E81="","",IFERROR(INDEX('Med Ball Library'!$C$6:$C$19,MATCH(E81,'Med Ball Library'!$B$6:$B$19,0)),"Unknown ID"))</f>
        <v/>
      </c>
      <c r="G81" s="27"/>
      <c r="H81" s="27"/>
      <c r="I81" s="27"/>
      <c r="J81" s="27"/>
      <c r="K81" s="28" t="str">
        <f aca="false">IF(COUNT(H81,I81,J81)&lt;3,"",H81*I81*J81)</f>
        <v/>
      </c>
      <c r="L81" s="27"/>
      <c r="M81" s="27"/>
      <c r="N81" s="27"/>
      <c r="O81" s="27"/>
      <c r="P81" s="27"/>
    </row>
    <row r="82" customFormat="false" ht="15" hidden="false" customHeight="false" outlineLevel="0" collapsed="false">
      <c r="B82" s="26"/>
      <c r="C82" s="27"/>
      <c r="D82" s="28" t="str">
        <f aca="false">IF(C82="","",IFERROR(INDEX(Players!$C$5:$C$104,MATCH(C82,Players!$B$5:$B$104,0)),"ID not found"))</f>
        <v/>
      </c>
      <c r="E82" s="27"/>
      <c r="F82" s="28" t="str">
        <f aca="false">IF(E82="","",IFERROR(INDEX('Med Ball Library'!$C$6:$C$19,MATCH(E82,'Med Ball Library'!$B$6:$B$19,0)),"Unknown ID"))</f>
        <v/>
      </c>
      <c r="G82" s="27"/>
      <c r="H82" s="27"/>
      <c r="I82" s="27"/>
      <c r="J82" s="27"/>
      <c r="K82" s="28" t="str">
        <f aca="false">IF(COUNT(H82,I82,J82)&lt;3,"",H82*I82*J82)</f>
        <v/>
      </c>
      <c r="L82" s="27"/>
      <c r="M82" s="27"/>
      <c r="N82" s="27"/>
      <c r="O82" s="27"/>
      <c r="P82" s="27"/>
    </row>
    <row r="83" customFormat="false" ht="15" hidden="false" customHeight="false" outlineLevel="0" collapsed="false">
      <c r="B83" s="26"/>
      <c r="C83" s="27"/>
      <c r="D83" s="28" t="str">
        <f aca="false">IF(C83="","",IFERROR(INDEX(Players!$C$5:$C$104,MATCH(C83,Players!$B$5:$B$104,0)),"ID not found"))</f>
        <v/>
      </c>
      <c r="E83" s="27"/>
      <c r="F83" s="28" t="str">
        <f aca="false">IF(E83="","",IFERROR(INDEX('Med Ball Library'!$C$6:$C$19,MATCH(E83,'Med Ball Library'!$B$6:$B$19,0)),"Unknown ID"))</f>
        <v/>
      </c>
      <c r="G83" s="27"/>
      <c r="H83" s="27"/>
      <c r="I83" s="27"/>
      <c r="J83" s="27"/>
      <c r="K83" s="28" t="str">
        <f aca="false">IF(COUNT(H83,I83,J83)&lt;3,"",H83*I83*J83)</f>
        <v/>
      </c>
      <c r="L83" s="27"/>
      <c r="M83" s="27"/>
      <c r="N83" s="27"/>
      <c r="O83" s="27"/>
      <c r="P83" s="27"/>
    </row>
    <row r="84" customFormat="false" ht="15" hidden="false" customHeight="false" outlineLevel="0" collapsed="false">
      <c r="B84" s="26"/>
      <c r="C84" s="27"/>
      <c r="D84" s="28" t="str">
        <f aca="false">IF(C84="","",IFERROR(INDEX(Players!$C$5:$C$104,MATCH(C84,Players!$B$5:$B$104,0)),"ID not found"))</f>
        <v/>
      </c>
      <c r="E84" s="27"/>
      <c r="F84" s="28" t="str">
        <f aca="false">IF(E84="","",IFERROR(INDEX('Med Ball Library'!$C$6:$C$19,MATCH(E84,'Med Ball Library'!$B$6:$B$19,0)),"Unknown ID"))</f>
        <v/>
      </c>
      <c r="G84" s="27"/>
      <c r="H84" s="27"/>
      <c r="I84" s="27"/>
      <c r="J84" s="27"/>
      <c r="K84" s="28" t="str">
        <f aca="false">IF(COUNT(H84,I84,J84)&lt;3,"",H84*I84*J84)</f>
        <v/>
      </c>
      <c r="L84" s="27"/>
      <c r="M84" s="27"/>
      <c r="N84" s="27"/>
      <c r="O84" s="27"/>
      <c r="P84" s="27"/>
    </row>
    <row r="85" customFormat="false" ht="15" hidden="false" customHeight="false" outlineLevel="0" collapsed="false">
      <c r="B85" s="26"/>
      <c r="C85" s="27"/>
      <c r="D85" s="28" t="str">
        <f aca="false">IF(C85="","",IFERROR(INDEX(Players!$C$5:$C$104,MATCH(C85,Players!$B$5:$B$104,0)),"ID not found"))</f>
        <v/>
      </c>
      <c r="E85" s="27"/>
      <c r="F85" s="28" t="str">
        <f aca="false">IF(E85="","",IFERROR(INDEX('Med Ball Library'!$C$6:$C$19,MATCH(E85,'Med Ball Library'!$B$6:$B$19,0)),"Unknown ID"))</f>
        <v/>
      </c>
      <c r="G85" s="27"/>
      <c r="H85" s="27"/>
      <c r="I85" s="27"/>
      <c r="J85" s="27"/>
      <c r="K85" s="28" t="str">
        <f aca="false">IF(COUNT(H85,I85,J85)&lt;3,"",H85*I85*J85)</f>
        <v/>
      </c>
      <c r="L85" s="27"/>
      <c r="M85" s="27"/>
      <c r="N85" s="27"/>
      <c r="O85" s="27"/>
      <c r="P85" s="27"/>
    </row>
    <row r="86" customFormat="false" ht="15" hidden="false" customHeight="false" outlineLevel="0" collapsed="false">
      <c r="B86" s="26"/>
      <c r="C86" s="27"/>
      <c r="D86" s="28" t="str">
        <f aca="false">IF(C86="","",IFERROR(INDEX(Players!$C$5:$C$104,MATCH(C86,Players!$B$5:$B$104,0)),"ID not found"))</f>
        <v/>
      </c>
      <c r="E86" s="27"/>
      <c r="F86" s="28" t="str">
        <f aca="false">IF(E86="","",IFERROR(INDEX('Med Ball Library'!$C$6:$C$19,MATCH(E86,'Med Ball Library'!$B$6:$B$19,0)),"Unknown ID"))</f>
        <v/>
      </c>
      <c r="G86" s="27"/>
      <c r="H86" s="27"/>
      <c r="I86" s="27"/>
      <c r="J86" s="27"/>
      <c r="K86" s="28" t="str">
        <f aca="false">IF(COUNT(H86,I86,J86)&lt;3,"",H86*I86*J86)</f>
        <v/>
      </c>
      <c r="L86" s="27"/>
      <c r="M86" s="27"/>
      <c r="N86" s="27"/>
      <c r="O86" s="27"/>
      <c r="P86" s="27"/>
    </row>
    <row r="87" customFormat="false" ht="15" hidden="false" customHeight="false" outlineLevel="0" collapsed="false">
      <c r="B87" s="26"/>
      <c r="C87" s="27"/>
      <c r="D87" s="28" t="str">
        <f aca="false">IF(C87="","",IFERROR(INDEX(Players!$C$5:$C$104,MATCH(C87,Players!$B$5:$B$104,0)),"ID not found"))</f>
        <v/>
      </c>
      <c r="E87" s="27"/>
      <c r="F87" s="28" t="str">
        <f aca="false">IF(E87="","",IFERROR(INDEX('Med Ball Library'!$C$6:$C$19,MATCH(E87,'Med Ball Library'!$B$6:$B$19,0)),"Unknown ID"))</f>
        <v/>
      </c>
      <c r="G87" s="27"/>
      <c r="H87" s="27"/>
      <c r="I87" s="27"/>
      <c r="J87" s="27"/>
      <c r="K87" s="28" t="str">
        <f aca="false">IF(COUNT(H87,I87,J87)&lt;3,"",H87*I87*J87)</f>
        <v/>
      </c>
      <c r="L87" s="27"/>
      <c r="M87" s="27"/>
      <c r="N87" s="27"/>
      <c r="O87" s="27"/>
      <c r="P87" s="27"/>
    </row>
    <row r="88" customFormat="false" ht="15" hidden="false" customHeight="false" outlineLevel="0" collapsed="false">
      <c r="B88" s="26"/>
      <c r="C88" s="27"/>
      <c r="D88" s="28" t="str">
        <f aca="false">IF(C88="","",IFERROR(INDEX(Players!$C$5:$C$104,MATCH(C88,Players!$B$5:$B$104,0)),"ID not found"))</f>
        <v/>
      </c>
      <c r="E88" s="27"/>
      <c r="F88" s="28" t="str">
        <f aca="false">IF(E88="","",IFERROR(INDEX('Med Ball Library'!$C$6:$C$19,MATCH(E88,'Med Ball Library'!$B$6:$B$19,0)),"Unknown ID"))</f>
        <v/>
      </c>
      <c r="G88" s="27"/>
      <c r="H88" s="27"/>
      <c r="I88" s="27"/>
      <c r="J88" s="27"/>
      <c r="K88" s="28" t="str">
        <f aca="false">IF(COUNT(H88,I88,J88)&lt;3,"",H88*I88*J88)</f>
        <v/>
      </c>
      <c r="L88" s="27"/>
      <c r="M88" s="27"/>
      <c r="N88" s="27"/>
      <c r="O88" s="27"/>
      <c r="P88" s="27"/>
    </row>
    <row r="89" customFormat="false" ht="15" hidden="false" customHeight="false" outlineLevel="0" collapsed="false">
      <c r="B89" s="26"/>
      <c r="C89" s="27"/>
      <c r="D89" s="28" t="str">
        <f aca="false">IF(C89="","",IFERROR(INDEX(Players!$C$5:$C$104,MATCH(C89,Players!$B$5:$B$104,0)),"ID not found"))</f>
        <v/>
      </c>
      <c r="E89" s="27"/>
      <c r="F89" s="28" t="str">
        <f aca="false">IF(E89="","",IFERROR(INDEX('Med Ball Library'!$C$6:$C$19,MATCH(E89,'Med Ball Library'!$B$6:$B$19,0)),"Unknown ID"))</f>
        <v/>
      </c>
      <c r="G89" s="27"/>
      <c r="H89" s="27"/>
      <c r="I89" s="27"/>
      <c r="J89" s="27"/>
      <c r="K89" s="28" t="str">
        <f aca="false">IF(COUNT(H89,I89,J89)&lt;3,"",H89*I89*J89)</f>
        <v/>
      </c>
      <c r="L89" s="27"/>
      <c r="M89" s="27"/>
      <c r="N89" s="27"/>
      <c r="O89" s="27"/>
      <c r="P89" s="27"/>
    </row>
    <row r="90" customFormat="false" ht="15" hidden="false" customHeight="false" outlineLevel="0" collapsed="false">
      <c r="B90" s="26"/>
      <c r="C90" s="27"/>
      <c r="D90" s="28" t="str">
        <f aca="false">IF(C90="","",IFERROR(INDEX(Players!$C$5:$C$104,MATCH(C90,Players!$B$5:$B$104,0)),"ID not found"))</f>
        <v/>
      </c>
      <c r="E90" s="27"/>
      <c r="F90" s="28" t="str">
        <f aca="false">IF(E90="","",IFERROR(INDEX('Med Ball Library'!$C$6:$C$19,MATCH(E90,'Med Ball Library'!$B$6:$B$19,0)),"Unknown ID"))</f>
        <v/>
      </c>
      <c r="G90" s="27"/>
      <c r="H90" s="27"/>
      <c r="I90" s="27"/>
      <c r="J90" s="27"/>
      <c r="K90" s="28" t="str">
        <f aca="false">IF(COUNT(H90,I90,J90)&lt;3,"",H90*I90*J90)</f>
        <v/>
      </c>
      <c r="L90" s="27"/>
      <c r="M90" s="27"/>
      <c r="N90" s="27"/>
      <c r="O90" s="27"/>
      <c r="P90" s="27"/>
    </row>
    <row r="91" customFormat="false" ht="15" hidden="false" customHeight="false" outlineLevel="0" collapsed="false">
      <c r="B91" s="26"/>
      <c r="C91" s="27"/>
      <c r="D91" s="28" t="str">
        <f aca="false">IF(C91="","",IFERROR(INDEX(Players!$C$5:$C$104,MATCH(C91,Players!$B$5:$B$104,0)),"ID not found"))</f>
        <v/>
      </c>
      <c r="E91" s="27"/>
      <c r="F91" s="28" t="str">
        <f aca="false">IF(E91="","",IFERROR(INDEX('Med Ball Library'!$C$6:$C$19,MATCH(E91,'Med Ball Library'!$B$6:$B$19,0)),"Unknown ID"))</f>
        <v/>
      </c>
      <c r="G91" s="27"/>
      <c r="H91" s="27"/>
      <c r="I91" s="27"/>
      <c r="J91" s="27"/>
      <c r="K91" s="28" t="str">
        <f aca="false">IF(COUNT(H91,I91,J91)&lt;3,"",H91*I91*J91)</f>
        <v/>
      </c>
      <c r="L91" s="27"/>
      <c r="M91" s="27"/>
      <c r="N91" s="27"/>
      <c r="O91" s="27"/>
      <c r="P91" s="27"/>
    </row>
    <row r="92" customFormat="false" ht="15" hidden="false" customHeight="false" outlineLevel="0" collapsed="false">
      <c r="B92" s="26"/>
      <c r="C92" s="27"/>
      <c r="D92" s="28" t="str">
        <f aca="false">IF(C92="","",IFERROR(INDEX(Players!$C$5:$C$104,MATCH(C92,Players!$B$5:$B$104,0)),"ID not found"))</f>
        <v/>
      </c>
      <c r="E92" s="27"/>
      <c r="F92" s="28" t="str">
        <f aca="false">IF(E92="","",IFERROR(INDEX('Med Ball Library'!$C$6:$C$19,MATCH(E92,'Med Ball Library'!$B$6:$B$19,0)),"Unknown ID"))</f>
        <v/>
      </c>
      <c r="G92" s="27"/>
      <c r="H92" s="27"/>
      <c r="I92" s="27"/>
      <c r="J92" s="27"/>
      <c r="K92" s="28" t="str">
        <f aca="false">IF(COUNT(H92,I92,J92)&lt;3,"",H92*I92*J92)</f>
        <v/>
      </c>
      <c r="L92" s="27"/>
      <c r="M92" s="27"/>
      <c r="N92" s="27"/>
      <c r="O92" s="27"/>
      <c r="P92" s="27"/>
    </row>
    <row r="93" customFormat="false" ht="15" hidden="false" customHeight="false" outlineLevel="0" collapsed="false">
      <c r="B93" s="26"/>
      <c r="C93" s="27"/>
      <c r="D93" s="28" t="str">
        <f aca="false">IF(C93="","",IFERROR(INDEX(Players!$C$5:$C$104,MATCH(C93,Players!$B$5:$B$104,0)),"ID not found"))</f>
        <v/>
      </c>
      <c r="E93" s="27"/>
      <c r="F93" s="28" t="str">
        <f aca="false">IF(E93="","",IFERROR(INDEX('Med Ball Library'!$C$6:$C$19,MATCH(E93,'Med Ball Library'!$B$6:$B$19,0)),"Unknown ID"))</f>
        <v/>
      </c>
      <c r="G93" s="27"/>
      <c r="H93" s="27"/>
      <c r="I93" s="27"/>
      <c r="J93" s="27"/>
      <c r="K93" s="28" t="str">
        <f aca="false">IF(COUNT(H93,I93,J93)&lt;3,"",H93*I93*J93)</f>
        <v/>
      </c>
      <c r="L93" s="27"/>
      <c r="M93" s="27"/>
      <c r="N93" s="27"/>
      <c r="O93" s="27"/>
      <c r="P93" s="27"/>
    </row>
    <row r="94" customFormat="false" ht="15" hidden="false" customHeight="false" outlineLevel="0" collapsed="false">
      <c r="B94" s="26"/>
      <c r="C94" s="27"/>
      <c r="D94" s="28" t="str">
        <f aca="false">IF(C94="","",IFERROR(INDEX(Players!$C$5:$C$104,MATCH(C94,Players!$B$5:$B$104,0)),"ID not found"))</f>
        <v/>
      </c>
      <c r="E94" s="27"/>
      <c r="F94" s="28" t="str">
        <f aca="false">IF(E94="","",IFERROR(INDEX('Med Ball Library'!$C$6:$C$19,MATCH(E94,'Med Ball Library'!$B$6:$B$19,0)),"Unknown ID"))</f>
        <v/>
      </c>
      <c r="G94" s="27"/>
      <c r="H94" s="27"/>
      <c r="I94" s="27"/>
      <c r="J94" s="27"/>
      <c r="K94" s="28" t="str">
        <f aca="false">IF(COUNT(H94,I94,J94)&lt;3,"",H94*I94*J94)</f>
        <v/>
      </c>
      <c r="L94" s="27"/>
      <c r="M94" s="27"/>
      <c r="N94" s="27"/>
      <c r="O94" s="27"/>
      <c r="P94" s="27"/>
    </row>
    <row r="95" customFormat="false" ht="15" hidden="false" customHeight="false" outlineLevel="0" collapsed="false">
      <c r="B95" s="26"/>
      <c r="C95" s="27"/>
      <c r="D95" s="28" t="str">
        <f aca="false">IF(C95="","",IFERROR(INDEX(Players!$C$5:$C$104,MATCH(C95,Players!$B$5:$B$104,0)),"ID not found"))</f>
        <v/>
      </c>
      <c r="E95" s="27"/>
      <c r="F95" s="28" t="str">
        <f aca="false">IF(E95="","",IFERROR(INDEX('Med Ball Library'!$C$6:$C$19,MATCH(E95,'Med Ball Library'!$B$6:$B$19,0)),"Unknown ID"))</f>
        <v/>
      </c>
      <c r="G95" s="27"/>
      <c r="H95" s="27"/>
      <c r="I95" s="27"/>
      <c r="J95" s="27"/>
      <c r="K95" s="28" t="str">
        <f aca="false">IF(COUNT(H95,I95,J95)&lt;3,"",H95*I95*J95)</f>
        <v/>
      </c>
      <c r="L95" s="27"/>
      <c r="M95" s="27"/>
      <c r="N95" s="27"/>
      <c r="O95" s="27"/>
      <c r="P95" s="27"/>
    </row>
    <row r="96" customFormat="false" ht="15" hidden="false" customHeight="false" outlineLevel="0" collapsed="false">
      <c r="B96" s="26"/>
      <c r="C96" s="27"/>
      <c r="D96" s="28" t="str">
        <f aca="false">IF(C96="","",IFERROR(INDEX(Players!$C$5:$C$104,MATCH(C96,Players!$B$5:$B$104,0)),"ID not found"))</f>
        <v/>
      </c>
      <c r="E96" s="27"/>
      <c r="F96" s="28" t="str">
        <f aca="false">IF(E96="","",IFERROR(INDEX('Med Ball Library'!$C$6:$C$19,MATCH(E96,'Med Ball Library'!$B$6:$B$19,0)),"Unknown ID"))</f>
        <v/>
      </c>
      <c r="G96" s="27"/>
      <c r="H96" s="27"/>
      <c r="I96" s="27"/>
      <c r="J96" s="27"/>
      <c r="K96" s="28" t="str">
        <f aca="false">IF(COUNT(H96,I96,J96)&lt;3,"",H96*I96*J96)</f>
        <v/>
      </c>
      <c r="L96" s="27"/>
      <c r="M96" s="27"/>
      <c r="N96" s="27"/>
      <c r="O96" s="27"/>
      <c r="P96" s="27"/>
    </row>
    <row r="97" customFormat="false" ht="15" hidden="false" customHeight="false" outlineLevel="0" collapsed="false">
      <c r="B97" s="26"/>
      <c r="C97" s="27"/>
      <c r="D97" s="28" t="str">
        <f aca="false">IF(C97="","",IFERROR(INDEX(Players!$C$5:$C$104,MATCH(C97,Players!$B$5:$B$104,0)),"ID not found"))</f>
        <v/>
      </c>
      <c r="E97" s="27"/>
      <c r="F97" s="28" t="str">
        <f aca="false">IF(E97="","",IFERROR(INDEX('Med Ball Library'!$C$6:$C$19,MATCH(E97,'Med Ball Library'!$B$6:$B$19,0)),"Unknown ID"))</f>
        <v/>
      </c>
      <c r="G97" s="27"/>
      <c r="H97" s="27"/>
      <c r="I97" s="27"/>
      <c r="J97" s="27"/>
      <c r="K97" s="28" t="str">
        <f aca="false">IF(COUNT(H97,I97,J97)&lt;3,"",H97*I97*J97)</f>
        <v/>
      </c>
      <c r="L97" s="27"/>
      <c r="M97" s="27"/>
      <c r="N97" s="27"/>
      <c r="O97" s="27"/>
      <c r="P97" s="27"/>
    </row>
    <row r="98" customFormat="false" ht="15" hidden="false" customHeight="false" outlineLevel="0" collapsed="false">
      <c r="B98" s="26"/>
      <c r="C98" s="27"/>
      <c r="D98" s="28" t="str">
        <f aca="false">IF(C98="","",IFERROR(INDEX(Players!$C$5:$C$104,MATCH(C98,Players!$B$5:$B$104,0)),"ID not found"))</f>
        <v/>
      </c>
      <c r="E98" s="27"/>
      <c r="F98" s="28" t="str">
        <f aca="false">IF(E98="","",IFERROR(INDEX('Med Ball Library'!$C$6:$C$19,MATCH(E98,'Med Ball Library'!$B$6:$B$19,0)),"Unknown ID"))</f>
        <v/>
      </c>
      <c r="G98" s="27"/>
      <c r="H98" s="27"/>
      <c r="I98" s="27"/>
      <c r="J98" s="27"/>
      <c r="K98" s="28" t="str">
        <f aca="false">IF(COUNT(H98,I98,J98)&lt;3,"",H98*I98*J98)</f>
        <v/>
      </c>
      <c r="L98" s="27"/>
      <c r="M98" s="27"/>
      <c r="N98" s="27"/>
      <c r="O98" s="27"/>
      <c r="P98" s="27"/>
    </row>
    <row r="99" customFormat="false" ht="15" hidden="false" customHeight="false" outlineLevel="0" collapsed="false">
      <c r="B99" s="26"/>
      <c r="C99" s="27"/>
      <c r="D99" s="28" t="str">
        <f aca="false">IF(C99="","",IFERROR(INDEX(Players!$C$5:$C$104,MATCH(C99,Players!$B$5:$B$104,0)),"ID not found"))</f>
        <v/>
      </c>
      <c r="E99" s="27"/>
      <c r="F99" s="28" t="str">
        <f aca="false">IF(E99="","",IFERROR(INDEX('Med Ball Library'!$C$6:$C$19,MATCH(E99,'Med Ball Library'!$B$6:$B$19,0)),"Unknown ID"))</f>
        <v/>
      </c>
      <c r="G99" s="27"/>
      <c r="H99" s="27"/>
      <c r="I99" s="27"/>
      <c r="J99" s="27"/>
      <c r="K99" s="28" t="str">
        <f aca="false">IF(COUNT(H99,I99,J99)&lt;3,"",H99*I99*J99)</f>
        <v/>
      </c>
      <c r="L99" s="27"/>
      <c r="M99" s="27"/>
      <c r="N99" s="27"/>
      <c r="O99" s="27"/>
      <c r="P99" s="27"/>
    </row>
    <row r="100" customFormat="false" ht="15" hidden="false" customHeight="false" outlineLevel="0" collapsed="false">
      <c r="B100" s="26"/>
      <c r="C100" s="27"/>
      <c r="D100" s="28" t="str">
        <f aca="false">IF(C100="","",IFERROR(INDEX(Players!$C$5:$C$104,MATCH(C100,Players!$B$5:$B$104,0)),"ID not found"))</f>
        <v/>
      </c>
      <c r="E100" s="27"/>
      <c r="F100" s="28" t="str">
        <f aca="false">IF(E100="","",IFERROR(INDEX('Med Ball Library'!$C$6:$C$19,MATCH(E100,'Med Ball Library'!$B$6:$B$19,0)),"Unknown ID"))</f>
        <v/>
      </c>
      <c r="G100" s="27"/>
      <c r="H100" s="27"/>
      <c r="I100" s="27"/>
      <c r="J100" s="27"/>
      <c r="K100" s="28" t="str">
        <f aca="false">IF(COUNT(H100,I100,J100)&lt;3,"",H100*I100*J100)</f>
        <v/>
      </c>
      <c r="L100" s="27"/>
      <c r="M100" s="27"/>
      <c r="N100" s="27"/>
      <c r="O100" s="27"/>
      <c r="P100" s="27"/>
    </row>
    <row r="101" customFormat="false" ht="15" hidden="false" customHeight="false" outlineLevel="0" collapsed="false">
      <c r="B101" s="26"/>
      <c r="C101" s="27"/>
      <c r="D101" s="28" t="str">
        <f aca="false">IF(C101="","",IFERROR(INDEX(Players!$C$5:$C$104,MATCH(C101,Players!$B$5:$B$104,0)),"ID not found"))</f>
        <v/>
      </c>
      <c r="E101" s="27"/>
      <c r="F101" s="28" t="str">
        <f aca="false">IF(E101="","",IFERROR(INDEX('Med Ball Library'!$C$6:$C$19,MATCH(E101,'Med Ball Library'!$B$6:$B$19,0)),"Unknown ID"))</f>
        <v/>
      </c>
      <c r="G101" s="27"/>
      <c r="H101" s="27"/>
      <c r="I101" s="27"/>
      <c r="J101" s="27"/>
      <c r="K101" s="28" t="str">
        <f aca="false">IF(COUNT(H101,I101,J101)&lt;3,"",H101*I101*J101)</f>
        <v/>
      </c>
      <c r="L101" s="27"/>
      <c r="M101" s="27"/>
      <c r="N101" s="27"/>
      <c r="O101" s="27"/>
      <c r="P101" s="27"/>
    </row>
    <row r="102" customFormat="false" ht="15" hidden="false" customHeight="false" outlineLevel="0" collapsed="false">
      <c r="B102" s="26"/>
      <c r="C102" s="27"/>
      <c r="D102" s="28" t="str">
        <f aca="false">IF(C102="","",IFERROR(INDEX(Players!$C$5:$C$104,MATCH(C102,Players!$B$5:$B$104,0)),"ID not found"))</f>
        <v/>
      </c>
      <c r="E102" s="27"/>
      <c r="F102" s="28" t="str">
        <f aca="false">IF(E102="","",IFERROR(INDEX('Med Ball Library'!$C$6:$C$19,MATCH(E102,'Med Ball Library'!$B$6:$B$19,0)),"Unknown ID"))</f>
        <v/>
      </c>
      <c r="G102" s="27"/>
      <c r="H102" s="27"/>
      <c r="I102" s="27"/>
      <c r="J102" s="27"/>
      <c r="K102" s="28" t="str">
        <f aca="false">IF(COUNT(H102,I102,J102)&lt;3,"",H102*I102*J102)</f>
        <v/>
      </c>
      <c r="L102" s="27"/>
      <c r="M102" s="27"/>
      <c r="N102" s="27"/>
      <c r="O102" s="27"/>
      <c r="P102" s="27"/>
    </row>
    <row r="103" customFormat="false" ht="15" hidden="false" customHeight="false" outlineLevel="0" collapsed="false">
      <c r="B103" s="26"/>
      <c r="C103" s="27"/>
      <c r="D103" s="28" t="str">
        <f aca="false">IF(C103="","",IFERROR(INDEX(Players!$C$5:$C$104,MATCH(C103,Players!$B$5:$B$104,0)),"ID not found"))</f>
        <v/>
      </c>
      <c r="E103" s="27"/>
      <c r="F103" s="28" t="str">
        <f aca="false">IF(E103="","",IFERROR(INDEX('Med Ball Library'!$C$6:$C$19,MATCH(E103,'Med Ball Library'!$B$6:$B$19,0)),"Unknown ID"))</f>
        <v/>
      </c>
      <c r="G103" s="27"/>
      <c r="H103" s="27"/>
      <c r="I103" s="27"/>
      <c r="J103" s="27"/>
      <c r="K103" s="28" t="str">
        <f aca="false">IF(COUNT(H103,I103,J103)&lt;3,"",H103*I103*J103)</f>
        <v/>
      </c>
      <c r="L103" s="27"/>
      <c r="M103" s="27"/>
      <c r="N103" s="27"/>
      <c r="O103" s="27"/>
      <c r="P103" s="27"/>
    </row>
    <row r="104" customFormat="false" ht="15" hidden="false" customHeight="false" outlineLevel="0" collapsed="false">
      <c r="B104" s="26"/>
      <c r="C104" s="27"/>
      <c r="D104" s="28" t="str">
        <f aca="false">IF(C104="","",IFERROR(INDEX(Players!$C$5:$C$104,MATCH(C104,Players!$B$5:$B$104,0)),"ID not found"))</f>
        <v/>
      </c>
      <c r="E104" s="27"/>
      <c r="F104" s="28" t="str">
        <f aca="false">IF(E104="","",IFERROR(INDEX('Med Ball Library'!$C$6:$C$19,MATCH(E104,'Med Ball Library'!$B$6:$B$19,0)),"Unknown ID"))</f>
        <v/>
      </c>
      <c r="G104" s="27"/>
      <c r="H104" s="27"/>
      <c r="I104" s="27"/>
      <c r="J104" s="27"/>
      <c r="K104" s="28" t="str">
        <f aca="false">IF(COUNT(H104,I104,J104)&lt;3,"",H104*I104*J104)</f>
        <v/>
      </c>
      <c r="L104" s="27"/>
      <c r="M104" s="27"/>
      <c r="N104" s="27"/>
      <c r="O104" s="27"/>
      <c r="P104" s="27"/>
    </row>
    <row r="105" customFormat="false" ht="15" hidden="false" customHeight="false" outlineLevel="0" collapsed="false">
      <c r="B105" s="26"/>
      <c r="C105" s="27"/>
      <c r="D105" s="28" t="str">
        <f aca="false">IF(C105="","",IFERROR(INDEX(Players!$C$5:$C$104,MATCH(C105,Players!$B$5:$B$104,0)),"ID not found"))</f>
        <v/>
      </c>
      <c r="E105" s="27"/>
      <c r="F105" s="28" t="str">
        <f aca="false">IF(E105="","",IFERROR(INDEX('Med Ball Library'!$C$6:$C$19,MATCH(E105,'Med Ball Library'!$B$6:$B$19,0)),"Unknown ID"))</f>
        <v/>
      </c>
      <c r="G105" s="27"/>
      <c r="H105" s="27"/>
      <c r="I105" s="27"/>
      <c r="J105" s="27"/>
      <c r="K105" s="28" t="str">
        <f aca="false">IF(COUNT(H105,I105,J105)&lt;3,"",H105*I105*J105)</f>
        <v/>
      </c>
      <c r="L105" s="27"/>
      <c r="M105" s="27"/>
      <c r="N105" s="27"/>
      <c r="O105" s="27"/>
      <c r="P105" s="27"/>
    </row>
    <row r="106" customFormat="false" ht="15" hidden="false" customHeight="false" outlineLevel="0" collapsed="false">
      <c r="B106" s="26"/>
      <c r="C106" s="27"/>
      <c r="D106" s="28" t="str">
        <f aca="false">IF(C106="","",IFERROR(INDEX(Players!$C$5:$C$104,MATCH(C106,Players!$B$5:$B$104,0)),"ID not found"))</f>
        <v/>
      </c>
      <c r="E106" s="27"/>
      <c r="F106" s="28" t="str">
        <f aca="false">IF(E106="","",IFERROR(INDEX('Med Ball Library'!$C$6:$C$19,MATCH(E106,'Med Ball Library'!$B$6:$B$19,0)),"Unknown ID"))</f>
        <v/>
      </c>
      <c r="G106" s="27"/>
      <c r="H106" s="27"/>
      <c r="I106" s="27"/>
      <c r="J106" s="27"/>
      <c r="K106" s="28" t="str">
        <f aca="false">IF(COUNT(H106,I106,J106)&lt;3,"",H106*I106*J106)</f>
        <v/>
      </c>
      <c r="L106" s="27"/>
      <c r="M106" s="27"/>
      <c r="N106" s="27"/>
      <c r="O106" s="27"/>
      <c r="P106" s="27"/>
    </row>
    <row r="107" customFormat="false" ht="15" hidden="false" customHeight="false" outlineLevel="0" collapsed="false">
      <c r="B107" s="26"/>
      <c r="C107" s="27"/>
      <c r="D107" s="28" t="str">
        <f aca="false">IF(C107="","",IFERROR(INDEX(Players!$C$5:$C$104,MATCH(C107,Players!$B$5:$B$104,0)),"ID not found"))</f>
        <v/>
      </c>
      <c r="E107" s="27"/>
      <c r="F107" s="28" t="str">
        <f aca="false">IF(E107="","",IFERROR(INDEX('Med Ball Library'!$C$6:$C$19,MATCH(E107,'Med Ball Library'!$B$6:$B$19,0)),"Unknown ID"))</f>
        <v/>
      </c>
      <c r="G107" s="27"/>
      <c r="H107" s="27"/>
      <c r="I107" s="27"/>
      <c r="J107" s="27"/>
      <c r="K107" s="28" t="str">
        <f aca="false">IF(COUNT(H107,I107,J107)&lt;3,"",H107*I107*J107)</f>
        <v/>
      </c>
      <c r="L107" s="27"/>
      <c r="M107" s="27"/>
      <c r="N107" s="27"/>
      <c r="O107" s="27"/>
      <c r="P107" s="27"/>
    </row>
    <row r="108" customFormat="false" ht="15" hidden="false" customHeight="false" outlineLevel="0" collapsed="false">
      <c r="B108" s="26"/>
      <c r="C108" s="27"/>
      <c r="D108" s="28" t="str">
        <f aca="false">IF(C108="","",IFERROR(INDEX(Players!$C$5:$C$104,MATCH(C108,Players!$B$5:$B$104,0)),"ID not found"))</f>
        <v/>
      </c>
      <c r="E108" s="27"/>
      <c r="F108" s="28" t="str">
        <f aca="false">IF(E108="","",IFERROR(INDEX('Med Ball Library'!$C$6:$C$19,MATCH(E108,'Med Ball Library'!$B$6:$B$19,0)),"Unknown ID"))</f>
        <v/>
      </c>
      <c r="G108" s="27"/>
      <c r="H108" s="27"/>
      <c r="I108" s="27"/>
      <c r="J108" s="27"/>
      <c r="K108" s="28" t="str">
        <f aca="false">IF(COUNT(H108,I108,J108)&lt;3,"",H108*I108*J108)</f>
        <v/>
      </c>
      <c r="L108" s="27"/>
      <c r="M108" s="27"/>
      <c r="N108" s="27"/>
      <c r="O108" s="27"/>
      <c r="P108" s="27"/>
    </row>
    <row r="109" customFormat="false" ht="15" hidden="false" customHeight="false" outlineLevel="0" collapsed="false">
      <c r="B109" s="26"/>
      <c r="C109" s="27"/>
      <c r="D109" s="28" t="str">
        <f aca="false">IF(C109="","",IFERROR(INDEX(Players!$C$5:$C$104,MATCH(C109,Players!$B$5:$B$104,0)),"ID not found"))</f>
        <v/>
      </c>
      <c r="E109" s="27"/>
      <c r="F109" s="28" t="str">
        <f aca="false">IF(E109="","",IFERROR(INDEX('Med Ball Library'!$C$6:$C$19,MATCH(E109,'Med Ball Library'!$B$6:$B$19,0)),"Unknown ID"))</f>
        <v/>
      </c>
      <c r="G109" s="27"/>
      <c r="H109" s="27"/>
      <c r="I109" s="27"/>
      <c r="J109" s="27"/>
      <c r="K109" s="28" t="str">
        <f aca="false">IF(COUNT(H109,I109,J109)&lt;3,"",H109*I109*J109)</f>
        <v/>
      </c>
      <c r="L109" s="27"/>
      <c r="M109" s="27"/>
      <c r="N109" s="27"/>
      <c r="O109" s="27"/>
      <c r="P109" s="27"/>
    </row>
    <row r="110" customFormat="false" ht="15" hidden="false" customHeight="false" outlineLevel="0" collapsed="false">
      <c r="B110" s="26"/>
      <c r="C110" s="27"/>
      <c r="D110" s="28" t="str">
        <f aca="false">IF(C110="","",IFERROR(INDEX(Players!$C$5:$C$104,MATCH(C110,Players!$B$5:$B$104,0)),"ID not found"))</f>
        <v/>
      </c>
      <c r="E110" s="27"/>
      <c r="F110" s="28" t="str">
        <f aca="false">IF(E110="","",IFERROR(INDEX('Med Ball Library'!$C$6:$C$19,MATCH(E110,'Med Ball Library'!$B$6:$B$19,0)),"Unknown ID"))</f>
        <v/>
      </c>
      <c r="G110" s="27"/>
      <c r="H110" s="27"/>
      <c r="I110" s="27"/>
      <c r="J110" s="27"/>
      <c r="K110" s="28" t="str">
        <f aca="false">IF(COUNT(H110,I110,J110)&lt;3,"",H110*I110*J110)</f>
        <v/>
      </c>
      <c r="L110" s="27"/>
      <c r="M110" s="27"/>
      <c r="N110" s="27"/>
      <c r="O110" s="27"/>
      <c r="P110" s="27"/>
    </row>
    <row r="111" customFormat="false" ht="15" hidden="false" customHeight="false" outlineLevel="0" collapsed="false">
      <c r="B111" s="26"/>
      <c r="C111" s="27"/>
      <c r="D111" s="28" t="str">
        <f aca="false">IF(C111="","",IFERROR(INDEX(Players!$C$5:$C$104,MATCH(C111,Players!$B$5:$B$104,0)),"ID not found"))</f>
        <v/>
      </c>
      <c r="E111" s="27"/>
      <c r="F111" s="28" t="str">
        <f aca="false">IF(E111="","",IFERROR(INDEX('Med Ball Library'!$C$6:$C$19,MATCH(E111,'Med Ball Library'!$B$6:$B$19,0)),"Unknown ID"))</f>
        <v/>
      </c>
      <c r="G111" s="27"/>
      <c r="H111" s="27"/>
      <c r="I111" s="27"/>
      <c r="J111" s="27"/>
      <c r="K111" s="28" t="str">
        <f aca="false">IF(COUNT(H111,I111,J111)&lt;3,"",H111*I111*J111)</f>
        <v/>
      </c>
      <c r="L111" s="27"/>
      <c r="M111" s="27"/>
      <c r="N111" s="27"/>
      <c r="O111" s="27"/>
      <c r="P111" s="27"/>
    </row>
    <row r="112" customFormat="false" ht="15" hidden="false" customHeight="false" outlineLevel="0" collapsed="false">
      <c r="B112" s="26"/>
      <c r="C112" s="27"/>
      <c r="D112" s="28" t="str">
        <f aca="false">IF(C112="","",IFERROR(INDEX(Players!$C$5:$C$104,MATCH(C112,Players!$B$5:$B$104,0)),"ID not found"))</f>
        <v/>
      </c>
      <c r="E112" s="27"/>
      <c r="F112" s="28" t="str">
        <f aca="false">IF(E112="","",IFERROR(INDEX('Med Ball Library'!$C$6:$C$19,MATCH(E112,'Med Ball Library'!$B$6:$B$19,0)),"Unknown ID"))</f>
        <v/>
      </c>
      <c r="G112" s="27"/>
      <c r="H112" s="27"/>
      <c r="I112" s="27"/>
      <c r="J112" s="27"/>
      <c r="K112" s="28" t="str">
        <f aca="false">IF(COUNT(H112,I112,J112)&lt;3,"",H112*I112*J112)</f>
        <v/>
      </c>
      <c r="L112" s="27"/>
      <c r="M112" s="27"/>
      <c r="N112" s="27"/>
      <c r="O112" s="27"/>
      <c r="P112" s="27"/>
    </row>
    <row r="113" customFormat="false" ht="15" hidden="false" customHeight="false" outlineLevel="0" collapsed="false">
      <c r="B113" s="26"/>
      <c r="C113" s="27"/>
      <c r="D113" s="28" t="str">
        <f aca="false">IF(C113="","",IFERROR(INDEX(Players!$C$5:$C$104,MATCH(C113,Players!$B$5:$B$104,0)),"ID not found"))</f>
        <v/>
      </c>
      <c r="E113" s="27"/>
      <c r="F113" s="28" t="str">
        <f aca="false">IF(E113="","",IFERROR(INDEX('Med Ball Library'!$C$6:$C$19,MATCH(E113,'Med Ball Library'!$B$6:$B$19,0)),"Unknown ID"))</f>
        <v/>
      </c>
      <c r="G113" s="27"/>
      <c r="H113" s="27"/>
      <c r="I113" s="27"/>
      <c r="J113" s="27"/>
      <c r="K113" s="28" t="str">
        <f aca="false">IF(COUNT(H113,I113,J113)&lt;3,"",H113*I113*J113)</f>
        <v/>
      </c>
      <c r="L113" s="27"/>
      <c r="M113" s="27"/>
      <c r="N113" s="27"/>
      <c r="O113" s="27"/>
      <c r="P113" s="27"/>
    </row>
    <row r="114" customFormat="false" ht="15" hidden="false" customHeight="false" outlineLevel="0" collapsed="false">
      <c r="B114" s="26"/>
      <c r="C114" s="27"/>
      <c r="D114" s="28" t="str">
        <f aca="false">IF(C114="","",IFERROR(INDEX(Players!$C$5:$C$104,MATCH(C114,Players!$B$5:$B$104,0)),"ID not found"))</f>
        <v/>
      </c>
      <c r="E114" s="27"/>
      <c r="F114" s="28" t="str">
        <f aca="false">IF(E114="","",IFERROR(INDEX('Med Ball Library'!$C$6:$C$19,MATCH(E114,'Med Ball Library'!$B$6:$B$19,0)),"Unknown ID"))</f>
        <v/>
      </c>
      <c r="G114" s="27"/>
      <c r="H114" s="27"/>
      <c r="I114" s="27"/>
      <c r="J114" s="27"/>
      <c r="K114" s="28" t="str">
        <f aca="false">IF(COUNT(H114,I114,J114)&lt;3,"",H114*I114*J114)</f>
        <v/>
      </c>
      <c r="L114" s="27"/>
      <c r="M114" s="27"/>
      <c r="N114" s="27"/>
      <c r="O114" s="27"/>
      <c r="P114" s="27"/>
    </row>
    <row r="115" customFormat="false" ht="15" hidden="false" customHeight="false" outlineLevel="0" collapsed="false">
      <c r="B115" s="26"/>
      <c r="C115" s="27"/>
      <c r="D115" s="28" t="str">
        <f aca="false">IF(C115="","",IFERROR(INDEX(Players!$C$5:$C$104,MATCH(C115,Players!$B$5:$B$104,0)),"ID not found"))</f>
        <v/>
      </c>
      <c r="E115" s="27"/>
      <c r="F115" s="28" t="str">
        <f aca="false">IF(E115="","",IFERROR(INDEX('Med Ball Library'!$C$6:$C$19,MATCH(E115,'Med Ball Library'!$B$6:$B$19,0)),"Unknown ID"))</f>
        <v/>
      </c>
      <c r="G115" s="27"/>
      <c r="H115" s="27"/>
      <c r="I115" s="27"/>
      <c r="J115" s="27"/>
      <c r="K115" s="28" t="str">
        <f aca="false">IF(COUNT(H115,I115,J115)&lt;3,"",H115*I115*J115)</f>
        <v/>
      </c>
      <c r="L115" s="27"/>
      <c r="M115" s="27"/>
      <c r="N115" s="27"/>
      <c r="O115" s="27"/>
      <c r="P115" s="27"/>
    </row>
    <row r="116" customFormat="false" ht="15" hidden="false" customHeight="false" outlineLevel="0" collapsed="false">
      <c r="B116" s="26"/>
      <c r="C116" s="27"/>
      <c r="D116" s="28" t="str">
        <f aca="false">IF(C116="","",IFERROR(INDEX(Players!$C$5:$C$104,MATCH(C116,Players!$B$5:$B$104,0)),"ID not found"))</f>
        <v/>
      </c>
      <c r="E116" s="27"/>
      <c r="F116" s="28" t="str">
        <f aca="false">IF(E116="","",IFERROR(INDEX('Med Ball Library'!$C$6:$C$19,MATCH(E116,'Med Ball Library'!$B$6:$B$19,0)),"Unknown ID"))</f>
        <v/>
      </c>
      <c r="G116" s="27"/>
      <c r="H116" s="27"/>
      <c r="I116" s="27"/>
      <c r="J116" s="27"/>
      <c r="K116" s="28" t="str">
        <f aca="false">IF(COUNT(H116,I116,J116)&lt;3,"",H116*I116*J116)</f>
        <v/>
      </c>
      <c r="L116" s="27"/>
      <c r="M116" s="27"/>
      <c r="N116" s="27"/>
      <c r="O116" s="27"/>
      <c r="P116" s="27"/>
    </row>
    <row r="117" customFormat="false" ht="15" hidden="false" customHeight="false" outlineLevel="0" collapsed="false">
      <c r="B117" s="26"/>
      <c r="C117" s="27"/>
      <c r="D117" s="28" t="str">
        <f aca="false">IF(C117="","",IFERROR(INDEX(Players!$C$5:$C$104,MATCH(C117,Players!$B$5:$B$104,0)),"ID not found"))</f>
        <v/>
      </c>
      <c r="E117" s="27"/>
      <c r="F117" s="28" t="str">
        <f aca="false">IF(E117="","",IFERROR(INDEX('Med Ball Library'!$C$6:$C$19,MATCH(E117,'Med Ball Library'!$B$6:$B$19,0)),"Unknown ID"))</f>
        <v/>
      </c>
      <c r="G117" s="27"/>
      <c r="H117" s="27"/>
      <c r="I117" s="27"/>
      <c r="J117" s="27"/>
      <c r="K117" s="28" t="str">
        <f aca="false">IF(COUNT(H117,I117,J117)&lt;3,"",H117*I117*J117)</f>
        <v/>
      </c>
      <c r="L117" s="27"/>
      <c r="M117" s="27"/>
      <c r="N117" s="27"/>
      <c r="O117" s="27"/>
      <c r="P117" s="27"/>
    </row>
    <row r="118" customFormat="false" ht="15" hidden="false" customHeight="false" outlineLevel="0" collapsed="false">
      <c r="B118" s="26"/>
      <c r="C118" s="27"/>
      <c r="D118" s="28" t="str">
        <f aca="false">IF(C118="","",IFERROR(INDEX(Players!$C$5:$C$104,MATCH(C118,Players!$B$5:$B$104,0)),"ID not found"))</f>
        <v/>
      </c>
      <c r="E118" s="27"/>
      <c r="F118" s="28" t="str">
        <f aca="false">IF(E118="","",IFERROR(INDEX('Med Ball Library'!$C$6:$C$19,MATCH(E118,'Med Ball Library'!$B$6:$B$19,0)),"Unknown ID"))</f>
        <v/>
      </c>
      <c r="G118" s="27"/>
      <c r="H118" s="27"/>
      <c r="I118" s="27"/>
      <c r="J118" s="27"/>
      <c r="K118" s="28" t="str">
        <f aca="false">IF(COUNT(H118,I118,J118)&lt;3,"",H118*I118*J118)</f>
        <v/>
      </c>
      <c r="L118" s="27"/>
      <c r="M118" s="27"/>
      <c r="N118" s="27"/>
      <c r="O118" s="27"/>
      <c r="P118" s="27"/>
    </row>
    <row r="119" customFormat="false" ht="15" hidden="false" customHeight="false" outlineLevel="0" collapsed="false">
      <c r="B119" s="26"/>
      <c r="C119" s="27"/>
      <c r="D119" s="28" t="str">
        <f aca="false">IF(C119="","",IFERROR(INDEX(Players!$C$5:$C$104,MATCH(C119,Players!$B$5:$B$104,0)),"ID not found"))</f>
        <v/>
      </c>
      <c r="E119" s="27"/>
      <c r="F119" s="28" t="str">
        <f aca="false">IF(E119="","",IFERROR(INDEX('Med Ball Library'!$C$6:$C$19,MATCH(E119,'Med Ball Library'!$B$6:$B$19,0)),"Unknown ID"))</f>
        <v/>
      </c>
      <c r="G119" s="27"/>
      <c r="H119" s="27"/>
      <c r="I119" s="27"/>
      <c r="J119" s="27"/>
      <c r="K119" s="28" t="str">
        <f aca="false">IF(COUNT(H119,I119,J119)&lt;3,"",H119*I119*J119)</f>
        <v/>
      </c>
      <c r="L119" s="27"/>
      <c r="M119" s="27"/>
      <c r="N119" s="27"/>
      <c r="O119" s="27"/>
      <c r="P119" s="27"/>
    </row>
    <row r="120" customFormat="false" ht="15" hidden="false" customHeight="false" outlineLevel="0" collapsed="false">
      <c r="B120" s="26"/>
      <c r="C120" s="27"/>
      <c r="D120" s="28" t="str">
        <f aca="false">IF(C120="","",IFERROR(INDEX(Players!$C$5:$C$104,MATCH(C120,Players!$B$5:$B$104,0)),"ID not found"))</f>
        <v/>
      </c>
      <c r="E120" s="27"/>
      <c r="F120" s="28" t="str">
        <f aca="false">IF(E120="","",IFERROR(INDEX('Med Ball Library'!$C$6:$C$19,MATCH(E120,'Med Ball Library'!$B$6:$B$19,0)),"Unknown ID"))</f>
        <v/>
      </c>
      <c r="G120" s="27"/>
      <c r="H120" s="27"/>
      <c r="I120" s="27"/>
      <c r="J120" s="27"/>
      <c r="K120" s="28" t="str">
        <f aca="false">IF(COUNT(H120,I120,J120)&lt;3,"",H120*I120*J120)</f>
        <v/>
      </c>
      <c r="L120" s="27"/>
      <c r="M120" s="27"/>
      <c r="N120" s="27"/>
      <c r="O120" s="27"/>
      <c r="P120" s="27"/>
    </row>
    <row r="121" customFormat="false" ht="15" hidden="false" customHeight="false" outlineLevel="0" collapsed="false">
      <c r="B121" s="26"/>
      <c r="C121" s="27"/>
      <c r="D121" s="28" t="str">
        <f aca="false">IF(C121="","",IFERROR(INDEX(Players!$C$5:$C$104,MATCH(C121,Players!$B$5:$B$104,0)),"ID not found"))</f>
        <v/>
      </c>
      <c r="E121" s="27"/>
      <c r="F121" s="28" t="str">
        <f aca="false">IF(E121="","",IFERROR(INDEX('Med Ball Library'!$C$6:$C$19,MATCH(E121,'Med Ball Library'!$B$6:$B$19,0)),"Unknown ID"))</f>
        <v/>
      </c>
      <c r="G121" s="27"/>
      <c r="H121" s="27"/>
      <c r="I121" s="27"/>
      <c r="J121" s="27"/>
      <c r="K121" s="28" t="str">
        <f aca="false">IF(COUNT(H121,I121,J121)&lt;3,"",H121*I121*J121)</f>
        <v/>
      </c>
      <c r="L121" s="27"/>
      <c r="M121" s="27"/>
      <c r="N121" s="27"/>
      <c r="O121" s="27"/>
      <c r="P121" s="27"/>
    </row>
    <row r="122" customFormat="false" ht="15" hidden="false" customHeight="false" outlineLevel="0" collapsed="false">
      <c r="B122" s="26"/>
      <c r="C122" s="27"/>
      <c r="D122" s="28" t="str">
        <f aca="false">IF(C122="","",IFERROR(INDEX(Players!$C$5:$C$104,MATCH(C122,Players!$B$5:$B$104,0)),"ID not found"))</f>
        <v/>
      </c>
      <c r="E122" s="27"/>
      <c r="F122" s="28" t="str">
        <f aca="false">IF(E122="","",IFERROR(INDEX('Med Ball Library'!$C$6:$C$19,MATCH(E122,'Med Ball Library'!$B$6:$B$19,0)),"Unknown ID"))</f>
        <v/>
      </c>
      <c r="G122" s="27"/>
      <c r="H122" s="27"/>
      <c r="I122" s="27"/>
      <c r="J122" s="27"/>
      <c r="K122" s="28" t="str">
        <f aca="false">IF(COUNT(H122,I122,J122)&lt;3,"",H122*I122*J122)</f>
        <v/>
      </c>
      <c r="L122" s="27"/>
      <c r="M122" s="27"/>
      <c r="N122" s="27"/>
      <c r="O122" s="27"/>
      <c r="P122" s="27"/>
    </row>
    <row r="123" customFormat="false" ht="15" hidden="false" customHeight="false" outlineLevel="0" collapsed="false">
      <c r="B123" s="26"/>
      <c r="C123" s="27"/>
      <c r="D123" s="28" t="str">
        <f aca="false">IF(C123="","",IFERROR(INDEX(Players!$C$5:$C$104,MATCH(C123,Players!$B$5:$B$104,0)),"ID not found"))</f>
        <v/>
      </c>
      <c r="E123" s="27"/>
      <c r="F123" s="28" t="str">
        <f aca="false">IF(E123="","",IFERROR(INDEX('Med Ball Library'!$C$6:$C$19,MATCH(E123,'Med Ball Library'!$B$6:$B$19,0)),"Unknown ID"))</f>
        <v/>
      </c>
      <c r="G123" s="27"/>
      <c r="H123" s="27"/>
      <c r="I123" s="27"/>
      <c r="J123" s="27"/>
      <c r="K123" s="28" t="str">
        <f aca="false">IF(COUNT(H123,I123,J123)&lt;3,"",H123*I123*J123)</f>
        <v/>
      </c>
      <c r="L123" s="27"/>
      <c r="M123" s="27"/>
      <c r="N123" s="27"/>
      <c r="O123" s="27"/>
      <c r="P123" s="27"/>
    </row>
    <row r="124" customFormat="false" ht="15" hidden="false" customHeight="false" outlineLevel="0" collapsed="false">
      <c r="B124" s="26"/>
      <c r="C124" s="27"/>
      <c r="D124" s="28" t="str">
        <f aca="false">IF(C124="","",IFERROR(INDEX(Players!$C$5:$C$104,MATCH(C124,Players!$B$5:$B$104,0)),"ID not found"))</f>
        <v/>
      </c>
      <c r="E124" s="27"/>
      <c r="F124" s="28" t="str">
        <f aca="false">IF(E124="","",IFERROR(INDEX('Med Ball Library'!$C$6:$C$19,MATCH(E124,'Med Ball Library'!$B$6:$B$19,0)),"Unknown ID"))</f>
        <v/>
      </c>
      <c r="G124" s="27"/>
      <c r="H124" s="27"/>
      <c r="I124" s="27"/>
      <c r="J124" s="27"/>
      <c r="K124" s="28" t="str">
        <f aca="false">IF(COUNT(H124,I124,J124)&lt;3,"",H124*I124*J124)</f>
        <v/>
      </c>
      <c r="L124" s="27"/>
      <c r="M124" s="27"/>
      <c r="N124" s="27"/>
      <c r="O124" s="27"/>
      <c r="P124" s="27"/>
    </row>
    <row r="125" customFormat="false" ht="15" hidden="false" customHeight="false" outlineLevel="0" collapsed="false">
      <c r="B125" s="26"/>
      <c r="C125" s="27"/>
      <c r="D125" s="28" t="str">
        <f aca="false">IF(C125="","",IFERROR(INDEX(Players!$C$5:$C$104,MATCH(C125,Players!$B$5:$B$104,0)),"ID not found"))</f>
        <v/>
      </c>
      <c r="E125" s="27"/>
      <c r="F125" s="28" t="str">
        <f aca="false">IF(E125="","",IFERROR(INDEX('Med Ball Library'!$C$6:$C$19,MATCH(E125,'Med Ball Library'!$B$6:$B$19,0)),"Unknown ID"))</f>
        <v/>
      </c>
      <c r="G125" s="27"/>
      <c r="H125" s="27"/>
      <c r="I125" s="27"/>
      <c r="J125" s="27"/>
      <c r="K125" s="28" t="str">
        <f aca="false">IF(COUNT(H125,I125,J125)&lt;3,"",H125*I125*J125)</f>
        <v/>
      </c>
      <c r="L125" s="27"/>
      <c r="M125" s="27"/>
      <c r="N125" s="27"/>
      <c r="O125" s="27"/>
      <c r="P125" s="27"/>
    </row>
    <row r="126" customFormat="false" ht="15" hidden="false" customHeight="false" outlineLevel="0" collapsed="false">
      <c r="B126" s="26"/>
      <c r="C126" s="27"/>
      <c r="D126" s="28" t="str">
        <f aca="false">IF(C126="","",IFERROR(INDEX(Players!$C$5:$C$104,MATCH(C126,Players!$B$5:$B$104,0)),"ID not found"))</f>
        <v/>
      </c>
      <c r="E126" s="27"/>
      <c r="F126" s="28" t="str">
        <f aca="false">IF(E126="","",IFERROR(INDEX('Med Ball Library'!$C$6:$C$19,MATCH(E126,'Med Ball Library'!$B$6:$B$19,0)),"Unknown ID"))</f>
        <v/>
      </c>
      <c r="G126" s="27"/>
      <c r="H126" s="27"/>
      <c r="I126" s="27"/>
      <c r="J126" s="27"/>
      <c r="K126" s="28" t="str">
        <f aca="false">IF(COUNT(H126,I126,J126)&lt;3,"",H126*I126*J126)</f>
        <v/>
      </c>
      <c r="L126" s="27"/>
      <c r="M126" s="27"/>
      <c r="N126" s="27"/>
      <c r="O126" s="27"/>
      <c r="P126" s="27"/>
    </row>
    <row r="127" customFormat="false" ht="15" hidden="false" customHeight="false" outlineLevel="0" collapsed="false">
      <c r="B127" s="26"/>
      <c r="C127" s="27"/>
      <c r="D127" s="28" t="str">
        <f aca="false">IF(C127="","",IFERROR(INDEX(Players!$C$5:$C$104,MATCH(C127,Players!$B$5:$B$104,0)),"ID not found"))</f>
        <v/>
      </c>
      <c r="E127" s="27"/>
      <c r="F127" s="28" t="str">
        <f aca="false">IF(E127="","",IFERROR(INDEX('Med Ball Library'!$C$6:$C$19,MATCH(E127,'Med Ball Library'!$B$6:$B$19,0)),"Unknown ID"))</f>
        <v/>
      </c>
      <c r="G127" s="27"/>
      <c r="H127" s="27"/>
      <c r="I127" s="27"/>
      <c r="J127" s="27"/>
      <c r="K127" s="28" t="str">
        <f aca="false">IF(COUNT(H127,I127,J127)&lt;3,"",H127*I127*J127)</f>
        <v/>
      </c>
      <c r="L127" s="27"/>
      <c r="M127" s="27"/>
      <c r="N127" s="27"/>
      <c r="O127" s="27"/>
      <c r="P127" s="27"/>
    </row>
    <row r="128" customFormat="false" ht="15" hidden="false" customHeight="false" outlineLevel="0" collapsed="false">
      <c r="B128" s="26"/>
      <c r="C128" s="27"/>
      <c r="D128" s="28" t="str">
        <f aca="false">IF(C128="","",IFERROR(INDEX(Players!$C$5:$C$104,MATCH(C128,Players!$B$5:$B$104,0)),"ID not found"))</f>
        <v/>
      </c>
      <c r="E128" s="27"/>
      <c r="F128" s="28" t="str">
        <f aca="false">IF(E128="","",IFERROR(INDEX('Med Ball Library'!$C$6:$C$19,MATCH(E128,'Med Ball Library'!$B$6:$B$19,0)),"Unknown ID"))</f>
        <v/>
      </c>
      <c r="G128" s="27"/>
      <c r="H128" s="27"/>
      <c r="I128" s="27"/>
      <c r="J128" s="27"/>
      <c r="K128" s="28" t="str">
        <f aca="false">IF(COUNT(H128,I128,J128)&lt;3,"",H128*I128*J128)</f>
        <v/>
      </c>
      <c r="L128" s="27"/>
      <c r="M128" s="27"/>
      <c r="N128" s="27"/>
      <c r="O128" s="27"/>
      <c r="P128" s="27"/>
    </row>
    <row r="129" customFormat="false" ht="15" hidden="false" customHeight="false" outlineLevel="0" collapsed="false">
      <c r="B129" s="26"/>
      <c r="C129" s="27"/>
      <c r="D129" s="28" t="str">
        <f aca="false">IF(C129="","",IFERROR(INDEX(Players!$C$5:$C$104,MATCH(C129,Players!$B$5:$B$104,0)),"ID not found"))</f>
        <v/>
      </c>
      <c r="E129" s="27"/>
      <c r="F129" s="28" t="str">
        <f aca="false">IF(E129="","",IFERROR(INDEX('Med Ball Library'!$C$6:$C$19,MATCH(E129,'Med Ball Library'!$B$6:$B$19,0)),"Unknown ID"))</f>
        <v/>
      </c>
      <c r="G129" s="27"/>
      <c r="H129" s="27"/>
      <c r="I129" s="27"/>
      <c r="J129" s="27"/>
      <c r="K129" s="28" t="str">
        <f aca="false">IF(COUNT(H129,I129,J129)&lt;3,"",H129*I129*J129)</f>
        <v/>
      </c>
      <c r="L129" s="27"/>
      <c r="M129" s="27"/>
      <c r="N129" s="27"/>
      <c r="O129" s="27"/>
      <c r="P129" s="27"/>
    </row>
    <row r="130" customFormat="false" ht="15" hidden="false" customHeight="false" outlineLevel="0" collapsed="false">
      <c r="B130" s="26"/>
      <c r="C130" s="27"/>
      <c r="D130" s="28" t="str">
        <f aca="false">IF(C130="","",IFERROR(INDEX(Players!$C$5:$C$104,MATCH(C130,Players!$B$5:$B$104,0)),"ID not found"))</f>
        <v/>
      </c>
      <c r="E130" s="27"/>
      <c r="F130" s="28" t="str">
        <f aca="false">IF(E130="","",IFERROR(INDEX('Med Ball Library'!$C$6:$C$19,MATCH(E130,'Med Ball Library'!$B$6:$B$19,0)),"Unknown ID"))</f>
        <v/>
      </c>
      <c r="G130" s="27"/>
      <c r="H130" s="27"/>
      <c r="I130" s="27"/>
      <c r="J130" s="27"/>
      <c r="K130" s="28" t="str">
        <f aca="false">IF(COUNT(H130,I130,J130)&lt;3,"",H130*I130*J130)</f>
        <v/>
      </c>
      <c r="L130" s="27"/>
      <c r="M130" s="27"/>
      <c r="N130" s="27"/>
      <c r="O130" s="27"/>
      <c r="P130" s="27"/>
    </row>
    <row r="131" customFormat="false" ht="15" hidden="false" customHeight="false" outlineLevel="0" collapsed="false">
      <c r="B131" s="26"/>
      <c r="C131" s="27"/>
      <c r="D131" s="28" t="str">
        <f aca="false">IF(C131="","",IFERROR(INDEX(Players!$C$5:$C$104,MATCH(C131,Players!$B$5:$B$104,0)),"ID not found"))</f>
        <v/>
      </c>
      <c r="E131" s="27"/>
      <c r="F131" s="28" t="str">
        <f aca="false">IF(E131="","",IFERROR(INDEX('Med Ball Library'!$C$6:$C$19,MATCH(E131,'Med Ball Library'!$B$6:$B$19,0)),"Unknown ID"))</f>
        <v/>
      </c>
      <c r="G131" s="27"/>
      <c r="H131" s="27"/>
      <c r="I131" s="27"/>
      <c r="J131" s="27"/>
      <c r="K131" s="28" t="str">
        <f aca="false">IF(COUNT(H131,I131,J131)&lt;3,"",H131*I131*J131)</f>
        <v/>
      </c>
      <c r="L131" s="27"/>
      <c r="M131" s="27"/>
      <c r="N131" s="27"/>
      <c r="O131" s="27"/>
      <c r="P131" s="27"/>
    </row>
    <row r="132" customFormat="false" ht="15" hidden="false" customHeight="false" outlineLevel="0" collapsed="false">
      <c r="B132" s="26"/>
      <c r="C132" s="27"/>
      <c r="D132" s="28" t="str">
        <f aca="false">IF(C132="","",IFERROR(INDEX(Players!$C$5:$C$104,MATCH(C132,Players!$B$5:$B$104,0)),"ID not found"))</f>
        <v/>
      </c>
      <c r="E132" s="27"/>
      <c r="F132" s="28" t="str">
        <f aca="false">IF(E132="","",IFERROR(INDEX('Med Ball Library'!$C$6:$C$19,MATCH(E132,'Med Ball Library'!$B$6:$B$19,0)),"Unknown ID"))</f>
        <v/>
      </c>
      <c r="G132" s="27"/>
      <c r="H132" s="27"/>
      <c r="I132" s="27"/>
      <c r="J132" s="27"/>
      <c r="K132" s="28" t="str">
        <f aca="false">IF(COUNT(H132,I132,J132)&lt;3,"",H132*I132*J132)</f>
        <v/>
      </c>
      <c r="L132" s="27"/>
      <c r="M132" s="27"/>
      <c r="N132" s="27"/>
      <c r="O132" s="27"/>
      <c r="P132" s="27"/>
    </row>
    <row r="133" customFormat="false" ht="15" hidden="false" customHeight="false" outlineLevel="0" collapsed="false">
      <c r="B133" s="26"/>
      <c r="C133" s="27"/>
      <c r="D133" s="28" t="str">
        <f aca="false">IF(C133="","",IFERROR(INDEX(Players!$C$5:$C$104,MATCH(C133,Players!$B$5:$B$104,0)),"ID not found"))</f>
        <v/>
      </c>
      <c r="E133" s="27"/>
      <c r="F133" s="28" t="str">
        <f aca="false">IF(E133="","",IFERROR(INDEX('Med Ball Library'!$C$6:$C$19,MATCH(E133,'Med Ball Library'!$B$6:$B$19,0)),"Unknown ID"))</f>
        <v/>
      </c>
      <c r="G133" s="27"/>
      <c r="H133" s="27"/>
      <c r="I133" s="27"/>
      <c r="J133" s="27"/>
      <c r="K133" s="28" t="str">
        <f aca="false">IF(COUNT(H133,I133,J133)&lt;3,"",H133*I133*J133)</f>
        <v/>
      </c>
      <c r="L133" s="27"/>
      <c r="M133" s="27"/>
      <c r="N133" s="27"/>
      <c r="O133" s="27"/>
      <c r="P133" s="27"/>
    </row>
    <row r="134" customFormat="false" ht="15" hidden="false" customHeight="false" outlineLevel="0" collapsed="false">
      <c r="B134" s="26"/>
      <c r="C134" s="27"/>
      <c r="D134" s="28" t="str">
        <f aca="false">IF(C134="","",IFERROR(INDEX(Players!$C$5:$C$104,MATCH(C134,Players!$B$5:$B$104,0)),"ID not found"))</f>
        <v/>
      </c>
      <c r="E134" s="27"/>
      <c r="F134" s="28" t="str">
        <f aca="false">IF(E134="","",IFERROR(INDEX('Med Ball Library'!$C$6:$C$19,MATCH(E134,'Med Ball Library'!$B$6:$B$19,0)),"Unknown ID"))</f>
        <v/>
      </c>
      <c r="G134" s="27"/>
      <c r="H134" s="27"/>
      <c r="I134" s="27"/>
      <c r="J134" s="27"/>
      <c r="K134" s="28" t="str">
        <f aca="false">IF(COUNT(H134,I134,J134)&lt;3,"",H134*I134*J134)</f>
        <v/>
      </c>
      <c r="L134" s="27"/>
      <c r="M134" s="27"/>
      <c r="N134" s="27"/>
      <c r="O134" s="27"/>
      <c r="P134" s="27"/>
    </row>
    <row r="135" customFormat="false" ht="15" hidden="false" customHeight="false" outlineLevel="0" collapsed="false">
      <c r="B135" s="26"/>
      <c r="C135" s="27"/>
      <c r="D135" s="28" t="str">
        <f aca="false">IF(C135="","",IFERROR(INDEX(Players!$C$5:$C$104,MATCH(C135,Players!$B$5:$B$104,0)),"ID not found"))</f>
        <v/>
      </c>
      <c r="E135" s="27"/>
      <c r="F135" s="28" t="str">
        <f aca="false">IF(E135="","",IFERROR(INDEX('Med Ball Library'!$C$6:$C$19,MATCH(E135,'Med Ball Library'!$B$6:$B$19,0)),"Unknown ID"))</f>
        <v/>
      </c>
      <c r="G135" s="27"/>
      <c r="H135" s="27"/>
      <c r="I135" s="27"/>
      <c r="J135" s="27"/>
      <c r="K135" s="28" t="str">
        <f aca="false">IF(COUNT(H135,I135,J135)&lt;3,"",H135*I135*J135)</f>
        <v/>
      </c>
      <c r="L135" s="27"/>
      <c r="M135" s="27"/>
      <c r="N135" s="27"/>
      <c r="O135" s="27"/>
      <c r="P135" s="27"/>
    </row>
    <row r="136" customFormat="false" ht="15" hidden="false" customHeight="false" outlineLevel="0" collapsed="false">
      <c r="B136" s="26"/>
      <c r="C136" s="27"/>
      <c r="D136" s="28" t="str">
        <f aca="false">IF(C136="","",IFERROR(INDEX(Players!$C$5:$C$104,MATCH(C136,Players!$B$5:$B$104,0)),"ID not found"))</f>
        <v/>
      </c>
      <c r="E136" s="27"/>
      <c r="F136" s="28" t="str">
        <f aca="false">IF(E136="","",IFERROR(INDEX('Med Ball Library'!$C$6:$C$19,MATCH(E136,'Med Ball Library'!$B$6:$B$19,0)),"Unknown ID"))</f>
        <v/>
      </c>
      <c r="G136" s="27"/>
      <c r="H136" s="27"/>
      <c r="I136" s="27"/>
      <c r="J136" s="27"/>
      <c r="K136" s="28" t="str">
        <f aca="false">IF(COUNT(H136,I136,J136)&lt;3,"",H136*I136*J136)</f>
        <v/>
      </c>
      <c r="L136" s="27"/>
      <c r="M136" s="27"/>
      <c r="N136" s="27"/>
      <c r="O136" s="27"/>
      <c r="P136" s="27"/>
    </row>
    <row r="137" customFormat="false" ht="15" hidden="false" customHeight="false" outlineLevel="0" collapsed="false">
      <c r="B137" s="26"/>
      <c r="C137" s="27"/>
      <c r="D137" s="28" t="str">
        <f aca="false">IF(C137="","",IFERROR(INDEX(Players!$C$5:$C$104,MATCH(C137,Players!$B$5:$B$104,0)),"ID not found"))</f>
        <v/>
      </c>
      <c r="E137" s="27"/>
      <c r="F137" s="28" t="str">
        <f aca="false">IF(E137="","",IFERROR(INDEX('Med Ball Library'!$C$6:$C$19,MATCH(E137,'Med Ball Library'!$B$6:$B$19,0)),"Unknown ID"))</f>
        <v/>
      </c>
      <c r="G137" s="27"/>
      <c r="H137" s="27"/>
      <c r="I137" s="27"/>
      <c r="J137" s="27"/>
      <c r="K137" s="28" t="str">
        <f aca="false">IF(COUNT(H137,I137,J137)&lt;3,"",H137*I137*J137)</f>
        <v/>
      </c>
      <c r="L137" s="27"/>
      <c r="M137" s="27"/>
      <c r="N137" s="27"/>
      <c r="O137" s="27"/>
      <c r="P137" s="27"/>
    </row>
    <row r="138" customFormat="false" ht="15" hidden="false" customHeight="false" outlineLevel="0" collapsed="false">
      <c r="B138" s="26"/>
      <c r="C138" s="27"/>
      <c r="D138" s="28" t="str">
        <f aca="false">IF(C138="","",IFERROR(INDEX(Players!$C$5:$C$104,MATCH(C138,Players!$B$5:$B$104,0)),"ID not found"))</f>
        <v/>
      </c>
      <c r="E138" s="27"/>
      <c r="F138" s="28" t="str">
        <f aca="false">IF(E138="","",IFERROR(INDEX('Med Ball Library'!$C$6:$C$19,MATCH(E138,'Med Ball Library'!$B$6:$B$19,0)),"Unknown ID"))</f>
        <v/>
      </c>
      <c r="G138" s="27"/>
      <c r="H138" s="27"/>
      <c r="I138" s="27"/>
      <c r="J138" s="27"/>
      <c r="K138" s="28" t="str">
        <f aca="false">IF(COUNT(H138,I138,J138)&lt;3,"",H138*I138*J138)</f>
        <v/>
      </c>
      <c r="L138" s="27"/>
      <c r="M138" s="27"/>
      <c r="N138" s="27"/>
      <c r="O138" s="27"/>
      <c r="P138" s="27"/>
    </row>
    <row r="139" customFormat="false" ht="15" hidden="false" customHeight="false" outlineLevel="0" collapsed="false">
      <c r="B139" s="26"/>
      <c r="C139" s="27"/>
      <c r="D139" s="28" t="str">
        <f aca="false">IF(C139="","",IFERROR(INDEX(Players!$C$5:$C$104,MATCH(C139,Players!$B$5:$B$104,0)),"ID not found"))</f>
        <v/>
      </c>
      <c r="E139" s="27"/>
      <c r="F139" s="28" t="str">
        <f aca="false">IF(E139="","",IFERROR(INDEX('Med Ball Library'!$C$6:$C$19,MATCH(E139,'Med Ball Library'!$B$6:$B$19,0)),"Unknown ID"))</f>
        <v/>
      </c>
      <c r="G139" s="27"/>
      <c r="H139" s="27"/>
      <c r="I139" s="27"/>
      <c r="J139" s="27"/>
      <c r="K139" s="28" t="str">
        <f aca="false">IF(COUNT(H139,I139,J139)&lt;3,"",H139*I139*J139)</f>
        <v/>
      </c>
      <c r="L139" s="27"/>
      <c r="M139" s="27"/>
      <c r="N139" s="27"/>
      <c r="O139" s="27"/>
      <c r="P139" s="27"/>
    </row>
    <row r="140" customFormat="false" ht="15" hidden="false" customHeight="false" outlineLevel="0" collapsed="false">
      <c r="B140" s="26"/>
      <c r="C140" s="27"/>
      <c r="D140" s="28" t="str">
        <f aca="false">IF(C140="","",IFERROR(INDEX(Players!$C$5:$C$104,MATCH(C140,Players!$B$5:$B$104,0)),"ID not found"))</f>
        <v/>
      </c>
      <c r="E140" s="27"/>
      <c r="F140" s="28" t="str">
        <f aca="false">IF(E140="","",IFERROR(INDEX('Med Ball Library'!$C$6:$C$19,MATCH(E140,'Med Ball Library'!$B$6:$B$19,0)),"Unknown ID"))</f>
        <v/>
      </c>
      <c r="G140" s="27"/>
      <c r="H140" s="27"/>
      <c r="I140" s="27"/>
      <c r="J140" s="27"/>
      <c r="K140" s="28" t="str">
        <f aca="false">IF(COUNT(H140,I140,J140)&lt;3,"",H140*I140*J140)</f>
        <v/>
      </c>
      <c r="L140" s="27"/>
      <c r="M140" s="27"/>
      <c r="N140" s="27"/>
      <c r="O140" s="27"/>
      <c r="P140" s="27"/>
    </row>
    <row r="141" customFormat="false" ht="15" hidden="false" customHeight="false" outlineLevel="0" collapsed="false">
      <c r="B141" s="26"/>
      <c r="C141" s="27"/>
      <c r="D141" s="28" t="str">
        <f aca="false">IF(C141="","",IFERROR(INDEX(Players!$C$5:$C$104,MATCH(C141,Players!$B$5:$B$104,0)),"ID not found"))</f>
        <v/>
      </c>
      <c r="E141" s="27"/>
      <c r="F141" s="28" t="str">
        <f aca="false">IF(E141="","",IFERROR(INDEX('Med Ball Library'!$C$6:$C$19,MATCH(E141,'Med Ball Library'!$B$6:$B$19,0)),"Unknown ID"))</f>
        <v/>
      </c>
      <c r="G141" s="27"/>
      <c r="H141" s="27"/>
      <c r="I141" s="27"/>
      <c r="J141" s="27"/>
      <c r="K141" s="28" t="str">
        <f aca="false">IF(COUNT(H141,I141,J141)&lt;3,"",H141*I141*J141)</f>
        <v/>
      </c>
      <c r="L141" s="27"/>
      <c r="M141" s="27"/>
      <c r="N141" s="27"/>
      <c r="O141" s="27"/>
      <c r="P141" s="27"/>
    </row>
    <row r="142" customFormat="false" ht="15" hidden="false" customHeight="false" outlineLevel="0" collapsed="false">
      <c r="B142" s="26"/>
      <c r="C142" s="27"/>
      <c r="D142" s="28" t="str">
        <f aca="false">IF(C142="","",IFERROR(INDEX(Players!$C$5:$C$104,MATCH(C142,Players!$B$5:$B$104,0)),"ID not found"))</f>
        <v/>
      </c>
      <c r="E142" s="27"/>
      <c r="F142" s="28" t="str">
        <f aca="false">IF(E142="","",IFERROR(INDEX('Med Ball Library'!$C$6:$C$19,MATCH(E142,'Med Ball Library'!$B$6:$B$19,0)),"Unknown ID"))</f>
        <v/>
      </c>
      <c r="G142" s="27"/>
      <c r="H142" s="27"/>
      <c r="I142" s="27"/>
      <c r="J142" s="27"/>
      <c r="K142" s="28" t="str">
        <f aca="false">IF(COUNT(H142,I142,J142)&lt;3,"",H142*I142*J142)</f>
        <v/>
      </c>
      <c r="L142" s="27"/>
      <c r="M142" s="27"/>
      <c r="N142" s="27"/>
      <c r="O142" s="27"/>
      <c r="P142" s="27"/>
    </row>
    <row r="143" customFormat="false" ht="15" hidden="false" customHeight="false" outlineLevel="0" collapsed="false">
      <c r="B143" s="26"/>
      <c r="C143" s="27"/>
      <c r="D143" s="28" t="str">
        <f aca="false">IF(C143="","",IFERROR(INDEX(Players!$C$5:$C$104,MATCH(C143,Players!$B$5:$B$104,0)),"ID not found"))</f>
        <v/>
      </c>
      <c r="E143" s="27"/>
      <c r="F143" s="28" t="str">
        <f aca="false">IF(E143="","",IFERROR(INDEX('Med Ball Library'!$C$6:$C$19,MATCH(E143,'Med Ball Library'!$B$6:$B$19,0)),"Unknown ID"))</f>
        <v/>
      </c>
      <c r="G143" s="27"/>
      <c r="H143" s="27"/>
      <c r="I143" s="27"/>
      <c r="J143" s="27"/>
      <c r="K143" s="28" t="str">
        <f aca="false">IF(COUNT(H143,I143,J143)&lt;3,"",H143*I143*J143)</f>
        <v/>
      </c>
      <c r="L143" s="27"/>
      <c r="M143" s="27"/>
      <c r="N143" s="27"/>
      <c r="O143" s="27"/>
      <c r="P143" s="27"/>
    </row>
    <row r="144" customFormat="false" ht="15" hidden="false" customHeight="false" outlineLevel="0" collapsed="false">
      <c r="B144" s="26"/>
      <c r="C144" s="27"/>
      <c r="D144" s="28" t="str">
        <f aca="false">IF(C144="","",IFERROR(INDEX(Players!$C$5:$C$104,MATCH(C144,Players!$B$5:$B$104,0)),"ID not found"))</f>
        <v/>
      </c>
      <c r="E144" s="27"/>
      <c r="F144" s="28" t="str">
        <f aca="false">IF(E144="","",IFERROR(INDEX('Med Ball Library'!$C$6:$C$19,MATCH(E144,'Med Ball Library'!$B$6:$B$19,0)),"Unknown ID"))</f>
        <v/>
      </c>
      <c r="G144" s="27"/>
      <c r="H144" s="27"/>
      <c r="I144" s="27"/>
      <c r="J144" s="27"/>
      <c r="K144" s="28" t="str">
        <f aca="false">IF(COUNT(H144,I144,J144)&lt;3,"",H144*I144*J144)</f>
        <v/>
      </c>
      <c r="L144" s="27"/>
      <c r="M144" s="27"/>
      <c r="N144" s="27"/>
      <c r="O144" s="27"/>
      <c r="P144" s="27"/>
    </row>
    <row r="145" customFormat="false" ht="15" hidden="false" customHeight="false" outlineLevel="0" collapsed="false">
      <c r="B145" s="26"/>
      <c r="C145" s="27"/>
      <c r="D145" s="28" t="str">
        <f aca="false">IF(C145="","",IFERROR(INDEX(Players!$C$5:$C$104,MATCH(C145,Players!$B$5:$B$104,0)),"ID not found"))</f>
        <v/>
      </c>
      <c r="E145" s="27"/>
      <c r="F145" s="28" t="str">
        <f aca="false">IF(E145="","",IFERROR(INDEX('Med Ball Library'!$C$6:$C$19,MATCH(E145,'Med Ball Library'!$B$6:$B$19,0)),"Unknown ID"))</f>
        <v/>
      </c>
      <c r="G145" s="27"/>
      <c r="H145" s="27"/>
      <c r="I145" s="27"/>
      <c r="J145" s="27"/>
      <c r="K145" s="28" t="str">
        <f aca="false">IF(COUNT(H145,I145,J145)&lt;3,"",H145*I145*J145)</f>
        <v/>
      </c>
      <c r="L145" s="27"/>
      <c r="M145" s="27"/>
      <c r="N145" s="27"/>
      <c r="O145" s="27"/>
      <c r="P145" s="27"/>
    </row>
    <row r="146" customFormat="false" ht="15" hidden="false" customHeight="false" outlineLevel="0" collapsed="false">
      <c r="B146" s="26"/>
      <c r="C146" s="27"/>
      <c r="D146" s="28" t="str">
        <f aca="false">IF(C146="","",IFERROR(INDEX(Players!$C$5:$C$104,MATCH(C146,Players!$B$5:$B$104,0)),"ID not found"))</f>
        <v/>
      </c>
      <c r="E146" s="27"/>
      <c r="F146" s="28" t="str">
        <f aca="false">IF(E146="","",IFERROR(INDEX('Med Ball Library'!$C$6:$C$19,MATCH(E146,'Med Ball Library'!$B$6:$B$19,0)),"Unknown ID"))</f>
        <v/>
      </c>
      <c r="G146" s="27"/>
      <c r="H146" s="27"/>
      <c r="I146" s="27"/>
      <c r="J146" s="27"/>
      <c r="K146" s="28" t="str">
        <f aca="false">IF(COUNT(H146,I146,J146)&lt;3,"",H146*I146*J146)</f>
        <v/>
      </c>
      <c r="L146" s="27"/>
      <c r="M146" s="27"/>
      <c r="N146" s="27"/>
      <c r="O146" s="27"/>
      <c r="P146" s="27"/>
    </row>
    <row r="147" customFormat="false" ht="15" hidden="false" customHeight="false" outlineLevel="0" collapsed="false">
      <c r="B147" s="26"/>
      <c r="C147" s="27"/>
      <c r="D147" s="28" t="str">
        <f aca="false">IF(C147="","",IFERROR(INDEX(Players!$C$5:$C$104,MATCH(C147,Players!$B$5:$B$104,0)),"ID not found"))</f>
        <v/>
      </c>
      <c r="E147" s="27"/>
      <c r="F147" s="28" t="str">
        <f aca="false">IF(E147="","",IFERROR(INDEX('Med Ball Library'!$C$6:$C$19,MATCH(E147,'Med Ball Library'!$B$6:$B$19,0)),"Unknown ID"))</f>
        <v/>
      </c>
      <c r="G147" s="27"/>
      <c r="H147" s="27"/>
      <c r="I147" s="27"/>
      <c r="J147" s="27"/>
      <c r="K147" s="28" t="str">
        <f aca="false">IF(COUNT(H147,I147,J147)&lt;3,"",H147*I147*J147)</f>
        <v/>
      </c>
      <c r="L147" s="27"/>
      <c r="M147" s="27"/>
      <c r="N147" s="27"/>
      <c r="O147" s="27"/>
      <c r="P147" s="27"/>
    </row>
    <row r="148" customFormat="false" ht="15" hidden="false" customHeight="false" outlineLevel="0" collapsed="false">
      <c r="B148" s="26"/>
      <c r="C148" s="27"/>
      <c r="D148" s="28" t="str">
        <f aca="false">IF(C148="","",IFERROR(INDEX(Players!$C$5:$C$104,MATCH(C148,Players!$B$5:$B$104,0)),"ID not found"))</f>
        <v/>
      </c>
      <c r="E148" s="27"/>
      <c r="F148" s="28" t="str">
        <f aca="false">IF(E148="","",IFERROR(INDEX('Med Ball Library'!$C$6:$C$19,MATCH(E148,'Med Ball Library'!$B$6:$B$19,0)),"Unknown ID"))</f>
        <v/>
      </c>
      <c r="G148" s="27"/>
      <c r="H148" s="27"/>
      <c r="I148" s="27"/>
      <c r="J148" s="27"/>
      <c r="K148" s="28" t="str">
        <f aca="false">IF(COUNT(H148,I148,J148)&lt;3,"",H148*I148*J148)</f>
        <v/>
      </c>
      <c r="L148" s="27"/>
      <c r="M148" s="27"/>
      <c r="N148" s="27"/>
      <c r="O148" s="27"/>
      <c r="P148" s="27"/>
    </row>
    <row r="149" customFormat="false" ht="15" hidden="false" customHeight="false" outlineLevel="0" collapsed="false">
      <c r="B149" s="26"/>
      <c r="C149" s="27"/>
      <c r="D149" s="28" t="str">
        <f aca="false">IF(C149="","",IFERROR(INDEX(Players!$C$5:$C$104,MATCH(C149,Players!$B$5:$B$104,0)),"ID not found"))</f>
        <v/>
      </c>
      <c r="E149" s="27"/>
      <c r="F149" s="28" t="str">
        <f aca="false">IF(E149="","",IFERROR(INDEX('Med Ball Library'!$C$6:$C$19,MATCH(E149,'Med Ball Library'!$B$6:$B$19,0)),"Unknown ID"))</f>
        <v/>
      </c>
      <c r="G149" s="27"/>
      <c r="H149" s="27"/>
      <c r="I149" s="27"/>
      <c r="J149" s="27"/>
      <c r="K149" s="28" t="str">
        <f aca="false">IF(COUNT(H149,I149,J149)&lt;3,"",H149*I149*J149)</f>
        <v/>
      </c>
      <c r="L149" s="27"/>
      <c r="M149" s="27"/>
      <c r="N149" s="27"/>
      <c r="O149" s="27"/>
      <c r="P149" s="27"/>
    </row>
    <row r="150" customFormat="false" ht="15" hidden="false" customHeight="false" outlineLevel="0" collapsed="false">
      <c r="B150" s="26"/>
      <c r="C150" s="27"/>
      <c r="D150" s="28" t="str">
        <f aca="false">IF(C150="","",IFERROR(INDEX(Players!$C$5:$C$104,MATCH(C150,Players!$B$5:$B$104,0)),"ID not found"))</f>
        <v/>
      </c>
      <c r="E150" s="27"/>
      <c r="F150" s="28" t="str">
        <f aca="false">IF(E150="","",IFERROR(INDEX('Med Ball Library'!$C$6:$C$19,MATCH(E150,'Med Ball Library'!$B$6:$B$19,0)),"Unknown ID"))</f>
        <v/>
      </c>
      <c r="G150" s="27"/>
      <c r="H150" s="27"/>
      <c r="I150" s="27"/>
      <c r="J150" s="27"/>
      <c r="K150" s="28" t="str">
        <f aca="false">IF(COUNT(H150,I150,J150)&lt;3,"",H150*I150*J150)</f>
        <v/>
      </c>
      <c r="L150" s="27"/>
      <c r="M150" s="27"/>
      <c r="N150" s="27"/>
      <c r="O150" s="27"/>
      <c r="P150" s="27"/>
    </row>
    <row r="151" customFormat="false" ht="15" hidden="false" customHeight="false" outlineLevel="0" collapsed="false">
      <c r="B151" s="26"/>
      <c r="C151" s="27"/>
      <c r="D151" s="28" t="str">
        <f aca="false">IF(C151="","",IFERROR(INDEX(Players!$C$5:$C$104,MATCH(C151,Players!$B$5:$B$104,0)),"ID not found"))</f>
        <v/>
      </c>
      <c r="E151" s="27"/>
      <c r="F151" s="28" t="str">
        <f aca="false">IF(E151="","",IFERROR(INDEX('Med Ball Library'!$C$6:$C$19,MATCH(E151,'Med Ball Library'!$B$6:$B$19,0)),"Unknown ID"))</f>
        <v/>
      </c>
      <c r="G151" s="27"/>
      <c r="H151" s="27"/>
      <c r="I151" s="27"/>
      <c r="J151" s="27"/>
      <c r="K151" s="28" t="str">
        <f aca="false">IF(COUNT(H151,I151,J151)&lt;3,"",H151*I151*J151)</f>
        <v/>
      </c>
      <c r="L151" s="27"/>
      <c r="M151" s="27"/>
      <c r="N151" s="27"/>
      <c r="O151" s="27"/>
      <c r="P151" s="27"/>
    </row>
    <row r="152" customFormat="false" ht="15" hidden="false" customHeight="false" outlineLevel="0" collapsed="false">
      <c r="B152" s="26"/>
      <c r="C152" s="27"/>
      <c r="D152" s="28" t="str">
        <f aca="false">IF(C152="","",IFERROR(INDEX(Players!$C$5:$C$104,MATCH(C152,Players!$B$5:$B$104,0)),"ID not found"))</f>
        <v/>
      </c>
      <c r="E152" s="27"/>
      <c r="F152" s="28" t="str">
        <f aca="false">IF(E152="","",IFERROR(INDEX('Med Ball Library'!$C$6:$C$19,MATCH(E152,'Med Ball Library'!$B$6:$B$19,0)),"Unknown ID"))</f>
        <v/>
      </c>
      <c r="G152" s="27"/>
      <c r="H152" s="27"/>
      <c r="I152" s="27"/>
      <c r="J152" s="27"/>
      <c r="K152" s="28" t="str">
        <f aca="false">IF(COUNT(H152,I152,J152)&lt;3,"",H152*I152*J152)</f>
        <v/>
      </c>
      <c r="L152" s="27"/>
      <c r="M152" s="27"/>
      <c r="N152" s="27"/>
      <c r="O152" s="27"/>
      <c r="P152" s="27"/>
    </row>
    <row r="153" customFormat="false" ht="15" hidden="false" customHeight="false" outlineLevel="0" collapsed="false">
      <c r="B153" s="26"/>
      <c r="C153" s="27"/>
      <c r="D153" s="28" t="str">
        <f aca="false">IF(C153="","",IFERROR(INDEX(Players!$C$5:$C$104,MATCH(C153,Players!$B$5:$B$104,0)),"ID not found"))</f>
        <v/>
      </c>
      <c r="E153" s="27"/>
      <c r="F153" s="28" t="str">
        <f aca="false">IF(E153="","",IFERROR(INDEX('Med Ball Library'!$C$6:$C$19,MATCH(E153,'Med Ball Library'!$B$6:$B$19,0)),"Unknown ID"))</f>
        <v/>
      </c>
      <c r="G153" s="27"/>
      <c r="H153" s="27"/>
      <c r="I153" s="27"/>
      <c r="J153" s="27"/>
      <c r="K153" s="28" t="str">
        <f aca="false">IF(COUNT(H153,I153,J153)&lt;3,"",H153*I153*J153)</f>
        <v/>
      </c>
      <c r="L153" s="27"/>
      <c r="M153" s="27"/>
      <c r="N153" s="27"/>
      <c r="O153" s="27"/>
      <c r="P153" s="27"/>
    </row>
    <row r="154" customFormat="false" ht="15" hidden="false" customHeight="false" outlineLevel="0" collapsed="false">
      <c r="B154" s="26"/>
      <c r="C154" s="27"/>
      <c r="D154" s="28" t="str">
        <f aca="false">IF(C154="","",IFERROR(INDEX(Players!$C$5:$C$104,MATCH(C154,Players!$B$5:$B$104,0)),"ID not found"))</f>
        <v/>
      </c>
      <c r="E154" s="27"/>
      <c r="F154" s="28" t="str">
        <f aca="false">IF(E154="","",IFERROR(INDEX('Med Ball Library'!$C$6:$C$19,MATCH(E154,'Med Ball Library'!$B$6:$B$19,0)),"Unknown ID"))</f>
        <v/>
      </c>
      <c r="G154" s="27"/>
      <c r="H154" s="27"/>
      <c r="I154" s="27"/>
      <c r="J154" s="27"/>
      <c r="K154" s="28" t="str">
        <f aca="false">IF(COUNT(H154,I154,J154)&lt;3,"",H154*I154*J154)</f>
        <v/>
      </c>
      <c r="L154" s="27"/>
      <c r="M154" s="27"/>
      <c r="N154" s="27"/>
      <c r="O154" s="27"/>
      <c r="P154" s="27"/>
    </row>
    <row r="155" customFormat="false" ht="15" hidden="false" customHeight="false" outlineLevel="0" collapsed="false">
      <c r="B155" s="26"/>
      <c r="C155" s="27"/>
      <c r="D155" s="28" t="str">
        <f aca="false">IF(C155="","",IFERROR(INDEX(Players!$C$5:$C$104,MATCH(C155,Players!$B$5:$B$104,0)),"ID not found"))</f>
        <v/>
      </c>
      <c r="E155" s="27"/>
      <c r="F155" s="28" t="str">
        <f aca="false">IF(E155="","",IFERROR(INDEX('Med Ball Library'!$C$6:$C$19,MATCH(E155,'Med Ball Library'!$B$6:$B$19,0)),"Unknown ID"))</f>
        <v/>
      </c>
      <c r="G155" s="27"/>
      <c r="H155" s="27"/>
      <c r="I155" s="27"/>
      <c r="J155" s="27"/>
      <c r="K155" s="28" t="str">
        <f aca="false">IF(COUNT(H155,I155,J155)&lt;3,"",H155*I155*J155)</f>
        <v/>
      </c>
      <c r="L155" s="27"/>
      <c r="M155" s="27"/>
      <c r="N155" s="27"/>
      <c r="O155" s="27"/>
      <c r="P155" s="27"/>
    </row>
    <row r="156" customFormat="false" ht="15" hidden="false" customHeight="false" outlineLevel="0" collapsed="false">
      <c r="B156" s="26"/>
      <c r="C156" s="27"/>
      <c r="D156" s="28" t="str">
        <f aca="false">IF(C156="","",IFERROR(INDEX(Players!$C$5:$C$104,MATCH(C156,Players!$B$5:$B$104,0)),"ID not found"))</f>
        <v/>
      </c>
      <c r="E156" s="27"/>
      <c r="F156" s="28" t="str">
        <f aca="false">IF(E156="","",IFERROR(INDEX('Med Ball Library'!$C$6:$C$19,MATCH(E156,'Med Ball Library'!$B$6:$B$19,0)),"Unknown ID"))</f>
        <v/>
      </c>
      <c r="G156" s="27"/>
      <c r="H156" s="27"/>
      <c r="I156" s="27"/>
      <c r="J156" s="27"/>
      <c r="K156" s="28" t="str">
        <f aca="false">IF(COUNT(H156,I156,J156)&lt;3,"",H156*I156*J156)</f>
        <v/>
      </c>
      <c r="L156" s="27"/>
      <c r="M156" s="27"/>
      <c r="N156" s="27"/>
      <c r="O156" s="27"/>
      <c r="P156" s="27"/>
    </row>
    <row r="157" customFormat="false" ht="15" hidden="false" customHeight="false" outlineLevel="0" collapsed="false">
      <c r="B157" s="26"/>
      <c r="C157" s="27"/>
      <c r="D157" s="28" t="str">
        <f aca="false">IF(C157="","",IFERROR(INDEX(Players!$C$5:$C$104,MATCH(C157,Players!$B$5:$B$104,0)),"ID not found"))</f>
        <v/>
      </c>
      <c r="E157" s="27"/>
      <c r="F157" s="28" t="str">
        <f aca="false">IF(E157="","",IFERROR(INDEX('Med Ball Library'!$C$6:$C$19,MATCH(E157,'Med Ball Library'!$B$6:$B$19,0)),"Unknown ID"))</f>
        <v/>
      </c>
      <c r="G157" s="27"/>
      <c r="H157" s="27"/>
      <c r="I157" s="27"/>
      <c r="J157" s="27"/>
      <c r="K157" s="28" t="str">
        <f aca="false">IF(COUNT(H157,I157,J157)&lt;3,"",H157*I157*J157)</f>
        <v/>
      </c>
      <c r="L157" s="27"/>
      <c r="M157" s="27"/>
      <c r="N157" s="27"/>
      <c r="O157" s="27"/>
      <c r="P157" s="27"/>
    </row>
    <row r="158" customFormat="false" ht="15" hidden="false" customHeight="false" outlineLevel="0" collapsed="false">
      <c r="B158" s="26"/>
      <c r="C158" s="27"/>
      <c r="D158" s="28" t="str">
        <f aca="false">IF(C158="","",IFERROR(INDEX(Players!$C$5:$C$104,MATCH(C158,Players!$B$5:$B$104,0)),"ID not found"))</f>
        <v/>
      </c>
      <c r="E158" s="27"/>
      <c r="F158" s="28" t="str">
        <f aca="false">IF(E158="","",IFERROR(INDEX('Med Ball Library'!$C$6:$C$19,MATCH(E158,'Med Ball Library'!$B$6:$B$19,0)),"Unknown ID"))</f>
        <v/>
      </c>
      <c r="G158" s="27"/>
      <c r="H158" s="27"/>
      <c r="I158" s="27"/>
      <c r="J158" s="27"/>
      <c r="K158" s="28" t="str">
        <f aca="false">IF(COUNT(H158,I158,J158)&lt;3,"",H158*I158*J158)</f>
        <v/>
      </c>
      <c r="L158" s="27"/>
      <c r="M158" s="27"/>
      <c r="N158" s="27"/>
      <c r="O158" s="27"/>
      <c r="P158" s="27"/>
    </row>
    <row r="159" customFormat="false" ht="15" hidden="false" customHeight="false" outlineLevel="0" collapsed="false">
      <c r="B159" s="26"/>
      <c r="C159" s="27"/>
      <c r="D159" s="28" t="str">
        <f aca="false">IF(C159="","",IFERROR(INDEX(Players!$C$5:$C$104,MATCH(C159,Players!$B$5:$B$104,0)),"ID not found"))</f>
        <v/>
      </c>
      <c r="E159" s="27"/>
      <c r="F159" s="28" t="str">
        <f aca="false">IF(E159="","",IFERROR(INDEX('Med Ball Library'!$C$6:$C$19,MATCH(E159,'Med Ball Library'!$B$6:$B$19,0)),"Unknown ID"))</f>
        <v/>
      </c>
      <c r="G159" s="27"/>
      <c r="H159" s="27"/>
      <c r="I159" s="27"/>
      <c r="J159" s="27"/>
      <c r="K159" s="28" t="str">
        <f aca="false">IF(COUNT(H159,I159,J159)&lt;3,"",H159*I159*J159)</f>
        <v/>
      </c>
      <c r="L159" s="27"/>
      <c r="M159" s="27"/>
      <c r="N159" s="27"/>
      <c r="O159" s="27"/>
      <c r="P159" s="27"/>
    </row>
    <row r="160" customFormat="false" ht="15" hidden="false" customHeight="false" outlineLevel="0" collapsed="false">
      <c r="B160" s="26"/>
      <c r="C160" s="27"/>
      <c r="D160" s="28" t="str">
        <f aca="false">IF(C160="","",IFERROR(INDEX(Players!$C$5:$C$104,MATCH(C160,Players!$B$5:$B$104,0)),"ID not found"))</f>
        <v/>
      </c>
      <c r="E160" s="27"/>
      <c r="F160" s="28" t="str">
        <f aca="false">IF(E160="","",IFERROR(INDEX('Med Ball Library'!$C$6:$C$19,MATCH(E160,'Med Ball Library'!$B$6:$B$19,0)),"Unknown ID"))</f>
        <v/>
      </c>
      <c r="G160" s="27"/>
      <c r="H160" s="27"/>
      <c r="I160" s="27"/>
      <c r="J160" s="27"/>
      <c r="K160" s="28" t="str">
        <f aca="false">IF(COUNT(H160,I160,J160)&lt;3,"",H160*I160*J160)</f>
        <v/>
      </c>
      <c r="L160" s="27"/>
      <c r="M160" s="27"/>
      <c r="N160" s="27"/>
      <c r="O160" s="27"/>
      <c r="P160" s="27"/>
    </row>
    <row r="161" customFormat="false" ht="15" hidden="false" customHeight="false" outlineLevel="0" collapsed="false">
      <c r="B161" s="26"/>
      <c r="C161" s="27"/>
      <c r="D161" s="28" t="str">
        <f aca="false">IF(C161="","",IFERROR(INDEX(Players!$C$5:$C$104,MATCH(C161,Players!$B$5:$B$104,0)),"ID not found"))</f>
        <v/>
      </c>
      <c r="E161" s="27"/>
      <c r="F161" s="28" t="str">
        <f aca="false">IF(E161="","",IFERROR(INDEX('Med Ball Library'!$C$6:$C$19,MATCH(E161,'Med Ball Library'!$B$6:$B$19,0)),"Unknown ID"))</f>
        <v/>
      </c>
      <c r="G161" s="27"/>
      <c r="H161" s="27"/>
      <c r="I161" s="27"/>
      <c r="J161" s="27"/>
      <c r="K161" s="28" t="str">
        <f aca="false">IF(COUNT(H161,I161,J161)&lt;3,"",H161*I161*J161)</f>
        <v/>
      </c>
      <c r="L161" s="27"/>
      <c r="M161" s="27"/>
      <c r="N161" s="27"/>
      <c r="O161" s="27"/>
      <c r="P161" s="27"/>
    </row>
    <row r="162" customFormat="false" ht="15" hidden="false" customHeight="false" outlineLevel="0" collapsed="false">
      <c r="B162" s="26"/>
      <c r="C162" s="27"/>
      <c r="D162" s="28" t="str">
        <f aca="false">IF(C162="","",IFERROR(INDEX(Players!$C$5:$C$104,MATCH(C162,Players!$B$5:$B$104,0)),"ID not found"))</f>
        <v/>
      </c>
      <c r="E162" s="27"/>
      <c r="F162" s="28" t="str">
        <f aca="false">IF(E162="","",IFERROR(INDEX('Med Ball Library'!$C$6:$C$19,MATCH(E162,'Med Ball Library'!$B$6:$B$19,0)),"Unknown ID"))</f>
        <v/>
      </c>
      <c r="G162" s="27"/>
      <c r="H162" s="27"/>
      <c r="I162" s="27"/>
      <c r="J162" s="27"/>
      <c r="K162" s="28" t="str">
        <f aca="false">IF(COUNT(H162,I162,J162)&lt;3,"",H162*I162*J162)</f>
        <v/>
      </c>
      <c r="L162" s="27"/>
      <c r="M162" s="27"/>
      <c r="N162" s="27"/>
      <c r="O162" s="27"/>
      <c r="P162" s="27"/>
    </row>
    <row r="163" customFormat="false" ht="15" hidden="false" customHeight="false" outlineLevel="0" collapsed="false">
      <c r="B163" s="26"/>
      <c r="C163" s="27"/>
      <c r="D163" s="28" t="str">
        <f aca="false">IF(C163="","",IFERROR(INDEX(Players!$C$5:$C$104,MATCH(C163,Players!$B$5:$B$104,0)),"ID not found"))</f>
        <v/>
      </c>
      <c r="E163" s="27"/>
      <c r="F163" s="28" t="str">
        <f aca="false">IF(E163="","",IFERROR(INDEX('Med Ball Library'!$C$6:$C$19,MATCH(E163,'Med Ball Library'!$B$6:$B$19,0)),"Unknown ID"))</f>
        <v/>
      </c>
      <c r="G163" s="27"/>
      <c r="H163" s="27"/>
      <c r="I163" s="27"/>
      <c r="J163" s="27"/>
      <c r="K163" s="28" t="str">
        <f aca="false">IF(COUNT(H163,I163,J163)&lt;3,"",H163*I163*J163)</f>
        <v/>
      </c>
      <c r="L163" s="27"/>
      <c r="M163" s="27"/>
      <c r="N163" s="27"/>
      <c r="O163" s="27"/>
      <c r="P163" s="27"/>
    </row>
    <row r="164" customFormat="false" ht="15" hidden="false" customHeight="false" outlineLevel="0" collapsed="false">
      <c r="B164" s="26"/>
      <c r="C164" s="27"/>
      <c r="D164" s="28" t="str">
        <f aca="false">IF(C164="","",IFERROR(INDEX(Players!$C$5:$C$104,MATCH(C164,Players!$B$5:$B$104,0)),"ID not found"))</f>
        <v/>
      </c>
      <c r="E164" s="27"/>
      <c r="F164" s="28" t="str">
        <f aca="false">IF(E164="","",IFERROR(INDEX('Med Ball Library'!$C$6:$C$19,MATCH(E164,'Med Ball Library'!$B$6:$B$19,0)),"Unknown ID"))</f>
        <v/>
      </c>
      <c r="G164" s="27"/>
      <c r="H164" s="27"/>
      <c r="I164" s="27"/>
      <c r="J164" s="27"/>
      <c r="K164" s="28" t="str">
        <f aca="false">IF(COUNT(H164,I164,J164)&lt;3,"",H164*I164*J164)</f>
        <v/>
      </c>
      <c r="L164" s="27"/>
      <c r="M164" s="27"/>
      <c r="N164" s="27"/>
      <c r="O164" s="27"/>
      <c r="P164" s="27"/>
    </row>
    <row r="165" customFormat="false" ht="15" hidden="false" customHeight="false" outlineLevel="0" collapsed="false">
      <c r="B165" s="26"/>
      <c r="C165" s="27"/>
      <c r="D165" s="28" t="str">
        <f aca="false">IF(C165="","",IFERROR(INDEX(Players!$C$5:$C$104,MATCH(C165,Players!$B$5:$B$104,0)),"ID not found"))</f>
        <v/>
      </c>
      <c r="E165" s="27"/>
      <c r="F165" s="28" t="str">
        <f aca="false">IF(E165="","",IFERROR(INDEX('Med Ball Library'!$C$6:$C$19,MATCH(E165,'Med Ball Library'!$B$6:$B$19,0)),"Unknown ID"))</f>
        <v/>
      </c>
      <c r="G165" s="27"/>
      <c r="H165" s="27"/>
      <c r="I165" s="27"/>
      <c r="J165" s="27"/>
      <c r="K165" s="28" t="str">
        <f aca="false">IF(COUNT(H165,I165,J165)&lt;3,"",H165*I165*J165)</f>
        <v/>
      </c>
      <c r="L165" s="27"/>
      <c r="M165" s="27"/>
      <c r="N165" s="27"/>
      <c r="O165" s="27"/>
      <c r="P165" s="27"/>
    </row>
    <row r="166" customFormat="false" ht="15" hidden="false" customHeight="false" outlineLevel="0" collapsed="false">
      <c r="B166" s="26"/>
      <c r="C166" s="27"/>
      <c r="D166" s="28" t="str">
        <f aca="false">IF(C166="","",IFERROR(INDEX(Players!$C$5:$C$104,MATCH(C166,Players!$B$5:$B$104,0)),"ID not found"))</f>
        <v/>
      </c>
      <c r="E166" s="27"/>
      <c r="F166" s="28" t="str">
        <f aca="false">IF(E166="","",IFERROR(INDEX('Med Ball Library'!$C$6:$C$19,MATCH(E166,'Med Ball Library'!$B$6:$B$19,0)),"Unknown ID"))</f>
        <v/>
      </c>
      <c r="G166" s="27"/>
      <c r="H166" s="27"/>
      <c r="I166" s="27"/>
      <c r="J166" s="27"/>
      <c r="K166" s="28" t="str">
        <f aca="false">IF(COUNT(H166,I166,J166)&lt;3,"",H166*I166*J166)</f>
        <v/>
      </c>
      <c r="L166" s="27"/>
      <c r="M166" s="27"/>
      <c r="N166" s="27"/>
      <c r="O166" s="27"/>
      <c r="P166" s="27"/>
    </row>
    <row r="167" customFormat="false" ht="15" hidden="false" customHeight="false" outlineLevel="0" collapsed="false">
      <c r="B167" s="26"/>
      <c r="C167" s="27"/>
      <c r="D167" s="28" t="str">
        <f aca="false">IF(C167="","",IFERROR(INDEX(Players!$C$5:$C$104,MATCH(C167,Players!$B$5:$B$104,0)),"ID not found"))</f>
        <v/>
      </c>
      <c r="E167" s="27"/>
      <c r="F167" s="28" t="str">
        <f aca="false">IF(E167="","",IFERROR(INDEX('Med Ball Library'!$C$6:$C$19,MATCH(E167,'Med Ball Library'!$B$6:$B$19,0)),"Unknown ID"))</f>
        <v/>
      </c>
      <c r="G167" s="27"/>
      <c r="H167" s="27"/>
      <c r="I167" s="27"/>
      <c r="J167" s="27"/>
      <c r="K167" s="28" t="str">
        <f aca="false">IF(COUNT(H167,I167,J167)&lt;3,"",H167*I167*J167)</f>
        <v/>
      </c>
      <c r="L167" s="27"/>
      <c r="M167" s="27"/>
      <c r="N167" s="27"/>
      <c r="O167" s="27"/>
      <c r="P167" s="27"/>
    </row>
    <row r="168" customFormat="false" ht="15" hidden="false" customHeight="false" outlineLevel="0" collapsed="false">
      <c r="B168" s="26"/>
      <c r="C168" s="27"/>
      <c r="D168" s="28" t="str">
        <f aca="false">IF(C168="","",IFERROR(INDEX(Players!$C$5:$C$104,MATCH(C168,Players!$B$5:$B$104,0)),"ID not found"))</f>
        <v/>
      </c>
      <c r="E168" s="27"/>
      <c r="F168" s="28" t="str">
        <f aca="false">IF(E168="","",IFERROR(INDEX('Med Ball Library'!$C$6:$C$19,MATCH(E168,'Med Ball Library'!$B$6:$B$19,0)),"Unknown ID"))</f>
        <v/>
      </c>
      <c r="G168" s="27"/>
      <c r="H168" s="27"/>
      <c r="I168" s="27"/>
      <c r="J168" s="27"/>
      <c r="K168" s="28" t="str">
        <f aca="false">IF(COUNT(H168,I168,J168)&lt;3,"",H168*I168*J168)</f>
        <v/>
      </c>
      <c r="L168" s="27"/>
      <c r="M168" s="27"/>
      <c r="N168" s="27"/>
      <c r="O168" s="27"/>
      <c r="P168" s="27"/>
    </row>
    <row r="169" customFormat="false" ht="15" hidden="false" customHeight="false" outlineLevel="0" collapsed="false">
      <c r="B169" s="26"/>
      <c r="C169" s="27"/>
      <c r="D169" s="28" t="str">
        <f aca="false">IF(C169="","",IFERROR(INDEX(Players!$C$5:$C$104,MATCH(C169,Players!$B$5:$B$104,0)),"ID not found"))</f>
        <v/>
      </c>
      <c r="E169" s="27"/>
      <c r="F169" s="28" t="str">
        <f aca="false">IF(E169="","",IFERROR(INDEX('Med Ball Library'!$C$6:$C$19,MATCH(E169,'Med Ball Library'!$B$6:$B$19,0)),"Unknown ID"))</f>
        <v/>
      </c>
      <c r="G169" s="27"/>
      <c r="H169" s="27"/>
      <c r="I169" s="27"/>
      <c r="J169" s="27"/>
      <c r="K169" s="28" t="str">
        <f aca="false">IF(COUNT(H169,I169,J169)&lt;3,"",H169*I169*J169)</f>
        <v/>
      </c>
      <c r="L169" s="27"/>
      <c r="M169" s="27"/>
      <c r="N169" s="27"/>
      <c r="O169" s="27"/>
      <c r="P169" s="27"/>
    </row>
    <row r="170" customFormat="false" ht="15" hidden="false" customHeight="false" outlineLevel="0" collapsed="false">
      <c r="B170" s="26"/>
      <c r="C170" s="27"/>
      <c r="D170" s="28" t="str">
        <f aca="false">IF(C170="","",IFERROR(INDEX(Players!$C$5:$C$104,MATCH(C170,Players!$B$5:$B$104,0)),"ID not found"))</f>
        <v/>
      </c>
      <c r="E170" s="27"/>
      <c r="F170" s="28" t="str">
        <f aca="false">IF(E170="","",IFERROR(INDEX('Med Ball Library'!$C$6:$C$19,MATCH(E170,'Med Ball Library'!$B$6:$B$19,0)),"Unknown ID"))</f>
        <v/>
      </c>
      <c r="G170" s="27"/>
      <c r="H170" s="27"/>
      <c r="I170" s="27"/>
      <c r="J170" s="27"/>
      <c r="K170" s="28" t="str">
        <f aca="false">IF(COUNT(H170,I170,J170)&lt;3,"",H170*I170*J170)</f>
        <v/>
      </c>
      <c r="L170" s="27"/>
      <c r="M170" s="27"/>
      <c r="N170" s="27"/>
      <c r="O170" s="27"/>
      <c r="P170" s="27"/>
    </row>
    <row r="171" customFormat="false" ht="15" hidden="false" customHeight="false" outlineLevel="0" collapsed="false">
      <c r="B171" s="26"/>
      <c r="C171" s="27"/>
      <c r="D171" s="28" t="str">
        <f aca="false">IF(C171="","",IFERROR(INDEX(Players!$C$5:$C$104,MATCH(C171,Players!$B$5:$B$104,0)),"ID not found"))</f>
        <v/>
      </c>
      <c r="E171" s="27"/>
      <c r="F171" s="28" t="str">
        <f aca="false">IF(E171="","",IFERROR(INDEX('Med Ball Library'!$C$6:$C$19,MATCH(E171,'Med Ball Library'!$B$6:$B$19,0)),"Unknown ID"))</f>
        <v/>
      </c>
      <c r="G171" s="27"/>
      <c r="H171" s="27"/>
      <c r="I171" s="27"/>
      <c r="J171" s="27"/>
      <c r="K171" s="28" t="str">
        <f aca="false">IF(COUNT(H171,I171,J171)&lt;3,"",H171*I171*J171)</f>
        <v/>
      </c>
      <c r="L171" s="27"/>
      <c r="M171" s="27"/>
      <c r="N171" s="27"/>
      <c r="O171" s="27"/>
      <c r="P171" s="27"/>
    </row>
    <row r="172" customFormat="false" ht="15" hidden="false" customHeight="false" outlineLevel="0" collapsed="false">
      <c r="B172" s="26"/>
      <c r="C172" s="27"/>
      <c r="D172" s="28" t="str">
        <f aca="false">IF(C172="","",IFERROR(INDEX(Players!$C$5:$C$104,MATCH(C172,Players!$B$5:$B$104,0)),"ID not found"))</f>
        <v/>
      </c>
      <c r="E172" s="27"/>
      <c r="F172" s="28" t="str">
        <f aca="false">IF(E172="","",IFERROR(INDEX('Med Ball Library'!$C$6:$C$19,MATCH(E172,'Med Ball Library'!$B$6:$B$19,0)),"Unknown ID"))</f>
        <v/>
      </c>
      <c r="G172" s="27"/>
      <c r="H172" s="27"/>
      <c r="I172" s="27"/>
      <c r="J172" s="27"/>
      <c r="K172" s="28" t="str">
        <f aca="false">IF(COUNT(H172,I172,J172)&lt;3,"",H172*I172*J172)</f>
        <v/>
      </c>
      <c r="L172" s="27"/>
      <c r="M172" s="27"/>
      <c r="N172" s="27"/>
      <c r="O172" s="27"/>
      <c r="P172" s="27"/>
    </row>
    <row r="173" customFormat="false" ht="15" hidden="false" customHeight="false" outlineLevel="0" collapsed="false">
      <c r="B173" s="26"/>
      <c r="C173" s="27"/>
      <c r="D173" s="28" t="str">
        <f aca="false">IF(C173="","",IFERROR(INDEX(Players!$C$5:$C$104,MATCH(C173,Players!$B$5:$B$104,0)),"ID not found"))</f>
        <v/>
      </c>
      <c r="E173" s="27"/>
      <c r="F173" s="28" t="str">
        <f aca="false">IF(E173="","",IFERROR(INDEX('Med Ball Library'!$C$6:$C$19,MATCH(E173,'Med Ball Library'!$B$6:$B$19,0)),"Unknown ID"))</f>
        <v/>
      </c>
      <c r="G173" s="27"/>
      <c r="H173" s="27"/>
      <c r="I173" s="27"/>
      <c r="J173" s="27"/>
      <c r="K173" s="28" t="str">
        <f aca="false">IF(COUNT(H173,I173,J173)&lt;3,"",H173*I173*J173)</f>
        <v/>
      </c>
      <c r="L173" s="27"/>
      <c r="M173" s="27"/>
      <c r="N173" s="27"/>
      <c r="O173" s="27"/>
      <c r="P173" s="27"/>
    </row>
    <row r="174" customFormat="false" ht="15" hidden="false" customHeight="false" outlineLevel="0" collapsed="false">
      <c r="B174" s="26"/>
      <c r="C174" s="27"/>
      <c r="D174" s="28" t="str">
        <f aca="false">IF(C174="","",IFERROR(INDEX(Players!$C$5:$C$104,MATCH(C174,Players!$B$5:$B$104,0)),"ID not found"))</f>
        <v/>
      </c>
      <c r="E174" s="27"/>
      <c r="F174" s="28" t="str">
        <f aca="false">IF(E174="","",IFERROR(INDEX('Med Ball Library'!$C$6:$C$19,MATCH(E174,'Med Ball Library'!$B$6:$B$19,0)),"Unknown ID"))</f>
        <v/>
      </c>
      <c r="G174" s="27"/>
      <c r="H174" s="27"/>
      <c r="I174" s="27"/>
      <c r="J174" s="27"/>
      <c r="K174" s="28" t="str">
        <f aca="false">IF(COUNT(H174,I174,J174)&lt;3,"",H174*I174*J174)</f>
        <v/>
      </c>
      <c r="L174" s="27"/>
      <c r="M174" s="27"/>
      <c r="N174" s="27"/>
      <c r="O174" s="27"/>
      <c r="P174" s="27"/>
    </row>
    <row r="175" customFormat="false" ht="15" hidden="false" customHeight="false" outlineLevel="0" collapsed="false">
      <c r="B175" s="26"/>
      <c r="C175" s="27"/>
      <c r="D175" s="28" t="str">
        <f aca="false">IF(C175="","",IFERROR(INDEX(Players!$C$5:$C$104,MATCH(C175,Players!$B$5:$B$104,0)),"ID not found"))</f>
        <v/>
      </c>
      <c r="E175" s="27"/>
      <c r="F175" s="28" t="str">
        <f aca="false">IF(E175="","",IFERROR(INDEX('Med Ball Library'!$C$6:$C$19,MATCH(E175,'Med Ball Library'!$B$6:$B$19,0)),"Unknown ID"))</f>
        <v/>
      </c>
      <c r="G175" s="27"/>
      <c r="H175" s="27"/>
      <c r="I175" s="27"/>
      <c r="J175" s="27"/>
      <c r="K175" s="28" t="str">
        <f aca="false">IF(COUNT(H175,I175,J175)&lt;3,"",H175*I175*J175)</f>
        <v/>
      </c>
      <c r="L175" s="27"/>
      <c r="M175" s="27"/>
      <c r="N175" s="27"/>
      <c r="O175" s="27"/>
      <c r="P175" s="27"/>
    </row>
    <row r="176" customFormat="false" ht="15" hidden="false" customHeight="false" outlineLevel="0" collapsed="false">
      <c r="B176" s="26"/>
      <c r="C176" s="27"/>
      <c r="D176" s="28" t="str">
        <f aca="false">IF(C176="","",IFERROR(INDEX(Players!$C$5:$C$104,MATCH(C176,Players!$B$5:$B$104,0)),"ID not found"))</f>
        <v/>
      </c>
      <c r="E176" s="27"/>
      <c r="F176" s="28" t="str">
        <f aca="false">IF(E176="","",IFERROR(INDEX('Med Ball Library'!$C$6:$C$19,MATCH(E176,'Med Ball Library'!$B$6:$B$19,0)),"Unknown ID"))</f>
        <v/>
      </c>
      <c r="G176" s="27"/>
      <c r="H176" s="27"/>
      <c r="I176" s="27"/>
      <c r="J176" s="27"/>
      <c r="K176" s="28" t="str">
        <f aca="false">IF(COUNT(H176,I176,J176)&lt;3,"",H176*I176*J176)</f>
        <v/>
      </c>
      <c r="L176" s="27"/>
      <c r="M176" s="27"/>
      <c r="N176" s="27"/>
      <c r="O176" s="27"/>
      <c r="P176" s="27"/>
    </row>
    <row r="177" customFormat="false" ht="15" hidden="false" customHeight="false" outlineLevel="0" collapsed="false">
      <c r="B177" s="26"/>
      <c r="C177" s="27"/>
      <c r="D177" s="28" t="str">
        <f aca="false">IF(C177="","",IFERROR(INDEX(Players!$C$5:$C$104,MATCH(C177,Players!$B$5:$B$104,0)),"ID not found"))</f>
        <v/>
      </c>
      <c r="E177" s="27"/>
      <c r="F177" s="28" t="str">
        <f aca="false">IF(E177="","",IFERROR(INDEX('Med Ball Library'!$C$6:$C$19,MATCH(E177,'Med Ball Library'!$B$6:$B$19,0)),"Unknown ID"))</f>
        <v/>
      </c>
      <c r="G177" s="27"/>
      <c r="H177" s="27"/>
      <c r="I177" s="27"/>
      <c r="J177" s="27"/>
      <c r="K177" s="28" t="str">
        <f aca="false">IF(COUNT(H177,I177,J177)&lt;3,"",H177*I177*J177)</f>
        <v/>
      </c>
      <c r="L177" s="27"/>
      <c r="M177" s="27"/>
      <c r="N177" s="27"/>
      <c r="O177" s="27"/>
      <c r="P177" s="27"/>
    </row>
    <row r="178" customFormat="false" ht="15" hidden="false" customHeight="false" outlineLevel="0" collapsed="false">
      <c r="B178" s="26"/>
      <c r="C178" s="27"/>
      <c r="D178" s="28" t="str">
        <f aca="false">IF(C178="","",IFERROR(INDEX(Players!$C$5:$C$104,MATCH(C178,Players!$B$5:$B$104,0)),"ID not found"))</f>
        <v/>
      </c>
      <c r="E178" s="27"/>
      <c r="F178" s="28" t="str">
        <f aca="false">IF(E178="","",IFERROR(INDEX('Med Ball Library'!$C$6:$C$19,MATCH(E178,'Med Ball Library'!$B$6:$B$19,0)),"Unknown ID"))</f>
        <v/>
      </c>
      <c r="G178" s="27"/>
      <c r="H178" s="27"/>
      <c r="I178" s="27"/>
      <c r="J178" s="27"/>
      <c r="K178" s="28" t="str">
        <f aca="false">IF(COUNT(H178,I178,J178)&lt;3,"",H178*I178*J178)</f>
        <v/>
      </c>
      <c r="L178" s="27"/>
      <c r="M178" s="27"/>
      <c r="N178" s="27"/>
      <c r="O178" s="27"/>
      <c r="P178" s="27"/>
    </row>
    <row r="179" customFormat="false" ht="15" hidden="false" customHeight="false" outlineLevel="0" collapsed="false">
      <c r="B179" s="26"/>
      <c r="C179" s="27"/>
      <c r="D179" s="28" t="str">
        <f aca="false">IF(C179="","",IFERROR(INDEX(Players!$C$5:$C$104,MATCH(C179,Players!$B$5:$B$104,0)),"ID not found"))</f>
        <v/>
      </c>
      <c r="E179" s="27"/>
      <c r="F179" s="28" t="str">
        <f aca="false">IF(E179="","",IFERROR(INDEX('Med Ball Library'!$C$6:$C$19,MATCH(E179,'Med Ball Library'!$B$6:$B$19,0)),"Unknown ID"))</f>
        <v/>
      </c>
      <c r="G179" s="27"/>
      <c r="H179" s="27"/>
      <c r="I179" s="27"/>
      <c r="J179" s="27"/>
      <c r="K179" s="28" t="str">
        <f aca="false">IF(COUNT(H179,I179,J179)&lt;3,"",H179*I179*J179)</f>
        <v/>
      </c>
      <c r="L179" s="27"/>
      <c r="M179" s="27"/>
      <c r="N179" s="27"/>
      <c r="O179" s="27"/>
      <c r="P179" s="27"/>
    </row>
    <row r="180" customFormat="false" ht="15" hidden="false" customHeight="false" outlineLevel="0" collapsed="false">
      <c r="B180" s="26"/>
      <c r="C180" s="27"/>
      <c r="D180" s="28" t="str">
        <f aca="false">IF(C180="","",IFERROR(INDEX(Players!$C$5:$C$104,MATCH(C180,Players!$B$5:$B$104,0)),"ID not found"))</f>
        <v/>
      </c>
      <c r="E180" s="27"/>
      <c r="F180" s="28" t="str">
        <f aca="false">IF(E180="","",IFERROR(INDEX('Med Ball Library'!$C$6:$C$19,MATCH(E180,'Med Ball Library'!$B$6:$B$19,0)),"Unknown ID"))</f>
        <v/>
      </c>
      <c r="G180" s="27"/>
      <c r="H180" s="27"/>
      <c r="I180" s="27"/>
      <c r="J180" s="27"/>
      <c r="K180" s="28" t="str">
        <f aca="false">IF(COUNT(H180,I180,J180)&lt;3,"",H180*I180*J180)</f>
        <v/>
      </c>
      <c r="L180" s="27"/>
      <c r="M180" s="27"/>
      <c r="N180" s="27"/>
      <c r="O180" s="27"/>
      <c r="P180" s="27"/>
    </row>
    <row r="181" customFormat="false" ht="15" hidden="false" customHeight="false" outlineLevel="0" collapsed="false">
      <c r="B181" s="26"/>
      <c r="C181" s="27"/>
      <c r="D181" s="28" t="str">
        <f aca="false">IF(C181="","",IFERROR(INDEX(Players!$C$5:$C$104,MATCH(C181,Players!$B$5:$B$104,0)),"ID not found"))</f>
        <v/>
      </c>
      <c r="E181" s="27"/>
      <c r="F181" s="28" t="str">
        <f aca="false">IF(E181="","",IFERROR(INDEX('Med Ball Library'!$C$6:$C$19,MATCH(E181,'Med Ball Library'!$B$6:$B$19,0)),"Unknown ID"))</f>
        <v/>
      </c>
      <c r="G181" s="27"/>
      <c r="H181" s="27"/>
      <c r="I181" s="27"/>
      <c r="J181" s="27"/>
      <c r="K181" s="28" t="str">
        <f aca="false">IF(COUNT(H181,I181,J181)&lt;3,"",H181*I181*J181)</f>
        <v/>
      </c>
      <c r="L181" s="27"/>
      <c r="M181" s="27"/>
      <c r="N181" s="27"/>
      <c r="O181" s="27"/>
      <c r="P181" s="27"/>
    </row>
    <row r="182" customFormat="false" ht="15" hidden="false" customHeight="false" outlineLevel="0" collapsed="false">
      <c r="B182" s="26"/>
      <c r="C182" s="27"/>
      <c r="D182" s="28" t="str">
        <f aca="false">IF(C182="","",IFERROR(INDEX(Players!$C$5:$C$104,MATCH(C182,Players!$B$5:$B$104,0)),"ID not found"))</f>
        <v/>
      </c>
      <c r="E182" s="27"/>
      <c r="F182" s="28" t="str">
        <f aca="false">IF(E182="","",IFERROR(INDEX('Med Ball Library'!$C$6:$C$19,MATCH(E182,'Med Ball Library'!$B$6:$B$19,0)),"Unknown ID"))</f>
        <v/>
      </c>
      <c r="G182" s="27"/>
      <c r="H182" s="27"/>
      <c r="I182" s="27"/>
      <c r="J182" s="27"/>
      <c r="K182" s="28" t="str">
        <f aca="false">IF(COUNT(H182,I182,J182)&lt;3,"",H182*I182*J182)</f>
        <v/>
      </c>
      <c r="L182" s="27"/>
      <c r="M182" s="27"/>
      <c r="N182" s="27"/>
      <c r="O182" s="27"/>
      <c r="P182" s="27"/>
    </row>
    <row r="183" customFormat="false" ht="15" hidden="false" customHeight="false" outlineLevel="0" collapsed="false">
      <c r="B183" s="26"/>
      <c r="C183" s="27"/>
      <c r="D183" s="28" t="str">
        <f aca="false">IF(C183="","",IFERROR(INDEX(Players!$C$5:$C$104,MATCH(C183,Players!$B$5:$B$104,0)),"ID not found"))</f>
        <v/>
      </c>
      <c r="E183" s="27"/>
      <c r="F183" s="28" t="str">
        <f aca="false">IF(E183="","",IFERROR(INDEX('Med Ball Library'!$C$6:$C$19,MATCH(E183,'Med Ball Library'!$B$6:$B$19,0)),"Unknown ID"))</f>
        <v/>
      </c>
      <c r="G183" s="27"/>
      <c r="H183" s="27"/>
      <c r="I183" s="27"/>
      <c r="J183" s="27"/>
      <c r="K183" s="28" t="str">
        <f aca="false">IF(COUNT(H183,I183,J183)&lt;3,"",H183*I183*J183)</f>
        <v/>
      </c>
      <c r="L183" s="27"/>
      <c r="M183" s="27"/>
      <c r="N183" s="27"/>
      <c r="O183" s="27"/>
      <c r="P183" s="27"/>
    </row>
    <row r="184" customFormat="false" ht="15" hidden="false" customHeight="false" outlineLevel="0" collapsed="false">
      <c r="B184" s="26"/>
      <c r="C184" s="27"/>
      <c r="D184" s="28" t="str">
        <f aca="false">IF(C184="","",IFERROR(INDEX(Players!$C$5:$C$104,MATCH(C184,Players!$B$5:$B$104,0)),"ID not found"))</f>
        <v/>
      </c>
      <c r="E184" s="27"/>
      <c r="F184" s="28" t="str">
        <f aca="false">IF(E184="","",IFERROR(INDEX('Med Ball Library'!$C$6:$C$19,MATCH(E184,'Med Ball Library'!$B$6:$B$19,0)),"Unknown ID"))</f>
        <v/>
      </c>
      <c r="G184" s="27"/>
      <c r="H184" s="27"/>
      <c r="I184" s="27"/>
      <c r="J184" s="27"/>
      <c r="K184" s="28" t="str">
        <f aca="false">IF(COUNT(H184,I184,J184)&lt;3,"",H184*I184*J184)</f>
        <v/>
      </c>
      <c r="L184" s="27"/>
      <c r="M184" s="27"/>
      <c r="N184" s="27"/>
      <c r="O184" s="27"/>
      <c r="P184" s="27"/>
    </row>
    <row r="185" customFormat="false" ht="15" hidden="false" customHeight="false" outlineLevel="0" collapsed="false">
      <c r="B185" s="26"/>
      <c r="C185" s="27"/>
      <c r="D185" s="28" t="str">
        <f aca="false">IF(C185="","",IFERROR(INDEX(Players!$C$5:$C$104,MATCH(C185,Players!$B$5:$B$104,0)),"ID not found"))</f>
        <v/>
      </c>
      <c r="E185" s="27"/>
      <c r="F185" s="28" t="str">
        <f aca="false">IF(E185="","",IFERROR(INDEX('Med Ball Library'!$C$6:$C$19,MATCH(E185,'Med Ball Library'!$B$6:$B$19,0)),"Unknown ID"))</f>
        <v/>
      </c>
      <c r="G185" s="27"/>
      <c r="H185" s="27"/>
      <c r="I185" s="27"/>
      <c r="J185" s="27"/>
      <c r="K185" s="28" t="str">
        <f aca="false">IF(COUNT(H185,I185,J185)&lt;3,"",H185*I185*J185)</f>
        <v/>
      </c>
      <c r="L185" s="27"/>
      <c r="M185" s="27"/>
      <c r="N185" s="27"/>
      <c r="O185" s="27"/>
      <c r="P185" s="27"/>
    </row>
    <row r="186" customFormat="false" ht="15" hidden="false" customHeight="false" outlineLevel="0" collapsed="false">
      <c r="B186" s="26"/>
      <c r="C186" s="27"/>
      <c r="D186" s="28" t="str">
        <f aca="false">IF(C186="","",IFERROR(INDEX(Players!$C$5:$C$104,MATCH(C186,Players!$B$5:$B$104,0)),"ID not found"))</f>
        <v/>
      </c>
      <c r="E186" s="27"/>
      <c r="F186" s="28" t="str">
        <f aca="false">IF(E186="","",IFERROR(INDEX('Med Ball Library'!$C$6:$C$19,MATCH(E186,'Med Ball Library'!$B$6:$B$19,0)),"Unknown ID"))</f>
        <v/>
      </c>
      <c r="G186" s="27"/>
      <c r="H186" s="27"/>
      <c r="I186" s="27"/>
      <c r="J186" s="27"/>
      <c r="K186" s="28" t="str">
        <f aca="false">IF(COUNT(H186,I186,J186)&lt;3,"",H186*I186*J186)</f>
        <v/>
      </c>
      <c r="L186" s="27"/>
      <c r="M186" s="27"/>
      <c r="N186" s="27"/>
      <c r="O186" s="27"/>
      <c r="P186" s="27"/>
    </row>
    <row r="187" customFormat="false" ht="15" hidden="false" customHeight="false" outlineLevel="0" collapsed="false">
      <c r="B187" s="26"/>
      <c r="C187" s="27"/>
      <c r="D187" s="28" t="str">
        <f aca="false">IF(C187="","",IFERROR(INDEX(Players!$C$5:$C$104,MATCH(C187,Players!$B$5:$B$104,0)),"ID not found"))</f>
        <v/>
      </c>
      <c r="E187" s="27"/>
      <c r="F187" s="28" t="str">
        <f aca="false">IF(E187="","",IFERROR(INDEX('Med Ball Library'!$C$6:$C$19,MATCH(E187,'Med Ball Library'!$B$6:$B$19,0)),"Unknown ID"))</f>
        <v/>
      </c>
      <c r="G187" s="27"/>
      <c r="H187" s="27"/>
      <c r="I187" s="27"/>
      <c r="J187" s="27"/>
      <c r="K187" s="28" t="str">
        <f aca="false">IF(COUNT(H187,I187,J187)&lt;3,"",H187*I187*J187)</f>
        <v/>
      </c>
      <c r="L187" s="27"/>
      <c r="M187" s="27"/>
      <c r="N187" s="27"/>
      <c r="O187" s="27"/>
      <c r="P187" s="27"/>
    </row>
    <row r="188" customFormat="false" ht="15" hidden="false" customHeight="false" outlineLevel="0" collapsed="false">
      <c r="B188" s="26"/>
      <c r="C188" s="27"/>
      <c r="D188" s="28" t="str">
        <f aca="false">IF(C188="","",IFERROR(INDEX(Players!$C$5:$C$104,MATCH(C188,Players!$B$5:$B$104,0)),"ID not found"))</f>
        <v/>
      </c>
      <c r="E188" s="27"/>
      <c r="F188" s="28" t="str">
        <f aca="false">IF(E188="","",IFERROR(INDEX('Med Ball Library'!$C$6:$C$19,MATCH(E188,'Med Ball Library'!$B$6:$B$19,0)),"Unknown ID"))</f>
        <v/>
      </c>
      <c r="G188" s="27"/>
      <c r="H188" s="27"/>
      <c r="I188" s="27"/>
      <c r="J188" s="27"/>
      <c r="K188" s="28" t="str">
        <f aca="false">IF(COUNT(H188,I188,J188)&lt;3,"",H188*I188*J188)</f>
        <v/>
      </c>
      <c r="L188" s="27"/>
      <c r="M188" s="27"/>
      <c r="N188" s="27"/>
      <c r="O188" s="27"/>
      <c r="P188" s="27"/>
    </row>
    <row r="189" customFormat="false" ht="15" hidden="false" customHeight="false" outlineLevel="0" collapsed="false">
      <c r="B189" s="26"/>
      <c r="C189" s="27"/>
      <c r="D189" s="28" t="str">
        <f aca="false">IF(C189="","",IFERROR(INDEX(Players!$C$5:$C$104,MATCH(C189,Players!$B$5:$B$104,0)),"ID not found"))</f>
        <v/>
      </c>
      <c r="E189" s="27"/>
      <c r="F189" s="28" t="str">
        <f aca="false">IF(E189="","",IFERROR(INDEX('Med Ball Library'!$C$6:$C$19,MATCH(E189,'Med Ball Library'!$B$6:$B$19,0)),"Unknown ID"))</f>
        <v/>
      </c>
      <c r="G189" s="27"/>
      <c r="H189" s="27"/>
      <c r="I189" s="27"/>
      <c r="J189" s="27"/>
      <c r="K189" s="28" t="str">
        <f aca="false">IF(COUNT(H189,I189,J189)&lt;3,"",H189*I189*J189)</f>
        <v/>
      </c>
      <c r="L189" s="27"/>
      <c r="M189" s="27"/>
      <c r="N189" s="27"/>
      <c r="O189" s="27"/>
      <c r="P189" s="27"/>
    </row>
    <row r="190" customFormat="false" ht="15" hidden="false" customHeight="false" outlineLevel="0" collapsed="false">
      <c r="B190" s="26"/>
      <c r="C190" s="27"/>
      <c r="D190" s="28" t="str">
        <f aca="false">IF(C190="","",IFERROR(INDEX(Players!$C$5:$C$104,MATCH(C190,Players!$B$5:$B$104,0)),"ID not found"))</f>
        <v/>
      </c>
      <c r="E190" s="27"/>
      <c r="F190" s="28" t="str">
        <f aca="false">IF(E190="","",IFERROR(INDEX('Med Ball Library'!$C$6:$C$19,MATCH(E190,'Med Ball Library'!$B$6:$B$19,0)),"Unknown ID"))</f>
        <v/>
      </c>
      <c r="G190" s="27"/>
      <c r="H190" s="27"/>
      <c r="I190" s="27"/>
      <c r="J190" s="27"/>
      <c r="K190" s="28" t="str">
        <f aca="false">IF(COUNT(H190,I190,J190)&lt;3,"",H190*I190*J190)</f>
        <v/>
      </c>
      <c r="L190" s="27"/>
      <c r="M190" s="27"/>
      <c r="N190" s="27"/>
      <c r="O190" s="27"/>
      <c r="P190" s="27"/>
    </row>
    <row r="191" customFormat="false" ht="15" hidden="false" customHeight="false" outlineLevel="0" collapsed="false">
      <c r="B191" s="26"/>
      <c r="C191" s="27"/>
      <c r="D191" s="28" t="str">
        <f aca="false">IF(C191="","",IFERROR(INDEX(Players!$C$5:$C$104,MATCH(C191,Players!$B$5:$B$104,0)),"ID not found"))</f>
        <v/>
      </c>
      <c r="E191" s="27"/>
      <c r="F191" s="28" t="str">
        <f aca="false">IF(E191="","",IFERROR(INDEX('Med Ball Library'!$C$6:$C$19,MATCH(E191,'Med Ball Library'!$B$6:$B$19,0)),"Unknown ID"))</f>
        <v/>
      </c>
      <c r="G191" s="27"/>
      <c r="H191" s="27"/>
      <c r="I191" s="27"/>
      <c r="J191" s="27"/>
      <c r="K191" s="28" t="str">
        <f aca="false">IF(COUNT(H191,I191,J191)&lt;3,"",H191*I191*J191)</f>
        <v/>
      </c>
      <c r="L191" s="27"/>
      <c r="M191" s="27"/>
      <c r="N191" s="27"/>
      <c r="O191" s="27"/>
      <c r="P191" s="27"/>
    </row>
    <row r="192" customFormat="false" ht="15" hidden="false" customHeight="false" outlineLevel="0" collapsed="false">
      <c r="B192" s="26"/>
      <c r="C192" s="27"/>
      <c r="D192" s="28" t="str">
        <f aca="false">IF(C192="","",IFERROR(INDEX(Players!$C$5:$C$104,MATCH(C192,Players!$B$5:$B$104,0)),"ID not found"))</f>
        <v/>
      </c>
      <c r="E192" s="27"/>
      <c r="F192" s="28" t="str">
        <f aca="false">IF(E192="","",IFERROR(INDEX('Med Ball Library'!$C$6:$C$19,MATCH(E192,'Med Ball Library'!$B$6:$B$19,0)),"Unknown ID"))</f>
        <v/>
      </c>
      <c r="G192" s="27"/>
      <c r="H192" s="27"/>
      <c r="I192" s="27"/>
      <c r="J192" s="27"/>
      <c r="K192" s="28" t="str">
        <f aca="false">IF(COUNT(H192,I192,J192)&lt;3,"",H192*I192*J192)</f>
        <v/>
      </c>
      <c r="L192" s="27"/>
      <c r="M192" s="27"/>
      <c r="N192" s="27"/>
      <c r="O192" s="27"/>
      <c r="P192" s="27"/>
    </row>
    <row r="193" customFormat="false" ht="15" hidden="false" customHeight="false" outlineLevel="0" collapsed="false">
      <c r="B193" s="26"/>
      <c r="C193" s="27"/>
      <c r="D193" s="28" t="str">
        <f aca="false">IF(C193="","",IFERROR(INDEX(Players!$C$5:$C$104,MATCH(C193,Players!$B$5:$B$104,0)),"ID not found"))</f>
        <v/>
      </c>
      <c r="E193" s="27"/>
      <c r="F193" s="28" t="str">
        <f aca="false">IF(E193="","",IFERROR(INDEX('Med Ball Library'!$C$6:$C$19,MATCH(E193,'Med Ball Library'!$B$6:$B$19,0)),"Unknown ID"))</f>
        <v/>
      </c>
      <c r="G193" s="27"/>
      <c r="H193" s="27"/>
      <c r="I193" s="27"/>
      <c r="J193" s="27"/>
      <c r="K193" s="28" t="str">
        <f aca="false">IF(COUNT(H193,I193,J193)&lt;3,"",H193*I193*J193)</f>
        <v/>
      </c>
      <c r="L193" s="27"/>
      <c r="M193" s="27"/>
      <c r="N193" s="27"/>
      <c r="O193" s="27"/>
      <c r="P193" s="27"/>
    </row>
    <row r="194" customFormat="false" ht="15" hidden="false" customHeight="false" outlineLevel="0" collapsed="false">
      <c r="B194" s="26"/>
      <c r="C194" s="27"/>
      <c r="D194" s="28" t="str">
        <f aca="false">IF(C194="","",IFERROR(INDEX(Players!$C$5:$C$104,MATCH(C194,Players!$B$5:$B$104,0)),"ID not found"))</f>
        <v/>
      </c>
      <c r="E194" s="27"/>
      <c r="F194" s="28" t="str">
        <f aca="false">IF(E194="","",IFERROR(INDEX('Med Ball Library'!$C$6:$C$19,MATCH(E194,'Med Ball Library'!$B$6:$B$19,0)),"Unknown ID"))</f>
        <v/>
      </c>
      <c r="G194" s="27"/>
      <c r="H194" s="27"/>
      <c r="I194" s="27"/>
      <c r="J194" s="27"/>
      <c r="K194" s="28" t="str">
        <f aca="false">IF(COUNT(H194,I194,J194)&lt;3,"",H194*I194*J194)</f>
        <v/>
      </c>
      <c r="L194" s="27"/>
      <c r="M194" s="27"/>
      <c r="N194" s="27"/>
      <c r="O194" s="27"/>
      <c r="P194" s="27"/>
    </row>
    <row r="195" customFormat="false" ht="15" hidden="false" customHeight="false" outlineLevel="0" collapsed="false">
      <c r="B195" s="26"/>
      <c r="C195" s="27"/>
      <c r="D195" s="28" t="str">
        <f aca="false">IF(C195="","",IFERROR(INDEX(Players!$C$5:$C$104,MATCH(C195,Players!$B$5:$B$104,0)),"ID not found"))</f>
        <v/>
      </c>
      <c r="E195" s="27"/>
      <c r="F195" s="28" t="str">
        <f aca="false">IF(E195="","",IFERROR(INDEX('Med Ball Library'!$C$6:$C$19,MATCH(E195,'Med Ball Library'!$B$6:$B$19,0)),"Unknown ID"))</f>
        <v/>
      </c>
      <c r="G195" s="27"/>
      <c r="H195" s="27"/>
      <c r="I195" s="27"/>
      <c r="J195" s="27"/>
      <c r="K195" s="28" t="str">
        <f aca="false">IF(COUNT(H195,I195,J195)&lt;3,"",H195*I195*J195)</f>
        <v/>
      </c>
      <c r="L195" s="27"/>
      <c r="M195" s="27"/>
      <c r="N195" s="27"/>
      <c r="O195" s="27"/>
      <c r="P195" s="27"/>
    </row>
    <row r="196" customFormat="false" ht="15" hidden="false" customHeight="false" outlineLevel="0" collapsed="false">
      <c r="B196" s="26"/>
      <c r="C196" s="27"/>
      <c r="D196" s="28" t="str">
        <f aca="false">IF(C196="","",IFERROR(INDEX(Players!$C$5:$C$104,MATCH(C196,Players!$B$5:$B$104,0)),"ID not found"))</f>
        <v/>
      </c>
      <c r="E196" s="27"/>
      <c r="F196" s="28" t="str">
        <f aca="false">IF(E196="","",IFERROR(INDEX('Med Ball Library'!$C$6:$C$19,MATCH(E196,'Med Ball Library'!$B$6:$B$19,0)),"Unknown ID"))</f>
        <v/>
      </c>
      <c r="G196" s="27"/>
      <c r="H196" s="27"/>
      <c r="I196" s="27"/>
      <c r="J196" s="27"/>
      <c r="K196" s="28" t="str">
        <f aca="false">IF(COUNT(H196,I196,J196)&lt;3,"",H196*I196*J196)</f>
        <v/>
      </c>
      <c r="L196" s="27"/>
      <c r="M196" s="27"/>
      <c r="N196" s="27"/>
      <c r="O196" s="27"/>
      <c r="P196" s="27"/>
    </row>
    <row r="197" customFormat="false" ht="15" hidden="false" customHeight="false" outlineLevel="0" collapsed="false">
      <c r="B197" s="26"/>
      <c r="C197" s="27"/>
      <c r="D197" s="28" t="str">
        <f aca="false">IF(C197="","",IFERROR(INDEX(Players!$C$5:$C$104,MATCH(C197,Players!$B$5:$B$104,0)),"ID not found"))</f>
        <v/>
      </c>
      <c r="E197" s="27"/>
      <c r="F197" s="28" t="str">
        <f aca="false">IF(E197="","",IFERROR(INDEX('Med Ball Library'!$C$6:$C$19,MATCH(E197,'Med Ball Library'!$B$6:$B$19,0)),"Unknown ID"))</f>
        <v/>
      </c>
      <c r="G197" s="27"/>
      <c r="H197" s="27"/>
      <c r="I197" s="27"/>
      <c r="J197" s="27"/>
      <c r="K197" s="28" t="str">
        <f aca="false">IF(COUNT(H197,I197,J197)&lt;3,"",H197*I197*J197)</f>
        <v/>
      </c>
      <c r="L197" s="27"/>
      <c r="M197" s="27"/>
      <c r="N197" s="27"/>
      <c r="O197" s="27"/>
      <c r="P197" s="27"/>
    </row>
    <row r="198" customFormat="false" ht="15" hidden="false" customHeight="false" outlineLevel="0" collapsed="false">
      <c r="B198" s="26"/>
      <c r="C198" s="27"/>
      <c r="D198" s="28" t="str">
        <f aca="false">IF(C198="","",IFERROR(INDEX(Players!$C$5:$C$104,MATCH(C198,Players!$B$5:$B$104,0)),"ID not found"))</f>
        <v/>
      </c>
      <c r="E198" s="27"/>
      <c r="F198" s="28" t="str">
        <f aca="false">IF(E198="","",IFERROR(INDEX('Med Ball Library'!$C$6:$C$19,MATCH(E198,'Med Ball Library'!$B$6:$B$19,0)),"Unknown ID"))</f>
        <v/>
      </c>
      <c r="G198" s="27"/>
      <c r="H198" s="27"/>
      <c r="I198" s="27"/>
      <c r="J198" s="27"/>
      <c r="K198" s="28" t="str">
        <f aca="false">IF(COUNT(H198,I198,J198)&lt;3,"",H198*I198*J198)</f>
        <v/>
      </c>
      <c r="L198" s="27"/>
      <c r="M198" s="27"/>
      <c r="N198" s="27"/>
      <c r="O198" s="27"/>
      <c r="P198" s="27"/>
    </row>
    <row r="199" customFormat="false" ht="15" hidden="false" customHeight="false" outlineLevel="0" collapsed="false">
      <c r="B199" s="26"/>
      <c r="C199" s="27"/>
      <c r="D199" s="28" t="str">
        <f aca="false">IF(C199="","",IFERROR(INDEX(Players!$C$5:$C$104,MATCH(C199,Players!$B$5:$B$104,0)),"ID not found"))</f>
        <v/>
      </c>
      <c r="E199" s="27"/>
      <c r="F199" s="28" t="str">
        <f aca="false">IF(E199="","",IFERROR(INDEX('Med Ball Library'!$C$6:$C$19,MATCH(E199,'Med Ball Library'!$B$6:$B$19,0)),"Unknown ID"))</f>
        <v/>
      </c>
      <c r="G199" s="27"/>
      <c r="H199" s="27"/>
      <c r="I199" s="27"/>
      <c r="J199" s="27"/>
      <c r="K199" s="28" t="str">
        <f aca="false">IF(COUNT(H199,I199,J199)&lt;3,"",H199*I199*J199)</f>
        <v/>
      </c>
      <c r="L199" s="27"/>
      <c r="M199" s="27"/>
      <c r="N199" s="27"/>
      <c r="O199" s="27"/>
      <c r="P199" s="27"/>
    </row>
    <row r="200" customFormat="false" ht="15" hidden="false" customHeight="false" outlineLevel="0" collapsed="false">
      <c r="B200" s="26"/>
      <c r="C200" s="27"/>
      <c r="D200" s="28" t="str">
        <f aca="false">IF(C200="","",IFERROR(INDEX(Players!$C$5:$C$104,MATCH(C200,Players!$B$5:$B$104,0)),"ID not found"))</f>
        <v/>
      </c>
      <c r="E200" s="27"/>
      <c r="F200" s="28" t="str">
        <f aca="false">IF(E200="","",IFERROR(INDEX('Med Ball Library'!$C$6:$C$19,MATCH(E200,'Med Ball Library'!$B$6:$B$19,0)),"Unknown ID"))</f>
        <v/>
      </c>
      <c r="G200" s="27"/>
      <c r="H200" s="27"/>
      <c r="I200" s="27"/>
      <c r="J200" s="27"/>
      <c r="K200" s="28" t="str">
        <f aca="false">IF(COUNT(H200,I200,J200)&lt;3,"",H200*I200*J200)</f>
        <v/>
      </c>
      <c r="L200" s="27"/>
      <c r="M200" s="27"/>
      <c r="N200" s="27"/>
      <c r="O200" s="27"/>
      <c r="P200" s="27"/>
    </row>
    <row r="201" customFormat="false" ht="15" hidden="false" customHeight="false" outlineLevel="0" collapsed="false">
      <c r="B201" s="26"/>
      <c r="C201" s="27"/>
      <c r="D201" s="28" t="str">
        <f aca="false">IF(C201="","",IFERROR(INDEX(Players!$C$5:$C$104,MATCH(C201,Players!$B$5:$B$104,0)),"ID not found"))</f>
        <v/>
      </c>
      <c r="E201" s="27"/>
      <c r="F201" s="28" t="str">
        <f aca="false">IF(E201="","",IFERROR(INDEX('Med Ball Library'!$C$6:$C$19,MATCH(E201,'Med Ball Library'!$B$6:$B$19,0)),"Unknown ID"))</f>
        <v/>
      </c>
      <c r="G201" s="27"/>
      <c r="H201" s="27"/>
      <c r="I201" s="27"/>
      <c r="J201" s="27"/>
      <c r="K201" s="28" t="str">
        <f aca="false">IF(COUNT(H201,I201,J201)&lt;3,"",H201*I201*J201)</f>
        <v/>
      </c>
      <c r="L201" s="27"/>
      <c r="M201" s="27"/>
      <c r="N201" s="27"/>
      <c r="O201" s="27"/>
      <c r="P201" s="27"/>
    </row>
    <row r="202" customFormat="false" ht="15" hidden="false" customHeight="false" outlineLevel="0" collapsed="false">
      <c r="B202" s="26"/>
      <c r="C202" s="27"/>
      <c r="D202" s="28" t="str">
        <f aca="false">IF(C202="","",IFERROR(INDEX(Players!$C$5:$C$104,MATCH(C202,Players!$B$5:$B$104,0)),"ID not found"))</f>
        <v/>
      </c>
      <c r="E202" s="27"/>
      <c r="F202" s="28" t="str">
        <f aca="false">IF(E202="","",IFERROR(INDEX('Med Ball Library'!$C$6:$C$19,MATCH(E202,'Med Ball Library'!$B$6:$B$19,0)),"Unknown ID"))</f>
        <v/>
      </c>
      <c r="G202" s="27"/>
      <c r="H202" s="27"/>
      <c r="I202" s="27"/>
      <c r="J202" s="27"/>
      <c r="K202" s="28" t="str">
        <f aca="false">IF(COUNT(H202,I202,J202)&lt;3,"",H202*I202*J202)</f>
        <v/>
      </c>
      <c r="L202" s="27"/>
      <c r="M202" s="27"/>
      <c r="N202" s="27"/>
      <c r="O202" s="27"/>
      <c r="P202" s="27"/>
    </row>
    <row r="203" customFormat="false" ht="15" hidden="false" customHeight="false" outlineLevel="0" collapsed="false">
      <c r="B203" s="26"/>
      <c r="C203" s="27"/>
      <c r="D203" s="28" t="str">
        <f aca="false">IF(C203="","",IFERROR(INDEX(Players!$C$5:$C$104,MATCH(C203,Players!$B$5:$B$104,0)),"ID not found"))</f>
        <v/>
      </c>
      <c r="E203" s="27"/>
      <c r="F203" s="28" t="str">
        <f aca="false">IF(E203="","",IFERROR(INDEX('Med Ball Library'!$C$6:$C$19,MATCH(E203,'Med Ball Library'!$B$6:$B$19,0)),"Unknown ID"))</f>
        <v/>
      </c>
      <c r="G203" s="27"/>
      <c r="H203" s="27"/>
      <c r="I203" s="27"/>
      <c r="J203" s="27"/>
      <c r="K203" s="28" t="str">
        <f aca="false">IF(COUNT(H203,I203,J203)&lt;3,"",H203*I203*J203)</f>
        <v/>
      </c>
      <c r="L203" s="27"/>
      <c r="M203" s="27"/>
      <c r="N203" s="27"/>
      <c r="O203" s="27"/>
      <c r="P203" s="27"/>
    </row>
    <row r="204" customFormat="false" ht="15" hidden="false" customHeight="false" outlineLevel="0" collapsed="false">
      <c r="B204" s="26"/>
      <c r="C204" s="27"/>
      <c r="D204" s="28" t="str">
        <f aca="false">IF(C204="","",IFERROR(INDEX(Players!$C$5:$C$104,MATCH(C204,Players!$B$5:$B$104,0)),"ID not found"))</f>
        <v/>
      </c>
      <c r="E204" s="27"/>
      <c r="F204" s="28" t="str">
        <f aca="false">IF(E204="","",IFERROR(INDEX('Med Ball Library'!$C$6:$C$19,MATCH(E204,'Med Ball Library'!$B$6:$B$19,0)),"Unknown ID"))</f>
        <v/>
      </c>
      <c r="G204" s="27"/>
      <c r="H204" s="27"/>
      <c r="I204" s="27"/>
      <c r="J204" s="27"/>
      <c r="K204" s="28" t="str">
        <f aca="false">IF(COUNT(H204,I204,J204)&lt;3,"",H204*I204*J204)</f>
        <v/>
      </c>
      <c r="L204" s="27"/>
      <c r="M204" s="27"/>
      <c r="N204" s="27"/>
      <c r="O204" s="27"/>
      <c r="P204" s="27"/>
    </row>
    <row r="205" customFormat="false" ht="15" hidden="false" customHeight="false" outlineLevel="0" collapsed="false">
      <c r="B205" s="26"/>
      <c r="C205" s="27"/>
      <c r="D205" s="28" t="str">
        <f aca="false">IF(C205="","",IFERROR(INDEX(Players!$C$5:$C$104,MATCH(C205,Players!$B$5:$B$104,0)),"ID not found"))</f>
        <v/>
      </c>
      <c r="E205" s="27"/>
      <c r="F205" s="28" t="str">
        <f aca="false">IF(E205="","",IFERROR(INDEX('Med Ball Library'!$C$6:$C$19,MATCH(E205,'Med Ball Library'!$B$6:$B$19,0)),"Unknown ID"))</f>
        <v/>
      </c>
      <c r="G205" s="27"/>
      <c r="H205" s="27"/>
      <c r="I205" s="27"/>
      <c r="J205" s="27"/>
      <c r="K205" s="28" t="str">
        <f aca="false">IF(COUNT(H205,I205,J205)&lt;3,"",H205*I205*J205)</f>
        <v/>
      </c>
      <c r="L205" s="27"/>
      <c r="M205" s="27"/>
      <c r="N205" s="27"/>
      <c r="O205" s="27"/>
      <c r="P205" s="27"/>
    </row>
    <row r="206" customFormat="false" ht="15" hidden="false" customHeight="false" outlineLevel="0" collapsed="false">
      <c r="B206" s="26"/>
      <c r="C206" s="27"/>
      <c r="D206" s="28" t="str">
        <f aca="false">IF(C206="","",IFERROR(INDEX(Players!$C$5:$C$104,MATCH(C206,Players!$B$5:$B$104,0)),"ID not found"))</f>
        <v/>
      </c>
      <c r="E206" s="27"/>
      <c r="F206" s="28" t="str">
        <f aca="false">IF(E206="","",IFERROR(INDEX('Med Ball Library'!$C$6:$C$19,MATCH(E206,'Med Ball Library'!$B$6:$B$19,0)),"Unknown ID"))</f>
        <v/>
      </c>
      <c r="G206" s="27"/>
      <c r="H206" s="27"/>
      <c r="I206" s="27"/>
      <c r="J206" s="27"/>
      <c r="K206" s="28" t="str">
        <f aca="false">IF(COUNT(H206,I206,J206)&lt;3,"",H206*I206*J206)</f>
        <v/>
      </c>
      <c r="L206" s="27"/>
      <c r="M206" s="27"/>
      <c r="N206" s="27"/>
      <c r="O206" s="27"/>
      <c r="P206" s="27"/>
    </row>
    <row r="207" customFormat="false" ht="15" hidden="false" customHeight="false" outlineLevel="0" collapsed="false">
      <c r="B207" s="26"/>
      <c r="C207" s="27"/>
      <c r="D207" s="28" t="str">
        <f aca="false">IF(C207="","",IFERROR(INDEX(Players!$C$5:$C$104,MATCH(C207,Players!$B$5:$B$104,0)),"ID not found"))</f>
        <v/>
      </c>
      <c r="E207" s="27"/>
      <c r="F207" s="28" t="str">
        <f aca="false">IF(E207="","",IFERROR(INDEX('Med Ball Library'!$C$6:$C$19,MATCH(E207,'Med Ball Library'!$B$6:$B$19,0)),"Unknown ID"))</f>
        <v/>
      </c>
      <c r="G207" s="27"/>
      <c r="H207" s="27"/>
      <c r="I207" s="27"/>
      <c r="J207" s="27"/>
      <c r="K207" s="28" t="str">
        <f aca="false">IF(COUNT(H207,I207,J207)&lt;3,"",H207*I207*J207)</f>
        <v/>
      </c>
      <c r="L207" s="27"/>
      <c r="M207" s="27"/>
      <c r="N207" s="27"/>
      <c r="O207" s="27"/>
      <c r="P207" s="27"/>
    </row>
    <row r="208" customFormat="false" ht="15" hidden="false" customHeight="false" outlineLevel="0" collapsed="false">
      <c r="B208" s="26"/>
      <c r="C208" s="27"/>
      <c r="D208" s="28" t="str">
        <f aca="false">IF(C208="","",IFERROR(INDEX(Players!$C$5:$C$104,MATCH(C208,Players!$B$5:$B$104,0)),"ID not found"))</f>
        <v/>
      </c>
      <c r="E208" s="27"/>
      <c r="F208" s="28" t="str">
        <f aca="false">IF(E208="","",IFERROR(INDEX('Med Ball Library'!$C$6:$C$19,MATCH(E208,'Med Ball Library'!$B$6:$B$19,0)),"Unknown ID"))</f>
        <v/>
      </c>
      <c r="G208" s="27"/>
      <c r="H208" s="27"/>
      <c r="I208" s="27"/>
      <c r="J208" s="27"/>
      <c r="K208" s="28" t="str">
        <f aca="false">IF(COUNT(H208,I208,J208)&lt;3,"",H208*I208*J208)</f>
        <v/>
      </c>
      <c r="L208" s="27"/>
      <c r="M208" s="27"/>
      <c r="N208" s="27"/>
      <c r="O208" s="27"/>
      <c r="P208" s="27"/>
    </row>
    <row r="209" customFormat="false" ht="15" hidden="false" customHeight="false" outlineLevel="0" collapsed="false">
      <c r="B209" s="26"/>
      <c r="C209" s="27"/>
      <c r="D209" s="28" t="str">
        <f aca="false">IF(C209="","",IFERROR(INDEX(Players!$C$5:$C$104,MATCH(C209,Players!$B$5:$B$104,0)),"ID not found"))</f>
        <v/>
      </c>
      <c r="E209" s="27"/>
      <c r="F209" s="28" t="str">
        <f aca="false">IF(E209="","",IFERROR(INDEX('Med Ball Library'!$C$6:$C$19,MATCH(E209,'Med Ball Library'!$B$6:$B$19,0)),"Unknown ID"))</f>
        <v/>
      </c>
      <c r="G209" s="27"/>
      <c r="H209" s="27"/>
      <c r="I209" s="27"/>
      <c r="J209" s="27"/>
      <c r="K209" s="28" t="str">
        <f aca="false">IF(COUNT(H209,I209,J209)&lt;3,"",H209*I209*J209)</f>
        <v/>
      </c>
      <c r="L209" s="27"/>
      <c r="M209" s="27"/>
      <c r="N209" s="27"/>
      <c r="O209" s="27"/>
      <c r="P209" s="27"/>
    </row>
    <row r="210" customFormat="false" ht="15" hidden="false" customHeight="false" outlineLevel="0" collapsed="false">
      <c r="B210" s="26"/>
      <c r="C210" s="27"/>
      <c r="D210" s="28" t="str">
        <f aca="false">IF(C210="","",IFERROR(INDEX(Players!$C$5:$C$104,MATCH(C210,Players!$B$5:$B$104,0)),"ID not found"))</f>
        <v/>
      </c>
      <c r="E210" s="27"/>
      <c r="F210" s="28" t="str">
        <f aca="false">IF(E210="","",IFERROR(INDEX('Med Ball Library'!$C$6:$C$19,MATCH(E210,'Med Ball Library'!$B$6:$B$19,0)),"Unknown ID"))</f>
        <v/>
      </c>
      <c r="G210" s="27"/>
      <c r="H210" s="27"/>
      <c r="I210" s="27"/>
      <c r="J210" s="27"/>
      <c r="K210" s="28" t="str">
        <f aca="false">IF(COUNT(H210,I210,J210)&lt;3,"",H210*I210*J210)</f>
        <v/>
      </c>
      <c r="L210" s="27"/>
      <c r="M210" s="27"/>
      <c r="N210" s="27"/>
      <c r="O210" s="27"/>
      <c r="P210" s="27"/>
    </row>
    <row r="211" customFormat="false" ht="15" hidden="false" customHeight="false" outlineLevel="0" collapsed="false">
      <c r="B211" s="26"/>
      <c r="C211" s="27"/>
      <c r="D211" s="28" t="str">
        <f aca="false">IF(C211="","",IFERROR(INDEX(Players!$C$5:$C$104,MATCH(C211,Players!$B$5:$B$104,0)),"ID not found"))</f>
        <v/>
      </c>
      <c r="E211" s="27"/>
      <c r="F211" s="28" t="str">
        <f aca="false">IF(E211="","",IFERROR(INDEX('Med Ball Library'!$C$6:$C$19,MATCH(E211,'Med Ball Library'!$B$6:$B$19,0)),"Unknown ID"))</f>
        <v/>
      </c>
      <c r="G211" s="27"/>
      <c r="H211" s="27"/>
      <c r="I211" s="27"/>
      <c r="J211" s="27"/>
      <c r="K211" s="28" t="str">
        <f aca="false">IF(COUNT(H211,I211,J211)&lt;3,"",H211*I211*J211)</f>
        <v/>
      </c>
      <c r="L211" s="27"/>
      <c r="M211" s="27"/>
      <c r="N211" s="27"/>
      <c r="O211" s="27"/>
      <c r="P211" s="27"/>
    </row>
    <row r="212" customFormat="false" ht="15" hidden="false" customHeight="false" outlineLevel="0" collapsed="false">
      <c r="B212" s="26"/>
      <c r="C212" s="27"/>
      <c r="D212" s="28" t="str">
        <f aca="false">IF(C212="","",IFERROR(INDEX(Players!$C$5:$C$104,MATCH(C212,Players!$B$5:$B$104,0)),"ID not found"))</f>
        <v/>
      </c>
      <c r="E212" s="27"/>
      <c r="F212" s="28" t="str">
        <f aca="false">IF(E212="","",IFERROR(INDEX('Med Ball Library'!$C$6:$C$19,MATCH(E212,'Med Ball Library'!$B$6:$B$19,0)),"Unknown ID"))</f>
        <v/>
      </c>
      <c r="G212" s="27"/>
      <c r="H212" s="27"/>
      <c r="I212" s="27"/>
      <c r="J212" s="27"/>
      <c r="K212" s="28" t="str">
        <f aca="false">IF(COUNT(H212,I212,J212)&lt;3,"",H212*I212*J212)</f>
        <v/>
      </c>
      <c r="L212" s="27"/>
      <c r="M212" s="27"/>
      <c r="N212" s="27"/>
      <c r="O212" s="27"/>
      <c r="P212" s="27"/>
    </row>
    <row r="213" customFormat="false" ht="15" hidden="false" customHeight="false" outlineLevel="0" collapsed="false">
      <c r="B213" s="26"/>
      <c r="C213" s="27"/>
      <c r="D213" s="28" t="str">
        <f aca="false">IF(C213="","",IFERROR(INDEX(Players!$C$5:$C$104,MATCH(C213,Players!$B$5:$B$104,0)),"ID not found"))</f>
        <v/>
      </c>
      <c r="E213" s="27"/>
      <c r="F213" s="28" t="str">
        <f aca="false">IF(E213="","",IFERROR(INDEX('Med Ball Library'!$C$6:$C$19,MATCH(E213,'Med Ball Library'!$B$6:$B$19,0)),"Unknown ID"))</f>
        <v/>
      </c>
      <c r="G213" s="27"/>
      <c r="H213" s="27"/>
      <c r="I213" s="27"/>
      <c r="J213" s="27"/>
      <c r="K213" s="28" t="str">
        <f aca="false">IF(COUNT(H213,I213,J213)&lt;3,"",H213*I213*J213)</f>
        <v/>
      </c>
      <c r="L213" s="27"/>
      <c r="M213" s="27"/>
      <c r="N213" s="27"/>
      <c r="O213" s="27"/>
      <c r="P213" s="27"/>
    </row>
    <row r="214" customFormat="false" ht="15" hidden="false" customHeight="false" outlineLevel="0" collapsed="false">
      <c r="B214" s="26"/>
      <c r="C214" s="27"/>
      <c r="D214" s="28" t="str">
        <f aca="false">IF(C214="","",IFERROR(INDEX(Players!$C$5:$C$104,MATCH(C214,Players!$B$5:$B$104,0)),"ID not found"))</f>
        <v/>
      </c>
      <c r="E214" s="27"/>
      <c r="F214" s="28" t="str">
        <f aca="false">IF(E214="","",IFERROR(INDEX('Med Ball Library'!$C$6:$C$19,MATCH(E214,'Med Ball Library'!$B$6:$B$19,0)),"Unknown ID"))</f>
        <v/>
      </c>
      <c r="G214" s="27"/>
      <c r="H214" s="27"/>
      <c r="I214" s="27"/>
      <c r="J214" s="27"/>
      <c r="K214" s="28" t="str">
        <f aca="false">IF(COUNT(H214,I214,J214)&lt;3,"",H214*I214*J214)</f>
        <v/>
      </c>
      <c r="L214" s="27"/>
      <c r="M214" s="27"/>
      <c r="N214" s="27"/>
      <c r="O214" s="27"/>
      <c r="P214" s="27"/>
    </row>
    <row r="215" customFormat="false" ht="15" hidden="false" customHeight="false" outlineLevel="0" collapsed="false">
      <c r="B215" s="26"/>
      <c r="C215" s="27"/>
      <c r="D215" s="28" t="str">
        <f aca="false">IF(C215="","",IFERROR(INDEX(Players!$C$5:$C$104,MATCH(C215,Players!$B$5:$B$104,0)),"ID not found"))</f>
        <v/>
      </c>
      <c r="E215" s="27"/>
      <c r="F215" s="28" t="str">
        <f aca="false">IF(E215="","",IFERROR(INDEX('Med Ball Library'!$C$6:$C$19,MATCH(E215,'Med Ball Library'!$B$6:$B$19,0)),"Unknown ID"))</f>
        <v/>
      </c>
      <c r="G215" s="27"/>
      <c r="H215" s="27"/>
      <c r="I215" s="27"/>
      <c r="J215" s="27"/>
      <c r="K215" s="28" t="str">
        <f aca="false">IF(COUNT(H215,I215,J215)&lt;3,"",H215*I215*J215)</f>
        <v/>
      </c>
      <c r="L215" s="27"/>
      <c r="M215" s="27"/>
      <c r="N215" s="27"/>
      <c r="O215" s="27"/>
      <c r="P215" s="27"/>
    </row>
    <row r="216" customFormat="false" ht="15" hidden="false" customHeight="false" outlineLevel="0" collapsed="false">
      <c r="B216" s="26"/>
      <c r="C216" s="27"/>
      <c r="D216" s="28" t="str">
        <f aca="false">IF(C216="","",IFERROR(INDEX(Players!$C$5:$C$104,MATCH(C216,Players!$B$5:$B$104,0)),"ID not found"))</f>
        <v/>
      </c>
      <c r="E216" s="27"/>
      <c r="F216" s="28" t="str">
        <f aca="false">IF(E216="","",IFERROR(INDEX('Med Ball Library'!$C$6:$C$19,MATCH(E216,'Med Ball Library'!$B$6:$B$19,0)),"Unknown ID"))</f>
        <v/>
      </c>
      <c r="G216" s="27"/>
      <c r="H216" s="27"/>
      <c r="I216" s="27"/>
      <c r="J216" s="27"/>
      <c r="K216" s="28" t="str">
        <f aca="false">IF(COUNT(H216,I216,J216)&lt;3,"",H216*I216*J216)</f>
        <v/>
      </c>
      <c r="L216" s="27"/>
      <c r="M216" s="27"/>
      <c r="N216" s="27"/>
      <c r="O216" s="27"/>
      <c r="P216" s="27"/>
    </row>
    <row r="217" customFormat="false" ht="15" hidden="false" customHeight="false" outlineLevel="0" collapsed="false">
      <c r="B217" s="26"/>
      <c r="C217" s="27"/>
      <c r="D217" s="28" t="str">
        <f aca="false">IF(C217="","",IFERROR(INDEX(Players!$C$5:$C$104,MATCH(C217,Players!$B$5:$B$104,0)),"ID not found"))</f>
        <v/>
      </c>
      <c r="E217" s="27"/>
      <c r="F217" s="28" t="str">
        <f aca="false">IF(E217="","",IFERROR(INDEX('Med Ball Library'!$C$6:$C$19,MATCH(E217,'Med Ball Library'!$B$6:$B$19,0)),"Unknown ID"))</f>
        <v/>
      </c>
      <c r="G217" s="27"/>
      <c r="H217" s="27"/>
      <c r="I217" s="27"/>
      <c r="J217" s="27"/>
      <c r="K217" s="28" t="str">
        <f aca="false">IF(COUNT(H217,I217,J217)&lt;3,"",H217*I217*J217)</f>
        <v/>
      </c>
      <c r="L217" s="27"/>
      <c r="M217" s="27"/>
      <c r="N217" s="27"/>
      <c r="O217" s="27"/>
      <c r="P217" s="27"/>
    </row>
    <row r="218" customFormat="false" ht="15" hidden="false" customHeight="false" outlineLevel="0" collapsed="false">
      <c r="B218" s="26"/>
      <c r="C218" s="27"/>
      <c r="D218" s="28" t="str">
        <f aca="false">IF(C218="","",IFERROR(INDEX(Players!$C$5:$C$104,MATCH(C218,Players!$B$5:$B$104,0)),"ID not found"))</f>
        <v/>
      </c>
      <c r="E218" s="27"/>
      <c r="F218" s="28" t="str">
        <f aca="false">IF(E218="","",IFERROR(INDEX('Med Ball Library'!$C$6:$C$19,MATCH(E218,'Med Ball Library'!$B$6:$B$19,0)),"Unknown ID"))</f>
        <v/>
      </c>
      <c r="G218" s="27"/>
      <c r="H218" s="27"/>
      <c r="I218" s="27"/>
      <c r="J218" s="27"/>
      <c r="K218" s="28" t="str">
        <f aca="false">IF(COUNT(H218,I218,J218)&lt;3,"",H218*I218*J218)</f>
        <v/>
      </c>
      <c r="L218" s="27"/>
      <c r="M218" s="27"/>
      <c r="N218" s="27"/>
      <c r="O218" s="27"/>
      <c r="P218" s="27"/>
    </row>
    <row r="219" customFormat="false" ht="15" hidden="false" customHeight="false" outlineLevel="0" collapsed="false">
      <c r="B219" s="26"/>
      <c r="C219" s="27"/>
      <c r="D219" s="28" t="str">
        <f aca="false">IF(C219="","",IFERROR(INDEX(Players!$C$5:$C$104,MATCH(C219,Players!$B$5:$B$104,0)),"ID not found"))</f>
        <v/>
      </c>
      <c r="E219" s="27"/>
      <c r="F219" s="28" t="str">
        <f aca="false">IF(E219="","",IFERROR(INDEX('Med Ball Library'!$C$6:$C$19,MATCH(E219,'Med Ball Library'!$B$6:$B$19,0)),"Unknown ID"))</f>
        <v/>
      </c>
      <c r="G219" s="27"/>
      <c r="H219" s="27"/>
      <c r="I219" s="27"/>
      <c r="J219" s="27"/>
      <c r="K219" s="28" t="str">
        <f aca="false">IF(COUNT(H219,I219,J219)&lt;3,"",H219*I219*J219)</f>
        <v/>
      </c>
      <c r="L219" s="27"/>
      <c r="M219" s="27"/>
      <c r="N219" s="27"/>
      <c r="O219" s="27"/>
      <c r="P219" s="27"/>
    </row>
    <row r="220" customFormat="false" ht="15" hidden="false" customHeight="false" outlineLevel="0" collapsed="false">
      <c r="B220" s="26"/>
      <c r="C220" s="27"/>
      <c r="D220" s="28" t="str">
        <f aca="false">IF(C220="","",IFERROR(INDEX(Players!$C$5:$C$104,MATCH(C220,Players!$B$5:$B$104,0)),"ID not found"))</f>
        <v/>
      </c>
      <c r="E220" s="27"/>
      <c r="F220" s="28" t="str">
        <f aca="false">IF(E220="","",IFERROR(INDEX('Med Ball Library'!$C$6:$C$19,MATCH(E220,'Med Ball Library'!$B$6:$B$19,0)),"Unknown ID"))</f>
        <v/>
      </c>
      <c r="G220" s="27"/>
      <c r="H220" s="27"/>
      <c r="I220" s="27"/>
      <c r="J220" s="27"/>
      <c r="K220" s="28" t="str">
        <f aca="false">IF(COUNT(H220,I220,J220)&lt;3,"",H220*I220*J220)</f>
        <v/>
      </c>
      <c r="L220" s="27"/>
      <c r="M220" s="27"/>
      <c r="N220" s="27"/>
      <c r="O220" s="27"/>
      <c r="P220" s="27"/>
    </row>
    <row r="221" customFormat="false" ht="15" hidden="false" customHeight="false" outlineLevel="0" collapsed="false">
      <c r="B221" s="26"/>
      <c r="C221" s="27"/>
      <c r="D221" s="28" t="str">
        <f aca="false">IF(C221="","",IFERROR(INDEX(Players!$C$5:$C$104,MATCH(C221,Players!$B$5:$B$104,0)),"ID not found"))</f>
        <v/>
      </c>
      <c r="E221" s="27"/>
      <c r="F221" s="28" t="str">
        <f aca="false">IF(E221="","",IFERROR(INDEX('Med Ball Library'!$C$6:$C$19,MATCH(E221,'Med Ball Library'!$B$6:$B$19,0)),"Unknown ID"))</f>
        <v/>
      </c>
      <c r="G221" s="27"/>
      <c r="H221" s="27"/>
      <c r="I221" s="27"/>
      <c r="J221" s="27"/>
      <c r="K221" s="28" t="str">
        <f aca="false">IF(COUNT(H221,I221,J221)&lt;3,"",H221*I221*J221)</f>
        <v/>
      </c>
      <c r="L221" s="27"/>
      <c r="M221" s="27"/>
      <c r="N221" s="27"/>
      <c r="O221" s="27"/>
      <c r="P221" s="27"/>
    </row>
    <row r="222" customFormat="false" ht="15" hidden="false" customHeight="false" outlineLevel="0" collapsed="false">
      <c r="B222" s="26"/>
      <c r="C222" s="27"/>
      <c r="D222" s="28" t="str">
        <f aca="false">IF(C222="","",IFERROR(INDEX(Players!$C$5:$C$104,MATCH(C222,Players!$B$5:$B$104,0)),"ID not found"))</f>
        <v/>
      </c>
      <c r="E222" s="27"/>
      <c r="F222" s="28" t="str">
        <f aca="false">IF(E222="","",IFERROR(INDEX('Med Ball Library'!$C$6:$C$19,MATCH(E222,'Med Ball Library'!$B$6:$B$19,0)),"Unknown ID"))</f>
        <v/>
      </c>
      <c r="G222" s="27"/>
      <c r="H222" s="27"/>
      <c r="I222" s="27"/>
      <c r="J222" s="27"/>
      <c r="K222" s="28" t="str">
        <f aca="false">IF(COUNT(H222,I222,J222)&lt;3,"",H222*I222*J222)</f>
        <v/>
      </c>
      <c r="L222" s="27"/>
      <c r="M222" s="27"/>
      <c r="N222" s="27"/>
      <c r="O222" s="27"/>
      <c r="P222" s="27"/>
    </row>
    <row r="223" customFormat="false" ht="15" hidden="false" customHeight="false" outlineLevel="0" collapsed="false">
      <c r="B223" s="26"/>
      <c r="C223" s="27"/>
      <c r="D223" s="28" t="str">
        <f aca="false">IF(C223="","",IFERROR(INDEX(Players!$C$5:$C$104,MATCH(C223,Players!$B$5:$B$104,0)),"ID not found"))</f>
        <v/>
      </c>
      <c r="E223" s="27"/>
      <c r="F223" s="28" t="str">
        <f aca="false">IF(E223="","",IFERROR(INDEX('Med Ball Library'!$C$6:$C$19,MATCH(E223,'Med Ball Library'!$B$6:$B$19,0)),"Unknown ID"))</f>
        <v/>
      </c>
      <c r="G223" s="27"/>
      <c r="H223" s="27"/>
      <c r="I223" s="27"/>
      <c r="J223" s="27"/>
      <c r="K223" s="28" t="str">
        <f aca="false">IF(COUNT(H223,I223,J223)&lt;3,"",H223*I223*J223)</f>
        <v/>
      </c>
      <c r="L223" s="27"/>
      <c r="M223" s="27"/>
      <c r="N223" s="27"/>
      <c r="O223" s="27"/>
      <c r="P223" s="27"/>
    </row>
    <row r="224" customFormat="false" ht="15" hidden="false" customHeight="false" outlineLevel="0" collapsed="false">
      <c r="B224" s="26"/>
      <c r="C224" s="27"/>
      <c r="D224" s="28" t="str">
        <f aca="false">IF(C224="","",IFERROR(INDEX(Players!$C$5:$C$104,MATCH(C224,Players!$B$5:$B$104,0)),"ID not found"))</f>
        <v/>
      </c>
      <c r="E224" s="27"/>
      <c r="F224" s="28" t="str">
        <f aca="false">IF(E224="","",IFERROR(INDEX('Med Ball Library'!$C$6:$C$19,MATCH(E224,'Med Ball Library'!$B$6:$B$19,0)),"Unknown ID"))</f>
        <v/>
      </c>
      <c r="G224" s="27"/>
      <c r="H224" s="27"/>
      <c r="I224" s="27"/>
      <c r="J224" s="27"/>
      <c r="K224" s="28" t="str">
        <f aca="false">IF(COUNT(H224,I224,J224)&lt;3,"",H224*I224*J224)</f>
        <v/>
      </c>
      <c r="L224" s="27"/>
      <c r="M224" s="27"/>
      <c r="N224" s="27"/>
      <c r="O224" s="27"/>
      <c r="P224" s="27"/>
    </row>
    <row r="225" customFormat="false" ht="15" hidden="false" customHeight="false" outlineLevel="0" collapsed="false">
      <c r="B225" s="26"/>
      <c r="C225" s="27"/>
      <c r="D225" s="28" t="str">
        <f aca="false">IF(C225="","",IFERROR(INDEX(Players!$C$5:$C$104,MATCH(C225,Players!$B$5:$B$104,0)),"ID not found"))</f>
        <v/>
      </c>
      <c r="E225" s="27"/>
      <c r="F225" s="28" t="str">
        <f aca="false">IF(E225="","",IFERROR(INDEX('Med Ball Library'!$C$6:$C$19,MATCH(E225,'Med Ball Library'!$B$6:$B$19,0)),"Unknown ID"))</f>
        <v/>
      </c>
      <c r="G225" s="27"/>
      <c r="H225" s="27"/>
      <c r="I225" s="27"/>
      <c r="J225" s="27"/>
      <c r="K225" s="28" t="str">
        <f aca="false">IF(COUNT(H225,I225,J225)&lt;3,"",H225*I225*J225)</f>
        <v/>
      </c>
      <c r="L225" s="27"/>
      <c r="M225" s="27"/>
      <c r="N225" s="27"/>
      <c r="O225" s="27"/>
      <c r="P225" s="27"/>
    </row>
    <row r="226" customFormat="false" ht="15" hidden="false" customHeight="false" outlineLevel="0" collapsed="false">
      <c r="B226" s="26"/>
      <c r="C226" s="27"/>
      <c r="D226" s="28" t="str">
        <f aca="false">IF(C226="","",IFERROR(INDEX(Players!$C$5:$C$104,MATCH(C226,Players!$B$5:$B$104,0)),"ID not found"))</f>
        <v/>
      </c>
      <c r="E226" s="27"/>
      <c r="F226" s="28" t="str">
        <f aca="false">IF(E226="","",IFERROR(INDEX('Med Ball Library'!$C$6:$C$19,MATCH(E226,'Med Ball Library'!$B$6:$B$19,0)),"Unknown ID"))</f>
        <v/>
      </c>
      <c r="G226" s="27"/>
      <c r="H226" s="27"/>
      <c r="I226" s="27"/>
      <c r="J226" s="27"/>
      <c r="K226" s="28" t="str">
        <f aca="false">IF(COUNT(H226,I226,J226)&lt;3,"",H226*I226*J226)</f>
        <v/>
      </c>
      <c r="L226" s="27"/>
      <c r="M226" s="27"/>
      <c r="N226" s="27"/>
      <c r="O226" s="27"/>
      <c r="P226" s="27"/>
    </row>
    <row r="227" customFormat="false" ht="15" hidden="false" customHeight="false" outlineLevel="0" collapsed="false">
      <c r="B227" s="26"/>
      <c r="C227" s="27"/>
      <c r="D227" s="28" t="str">
        <f aca="false">IF(C227="","",IFERROR(INDEX(Players!$C$5:$C$104,MATCH(C227,Players!$B$5:$B$104,0)),"ID not found"))</f>
        <v/>
      </c>
      <c r="E227" s="27"/>
      <c r="F227" s="28" t="str">
        <f aca="false">IF(E227="","",IFERROR(INDEX('Med Ball Library'!$C$6:$C$19,MATCH(E227,'Med Ball Library'!$B$6:$B$19,0)),"Unknown ID"))</f>
        <v/>
      </c>
      <c r="G227" s="27"/>
      <c r="H227" s="27"/>
      <c r="I227" s="27"/>
      <c r="J227" s="27"/>
      <c r="K227" s="28" t="str">
        <f aca="false">IF(COUNT(H227,I227,J227)&lt;3,"",H227*I227*J227)</f>
        <v/>
      </c>
      <c r="L227" s="27"/>
      <c r="M227" s="27"/>
      <c r="N227" s="27"/>
      <c r="O227" s="27"/>
      <c r="P227" s="27"/>
    </row>
    <row r="228" customFormat="false" ht="15" hidden="false" customHeight="false" outlineLevel="0" collapsed="false">
      <c r="B228" s="26"/>
      <c r="C228" s="27"/>
      <c r="D228" s="28" t="str">
        <f aca="false">IF(C228="","",IFERROR(INDEX(Players!$C$5:$C$104,MATCH(C228,Players!$B$5:$B$104,0)),"ID not found"))</f>
        <v/>
      </c>
      <c r="E228" s="27"/>
      <c r="F228" s="28" t="str">
        <f aca="false">IF(E228="","",IFERROR(INDEX('Med Ball Library'!$C$6:$C$19,MATCH(E228,'Med Ball Library'!$B$6:$B$19,0)),"Unknown ID"))</f>
        <v/>
      </c>
      <c r="G228" s="27"/>
      <c r="H228" s="27"/>
      <c r="I228" s="27"/>
      <c r="J228" s="27"/>
      <c r="K228" s="28" t="str">
        <f aca="false">IF(COUNT(H228,I228,J228)&lt;3,"",H228*I228*J228)</f>
        <v/>
      </c>
      <c r="L228" s="27"/>
      <c r="M228" s="27"/>
      <c r="N228" s="27"/>
      <c r="O228" s="27"/>
      <c r="P228" s="27"/>
    </row>
    <row r="229" customFormat="false" ht="15" hidden="false" customHeight="false" outlineLevel="0" collapsed="false">
      <c r="B229" s="26"/>
      <c r="C229" s="27"/>
      <c r="D229" s="28" t="str">
        <f aca="false">IF(C229="","",IFERROR(INDEX(Players!$C$5:$C$104,MATCH(C229,Players!$B$5:$B$104,0)),"ID not found"))</f>
        <v/>
      </c>
      <c r="E229" s="27"/>
      <c r="F229" s="28" t="str">
        <f aca="false">IF(E229="","",IFERROR(INDEX('Med Ball Library'!$C$6:$C$19,MATCH(E229,'Med Ball Library'!$B$6:$B$19,0)),"Unknown ID"))</f>
        <v/>
      </c>
      <c r="G229" s="27"/>
      <c r="H229" s="27"/>
      <c r="I229" s="27"/>
      <c r="J229" s="27"/>
      <c r="K229" s="28" t="str">
        <f aca="false">IF(COUNT(H229,I229,J229)&lt;3,"",H229*I229*J229)</f>
        <v/>
      </c>
      <c r="L229" s="27"/>
      <c r="M229" s="27"/>
      <c r="N229" s="27"/>
      <c r="O229" s="27"/>
      <c r="P229" s="27"/>
    </row>
    <row r="230" customFormat="false" ht="15" hidden="false" customHeight="false" outlineLevel="0" collapsed="false">
      <c r="B230" s="26"/>
      <c r="C230" s="27"/>
      <c r="D230" s="28" t="str">
        <f aca="false">IF(C230="","",IFERROR(INDEX(Players!$C$5:$C$104,MATCH(C230,Players!$B$5:$B$104,0)),"ID not found"))</f>
        <v/>
      </c>
      <c r="E230" s="27"/>
      <c r="F230" s="28" t="str">
        <f aca="false">IF(E230="","",IFERROR(INDEX('Med Ball Library'!$C$6:$C$19,MATCH(E230,'Med Ball Library'!$B$6:$B$19,0)),"Unknown ID"))</f>
        <v/>
      </c>
      <c r="G230" s="27"/>
      <c r="H230" s="27"/>
      <c r="I230" s="27"/>
      <c r="J230" s="27"/>
      <c r="K230" s="28" t="str">
        <f aca="false">IF(COUNT(H230,I230,J230)&lt;3,"",H230*I230*J230)</f>
        <v/>
      </c>
      <c r="L230" s="27"/>
      <c r="M230" s="27"/>
      <c r="N230" s="27"/>
      <c r="O230" s="27"/>
      <c r="P230" s="27"/>
    </row>
    <row r="231" customFormat="false" ht="15" hidden="false" customHeight="false" outlineLevel="0" collapsed="false">
      <c r="B231" s="26"/>
      <c r="C231" s="27"/>
      <c r="D231" s="28" t="str">
        <f aca="false">IF(C231="","",IFERROR(INDEX(Players!$C$5:$C$104,MATCH(C231,Players!$B$5:$B$104,0)),"ID not found"))</f>
        <v/>
      </c>
      <c r="E231" s="27"/>
      <c r="F231" s="28" t="str">
        <f aca="false">IF(E231="","",IFERROR(INDEX('Med Ball Library'!$C$6:$C$19,MATCH(E231,'Med Ball Library'!$B$6:$B$19,0)),"Unknown ID"))</f>
        <v/>
      </c>
      <c r="G231" s="27"/>
      <c r="H231" s="27"/>
      <c r="I231" s="27"/>
      <c r="J231" s="27"/>
      <c r="K231" s="28" t="str">
        <f aca="false">IF(COUNT(H231,I231,J231)&lt;3,"",H231*I231*J231)</f>
        <v/>
      </c>
      <c r="L231" s="27"/>
      <c r="M231" s="27"/>
      <c r="N231" s="27"/>
      <c r="O231" s="27"/>
      <c r="P231" s="27"/>
    </row>
    <row r="232" customFormat="false" ht="15" hidden="false" customHeight="false" outlineLevel="0" collapsed="false">
      <c r="B232" s="26"/>
      <c r="C232" s="27"/>
      <c r="D232" s="28" t="str">
        <f aca="false">IF(C232="","",IFERROR(INDEX(Players!$C$5:$C$104,MATCH(C232,Players!$B$5:$B$104,0)),"ID not found"))</f>
        <v/>
      </c>
      <c r="E232" s="27"/>
      <c r="F232" s="28" t="str">
        <f aca="false">IF(E232="","",IFERROR(INDEX('Med Ball Library'!$C$6:$C$19,MATCH(E232,'Med Ball Library'!$B$6:$B$19,0)),"Unknown ID"))</f>
        <v/>
      </c>
      <c r="G232" s="27"/>
      <c r="H232" s="27"/>
      <c r="I232" s="27"/>
      <c r="J232" s="27"/>
      <c r="K232" s="28" t="str">
        <f aca="false">IF(COUNT(H232,I232,J232)&lt;3,"",H232*I232*J232)</f>
        <v/>
      </c>
      <c r="L232" s="27"/>
      <c r="M232" s="27"/>
      <c r="N232" s="27"/>
      <c r="O232" s="27"/>
      <c r="P232" s="27"/>
    </row>
    <row r="233" customFormat="false" ht="15" hidden="false" customHeight="false" outlineLevel="0" collapsed="false">
      <c r="B233" s="26"/>
      <c r="C233" s="27"/>
      <c r="D233" s="28" t="str">
        <f aca="false">IF(C233="","",IFERROR(INDEX(Players!$C$5:$C$104,MATCH(C233,Players!$B$5:$B$104,0)),"ID not found"))</f>
        <v/>
      </c>
      <c r="E233" s="27"/>
      <c r="F233" s="28" t="str">
        <f aca="false">IF(E233="","",IFERROR(INDEX('Med Ball Library'!$C$6:$C$19,MATCH(E233,'Med Ball Library'!$B$6:$B$19,0)),"Unknown ID"))</f>
        <v/>
      </c>
      <c r="G233" s="27"/>
      <c r="H233" s="27"/>
      <c r="I233" s="27"/>
      <c r="J233" s="27"/>
      <c r="K233" s="28" t="str">
        <f aca="false">IF(COUNT(H233,I233,J233)&lt;3,"",H233*I233*J233)</f>
        <v/>
      </c>
      <c r="L233" s="27"/>
      <c r="M233" s="27"/>
      <c r="N233" s="27"/>
      <c r="O233" s="27"/>
      <c r="P233" s="27"/>
    </row>
    <row r="234" customFormat="false" ht="15" hidden="false" customHeight="false" outlineLevel="0" collapsed="false">
      <c r="B234" s="26"/>
      <c r="C234" s="27"/>
      <c r="D234" s="28" t="str">
        <f aca="false">IF(C234="","",IFERROR(INDEX(Players!$C$5:$C$104,MATCH(C234,Players!$B$5:$B$104,0)),"ID not found"))</f>
        <v/>
      </c>
      <c r="E234" s="27"/>
      <c r="F234" s="28" t="str">
        <f aca="false">IF(E234="","",IFERROR(INDEX('Med Ball Library'!$C$6:$C$19,MATCH(E234,'Med Ball Library'!$B$6:$B$19,0)),"Unknown ID"))</f>
        <v/>
      </c>
      <c r="G234" s="27"/>
      <c r="H234" s="27"/>
      <c r="I234" s="27"/>
      <c r="J234" s="27"/>
      <c r="K234" s="28" t="str">
        <f aca="false">IF(COUNT(H234,I234,J234)&lt;3,"",H234*I234*J234)</f>
        <v/>
      </c>
      <c r="L234" s="27"/>
      <c r="M234" s="27"/>
      <c r="N234" s="27"/>
      <c r="O234" s="27"/>
      <c r="P234" s="27"/>
    </row>
    <row r="235" customFormat="false" ht="15" hidden="false" customHeight="false" outlineLevel="0" collapsed="false">
      <c r="B235" s="26"/>
      <c r="C235" s="27"/>
      <c r="D235" s="28" t="str">
        <f aca="false">IF(C235="","",IFERROR(INDEX(Players!$C$5:$C$104,MATCH(C235,Players!$B$5:$B$104,0)),"ID not found"))</f>
        <v/>
      </c>
      <c r="E235" s="27"/>
      <c r="F235" s="28" t="str">
        <f aca="false">IF(E235="","",IFERROR(INDEX('Med Ball Library'!$C$6:$C$19,MATCH(E235,'Med Ball Library'!$B$6:$B$19,0)),"Unknown ID"))</f>
        <v/>
      </c>
      <c r="G235" s="27"/>
      <c r="H235" s="27"/>
      <c r="I235" s="27"/>
      <c r="J235" s="27"/>
      <c r="K235" s="28" t="str">
        <f aca="false">IF(COUNT(H235,I235,J235)&lt;3,"",H235*I235*J235)</f>
        <v/>
      </c>
      <c r="L235" s="27"/>
      <c r="M235" s="27"/>
      <c r="N235" s="27"/>
      <c r="O235" s="27"/>
      <c r="P235" s="27"/>
    </row>
    <row r="236" customFormat="false" ht="15" hidden="false" customHeight="false" outlineLevel="0" collapsed="false">
      <c r="B236" s="26"/>
      <c r="C236" s="27"/>
      <c r="D236" s="28" t="str">
        <f aca="false">IF(C236="","",IFERROR(INDEX(Players!$C$5:$C$104,MATCH(C236,Players!$B$5:$B$104,0)),"ID not found"))</f>
        <v/>
      </c>
      <c r="E236" s="27"/>
      <c r="F236" s="28" t="str">
        <f aca="false">IF(E236="","",IFERROR(INDEX('Med Ball Library'!$C$6:$C$19,MATCH(E236,'Med Ball Library'!$B$6:$B$19,0)),"Unknown ID"))</f>
        <v/>
      </c>
      <c r="G236" s="27"/>
      <c r="H236" s="27"/>
      <c r="I236" s="27"/>
      <c r="J236" s="27"/>
      <c r="K236" s="28" t="str">
        <f aca="false">IF(COUNT(H236,I236,J236)&lt;3,"",H236*I236*J236)</f>
        <v/>
      </c>
      <c r="L236" s="27"/>
      <c r="M236" s="27"/>
      <c r="N236" s="27"/>
      <c r="O236" s="27"/>
      <c r="P236" s="27"/>
    </row>
    <row r="237" customFormat="false" ht="15" hidden="false" customHeight="false" outlineLevel="0" collapsed="false">
      <c r="B237" s="26"/>
      <c r="C237" s="27"/>
      <c r="D237" s="28" t="str">
        <f aca="false">IF(C237="","",IFERROR(INDEX(Players!$C$5:$C$104,MATCH(C237,Players!$B$5:$B$104,0)),"ID not found"))</f>
        <v/>
      </c>
      <c r="E237" s="27"/>
      <c r="F237" s="28" t="str">
        <f aca="false">IF(E237="","",IFERROR(INDEX('Med Ball Library'!$C$6:$C$19,MATCH(E237,'Med Ball Library'!$B$6:$B$19,0)),"Unknown ID"))</f>
        <v/>
      </c>
      <c r="G237" s="27"/>
      <c r="H237" s="27"/>
      <c r="I237" s="27"/>
      <c r="J237" s="27"/>
      <c r="K237" s="28" t="str">
        <f aca="false">IF(COUNT(H237,I237,J237)&lt;3,"",H237*I237*J237)</f>
        <v/>
      </c>
      <c r="L237" s="27"/>
      <c r="M237" s="27"/>
      <c r="N237" s="27"/>
      <c r="O237" s="27"/>
      <c r="P237" s="27"/>
    </row>
    <row r="238" customFormat="false" ht="15" hidden="false" customHeight="false" outlineLevel="0" collapsed="false">
      <c r="B238" s="26"/>
      <c r="C238" s="27"/>
      <c r="D238" s="28" t="str">
        <f aca="false">IF(C238="","",IFERROR(INDEX(Players!$C$5:$C$104,MATCH(C238,Players!$B$5:$B$104,0)),"ID not found"))</f>
        <v/>
      </c>
      <c r="E238" s="27"/>
      <c r="F238" s="28" t="str">
        <f aca="false">IF(E238="","",IFERROR(INDEX('Med Ball Library'!$C$6:$C$19,MATCH(E238,'Med Ball Library'!$B$6:$B$19,0)),"Unknown ID"))</f>
        <v/>
      </c>
      <c r="G238" s="27"/>
      <c r="H238" s="27"/>
      <c r="I238" s="27"/>
      <c r="J238" s="27"/>
      <c r="K238" s="28" t="str">
        <f aca="false">IF(COUNT(H238,I238,J238)&lt;3,"",H238*I238*J238)</f>
        <v/>
      </c>
      <c r="L238" s="27"/>
      <c r="M238" s="27"/>
      <c r="N238" s="27"/>
      <c r="O238" s="27"/>
      <c r="P238" s="27"/>
    </row>
    <row r="239" customFormat="false" ht="15" hidden="false" customHeight="false" outlineLevel="0" collapsed="false">
      <c r="B239" s="26"/>
      <c r="C239" s="27"/>
      <c r="D239" s="28" t="str">
        <f aca="false">IF(C239="","",IFERROR(INDEX(Players!$C$5:$C$104,MATCH(C239,Players!$B$5:$B$104,0)),"ID not found"))</f>
        <v/>
      </c>
      <c r="E239" s="27"/>
      <c r="F239" s="28" t="str">
        <f aca="false">IF(E239="","",IFERROR(INDEX('Med Ball Library'!$C$6:$C$19,MATCH(E239,'Med Ball Library'!$B$6:$B$19,0)),"Unknown ID"))</f>
        <v/>
      </c>
      <c r="G239" s="27"/>
      <c r="H239" s="27"/>
      <c r="I239" s="27"/>
      <c r="J239" s="27"/>
      <c r="K239" s="28" t="str">
        <f aca="false">IF(COUNT(H239,I239,J239)&lt;3,"",H239*I239*J239)</f>
        <v/>
      </c>
      <c r="L239" s="27"/>
      <c r="M239" s="27"/>
      <c r="N239" s="27"/>
      <c r="O239" s="27"/>
      <c r="P239" s="27"/>
    </row>
    <row r="240" customFormat="false" ht="15" hidden="false" customHeight="false" outlineLevel="0" collapsed="false">
      <c r="B240" s="26"/>
      <c r="C240" s="27"/>
      <c r="D240" s="28" t="str">
        <f aca="false">IF(C240="","",IFERROR(INDEX(Players!$C$5:$C$104,MATCH(C240,Players!$B$5:$B$104,0)),"ID not found"))</f>
        <v/>
      </c>
      <c r="E240" s="27"/>
      <c r="F240" s="28" t="str">
        <f aca="false">IF(E240="","",IFERROR(INDEX('Med Ball Library'!$C$6:$C$19,MATCH(E240,'Med Ball Library'!$B$6:$B$19,0)),"Unknown ID"))</f>
        <v/>
      </c>
      <c r="G240" s="27"/>
      <c r="H240" s="27"/>
      <c r="I240" s="27"/>
      <c r="J240" s="27"/>
      <c r="K240" s="28" t="str">
        <f aca="false">IF(COUNT(H240,I240,J240)&lt;3,"",H240*I240*J240)</f>
        <v/>
      </c>
      <c r="L240" s="27"/>
      <c r="M240" s="27"/>
      <c r="N240" s="27"/>
      <c r="O240" s="27"/>
      <c r="P240" s="27"/>
    </row>
    <row r="241" customFormat="false" ht="15" hidden="false" customHeight="false" outlineLevel="0" collapsed="false">
      <c r="B241" s="26"/>
      <c r="C241" s="27"/>
      <c r="D241" s="28" t="str">
        <f aca="false">IF(C241="","",IFERROR(INDEX(Players!$C$5:$C$104,MATCH(C241,Players!$B$5:$B$104,0)),"ID not found"))</f>
        <v/>
      </c>
      <c r="E241" s="27"/>
      <c r="F241" s="28" t="str">
        <f aca="false">IF(E241="","",IFERROR(INDEX('Med Ball Library'!$C$6:$C$19,MATCH(E241,'Med Ball Library'!$B$6:$B$19,0)),"Unknown ID"))</f>
        <v/>
      </c>
      <c r="G241" s="27"/>
      <c r="H241" s="27"/>
      <c r="I241" s="27"/>
      <c r="J241" s="27"/>
      <c r="K241" s="28" t="str">
        <f aca="false">IF(COUNT(H241,I241,J241)&lt;3,"",H241*I241*J241)</f>
        <v/>
      </c>
      <c r="L241" s="27"/>
      <c r="M241" s="27"/>
      <c r="N241" s="27"/>
      <c r="O241" s="27"/>
      <c r="P241" s="27"/>
    </row>
    <row r="242" customFormat="false" ht="15" hidden="false" customHeight="false" outlineLevel="0" collapsed="false">
      <c r="B242" s="26"/>
      <c r="C242" s="27"/>
      <c r="D242" s="28" t="str">
        <f aca="false">IF(C242="","",IFERROR(INDEX(Players!$C$5:$C$104,MATCH(C242,Players!$B$5:$B$104,0)),"ID not found"))</f>
        <v/>
      </c>
      <c r="E242" s="27"/>
      <c r="F242" s="28" t="str">
        <f aca="false">IF(E242="","",IFERROR(INDEX('Med Ball Library'!$C$6:$C$19,MATCH(E242,'Med Ball Library'!$B$6:$B$19,0)),"Unknown ID"))</f>
        <v/>
      </c>
      <c r="G242" s="27"/>
      <c r="H242" s="27"/>
      <c r="I242" s="27"/>
      <c r="J242" s="27"/>
      <c r="K242" s="28" t="str">
        <f aca="false">IF(COUNT(H242,I242,J242)&lt;3,"",H242*I242*J242)</f>
        <v/>
      </c>
      <c r="L242" s="27"/>
      <c r="M242" s="27"/>
      <c r="N242" s="27"/>
      <c r="O242" s="27"/>
      <c r="P242" s="27"/>
    </row>
    <row r="243" customFormat="false" ht="15" hidden="false" customHeight="false" outlineLevel="0" collapsed="false">
      <c r="B243" s="26"/>
      <c r="C243" s="27"/>
      <c r="D243" s="28" t="str">
        <f aca="false">IF(C243="","",IFERROR(INDEX(Players!$C$5:$C$104,MATCH(C243,Players!$B$5:$B$104,0)),"ID not found"))</f>
        <v/>
      </c>
      <c r="E243" s="27"/>
      <c r="F243" s="28" t="str">
        <f aca="false">IF(E243="","",IFERROR(INDEX('Med Ball Library'!$C$6:$C$19,MATCH(E243,'Med Ball Library'!$B$6:$B$19,0)),"Unknown ID"))</f>
        <v/>
      </c>
      <c r="G243" s="27"/>
      <c r="H243" s="27"/>
      <c r="I243" s="27"/>
      <c r="J243" s="27"/>
      <c r="K243" s="28" t="str">
        <f aca="false">IF(COUNT(H243,I243,J243)&lt;3,"",H243*I243*J243)</f>
        <v/>
      </c>
      <c r="L243" s="27"/>
      <c r="M243" s="27"/>
      <c r="N243" s="27"/>
      <c r="O243" s="27"/>
      <c r="P243" s="27"/>
    </row>
    <row r="244" customFormat="false" ht="15" hidden="false" customHeight="false" outlineLevel="0" collapsed="false">
      <c r="B244" s="26"/>
      <c r="C244" s="27"/>
      <c r="D244" s="28" t="str">
        <f aca="false">IF(C244="","",IFERROR(INDEX(Players!$C$5:$C$104,MATCH(C244,Players!$B$5:$B$104,0)),"ID not found"))</f>
        <v/>
      </c>
      <c r="E244" s="27"/>
      <c r="F244" s="28" t="str">
        <f aca="false">IF(E244="","",IFERROR(INDEX('Med Ball Library'!$C$6:$C$19,MATCH(E244,'Med Ball Library'!$B$6:$B$19,0)),"Unknown ID"))</f>
        <v/>
      </c>
      <c r="G244" s="27"/>
      <c r="H244" s="27"/>
      <c r="I244" s="27"/>
      <c r="J244" s="27"/>
      <c r="K244" s="28" t="str">
        <f aca="false">IF(COUNT(H244,I244,J244)&lt;3,"",H244*I244*J244)</f>
        <v/>
      </c>
      <c r="L244" s="27"/>
      <c r="M244" s="27"/>
      <c r="N244" s="27"/>
      <c r="O244" s="27"/>
      <c r="P244" s="27"/>
    </row>
    <row r="245" customFormat="false" ht="15" hidden="false" customHeight="false" outlineLevel="0" collapsed="false">
      <c r="B245" s="26"/>
      <c r="C245" s="27"/>
      <c r="D245" s="28" t="str">
        <f aca="false">IF(C245="","",IFERROR(INDEX(Players!$C$5:$C$104,MATCH(C245,Players!$B$5:$B$104,0)),"ID not found"))</f>
        <v/>
      </c>
      <c r="E245" s="27"/>
      <c r="F245" s="28" t="str">
        <f aca="false">IF(E245="","",IFERROR(INDEX('Med Ball Library'!$C$6:$C$19,MATCH(E245,'Med Ball Library'!$B$6:$B$19,0)),"Unknown ID"))</f>
        <v/>
      </c>
      <c r="G245" s="27"/>
      <c r="H245" s="27"/>
      <c r="I245" s="27"/>
      <c r="J245" s="27"/>
      <c r="K245" s="28" t="str">
        <f aca="false">IF(COUNT(H245,I245,J245)&lt;3,"",H245*I245*J245)</f>
        <v/>
      </c>
      <c r="L245" s="27"/>
      <c r="M245" s="27"/>
      <c r="N245" s="27"/>
      <c r="O245" s="27"/>
      <c r="P245" s="27"/>
    </row>
    <row r="246" customFormat="false" ht="15" hidden="false" customHeight="false" outlineLevel="0" collapsed="false">
      <c r="B246" s="26"/>
      <c r="C246" s="27"/>
      <c r="D246" s="28" t="str">
        <f aca="false">IF(C246="","",IFERROR(INDEX(Players!$C$5:$C$104,MATCH(C246,Players!$B$5:$B$104,0)),"ID not found"))</f>
        <v/>
      </c>
      <c r="E246" s="27"/>
      <c r="F246" s="28" t="str">
        <f aca="false">IF(E246="","",IFERROR(INDEX('Med Ball Library'!$C$6:$C$19,MATCH(E246,'Med Ball Library'!$B$6:$B$19,0)),"Unknown ID"))</f>
        <v/>
      </c>
      <c r="G246" s="27"/>
      <c r="H246" s="27"/>
      <c r="I246" s="27"/>
      <c r="J246" s="27"/>
      <c r="K246" s="28" t="str">
        <f aca="false">IF(COUNT(H246,I246,J246)&lt;3,"",H246*I246*J246)</f>
        <v/>
      </c>
      <c r="L246" s="27"/>
      <c r="M246" s="27"/>
      <c r="N246" s="27"/>
      <c r="O246" s="27"/>
      <c r="P246" s="27"/>
    </row>
    <row r="247" customFormat="false" ht="15" hidden="false" customHeight="false" outlineLevel="0" collapsed="false">
      <c r="B247" s="26"/>
      <c r="C247" s="27"/>
      <c r="D247" s="28" t="str">
        <f aca="false">IF(C247="","",IFERROR(INDEX(Players!$C$5:$C$104,MATCH(C247,Players!$B$5:$B$104,0)),"ID not found"))</f>
        <v/>
      </c>
      <c r="E247" s="27"/>
      <c r="F247" s="28" t="str">
        <f aca="false">IF(E247="","",IFERROR(INDEX('Med Ball Library'!$C$6:$C$19,MATCH(E247,'Med Ball Library'!$B$6:$B$19,0)),"Unknown ID"))</f>
        <v/>
      </c>
      <c r="G247" s="27"/>
      <c r="H247" s="27"/>
      <c r="I247" s="27"/>
      <c r="J247" s="27"/>
      <c r="K247" s="28" t="str">
        <f aca="false">IF(COUNT(H247,I247,J247)&lt;3,"",H247*I247*J247)</f>
        <v/>
      </c>
      <c r="L247" s="27"/>
      <c r="M247" s="27"/>
      <c r="N247" s="27"/>
      <c r="O247" s="27"/>
      <c r="P247" s="27"/>
    </row>
    <row r="248" customFormat="false" ht="15" hidden="false" customHeight="false" outlineLevel="0" collapsed="false">
      <c r="B248" s="26"/>
      <c r="C248" s="27"/>
      <c r="D248" s="28" t="str">
        <f aca="false">IF(C248="","",IFERROR(INDEX(Players!$C$5:$C$104,MATCH(C248,Players!$B$5:$B$104,0)),"ID not found"))</f>
        <v/>
      </c>
      <c r="E248" s="27"/>
      <c r="F248" s="28" t="str">
        <f aca="false">IF(E248="","",IFERROR(INDEX('Med Ball Library'!$C$6:$C$19,MATCH(E248,'Med Ball Library'!$B$6:$B$19,0)),"Unknown ID"))</f>
        <v/>
      </c>
      <c r="G248" s="27"/>
      <c r="H248" s="27"/>
      <c r="I248" s="27"/>
      <c r="J248" s="27"/>
      <c r="K248" s="28" t="str">
        <f aca="false">IF(COUNT(H248,I248,J248)&lt;3,"",H248*I248*J248)</f>
        <v/>
      </c>
      <c r="L248" s="27"/>
      <c r="M248" s="27"/>
      <c r="N248" s="27"/>
      <c r="O248" s="27"/>
      <c r="P248" s="27"/>
    </row>
    <row r="249" customFormat="false" ht="15" hidden="false" customHeight="false" outlineLevel="0" collapsed="false">
      <c r="B249" s="26"/>
      <c r="C249" s="27"/>
      <c r="D249" s="28" t="str">
        <f aca="false">IF(C249="","",IFERROR(INDEX(Players!$C$5:$C$104,MATCH(C249,Players!$B$5:$B$104,0)),"ID not found"))</f>
        <v/>
      </c>
      <c r="E249" s="27"/>
      <c r="F249" s="28" t="str">
        <f aca="false">IF(E249="","",IFERROR(INDEX('Med Ball Library'!$C$6:$C$19,MATCH(E249,'Med Ball Library'!$B$6:$B$19,0)),"Unknown ID"))</f>
        <v/>
      </c>
      <c r="G249" s="27"/>
      <c r="H249" s="27"/>
      <c r="I249" s="27"/>
      <c r="J249" s="27"/>
      <c r="K249" s="28" t="str">
        <f aca="false">IF(COUNT(H249,I249,J249)&lt;3,"",H249*I249*J249)</f>
        <v/>
      </c>
      <c r="L249" s="27"/>
      <c r="M249" s="27"/>
      <c r="N249" s="27"/>
      <c r="O249" s="27"/>
      <c r="P249" s="27"/>
    </row>
    <row r="250" customFormat="false" ht="15" hidden="false" customHeight="false" outlineLevel="0" collapsed="false">
      <c r="B250" s="26"/>
      <c r="C250" s="27"/>
      <c r="D250" s="28" t="str">
        <f aca="false">IF(C250="","",IFERROR(INDEX(Players!$C$5:$C$104,MATCH(C250,Players!$B$5:$B$104,0)),"ID not found"))</f>
        <v/>
      </c>
      <c r="E250" s="27"/>
      <c r="F250" s="28" t="str">
        <f aca="false">IF(E250="","",IFERROR(INDEX('Med Ball Library'!$C$6:$C$19,MATCH(E250,'Med Ball Library'!$B$6:$B$19,0)),"Unknown ID"))</f>
        <v/>
      </c>
      <c r="G250" s="27"/>
      <c r="H250" s="27"/>
      <c r="I250" s="27"/>
      <c r="J250" s="27"/>
      <c r="K250" s="28" t="str">
        <f aca="false">IF(COUNT(H250,I250,J250)&lt;3,"",H250*I250*J250)</f>
        <v/>
      </c>
      <c r="L250" s="27"/>
      <c r="M250" s="27"/>
      <c r="N250" s="27"/>
      <c r="O250" s="27"/>
      <c r="P250" s="27"/>
    </row>
    <row r="251" customFormat="false" ht="15" hidden="false" customHeight="false" outlineLevel="0" collapsed="false">
      <c r="B251" s="26"/>
      <c r="C251" s="27"/>
      <c r="D251" s="28" t="str">
        <f aca="false">IF(C251="","",IFERROR(INDEX(Players!$C$5:$C$104,MATCH(C251,Players!$B$5:$B$104,0)),"ID not found"))</f>
        <v/>
      </c>
      <c r="E251" s="27"/>
      <c r="F251" s="28" t="str">
        <f aca="false">IF(E251="","",IFERROR(INDEX('Med Ball Library'!$C$6:$C$19,MATCH(E251,'Med Ball Library'!$B$6:$B$19,0)),"Unknown ID"))</f>
        <v/>
      </c>
      <c r="G251" s="27"/>
      <c r="H251" s="27"/>
      <c r="I251" s="27"/>
      <c r="J251" s="27"/>
      <c r="K251" s="28" t="str">
        <f aca="false">IF(COUNT(H251,I251,J251)&lt;3,"",H251*I251*J251)</f>
        <v/>
      </c>
      <c r="L251" s="27"/>
      <c r="M251" s="27"/>
      <c r="N251" s="27"/>
      <c r="O251" s="27"/>
      <c r="P251" s="27"/>
    </row>
    <row r="252" customFormat="false" ht="15" hidden="false" customHeight="false" outlineLevel="0" collapsed="false">
      <c r="B252" s="26"/>
      <c r="C252" s="27"/>
      <c r="D252" s="28" t="str">
        <f aca="false">IF(C252="","",IFERROR(INDEX(Players!$C$5:$C$104,MATCH(C252,Players!$B$5:$B$104,0)),"ID not found"))</f>
        <v/>
      </c>
      <c r="E252" s="27"/>
      <c r="F252" s="28" t="str">
        <f aca="false">IF(E252="","",IFERROR(INDEX('Med Ball Library'!$C$6:$C$19,MATCH(E252,'Med Ball Library'!$B$6:$B$19,0)),"Unknown ID"))</f>
        <v/>
      </c>
      <c r="G252" s="27"/>
      <c r="H252" s="27"/>
      <c r="I252" s="27"/>
      <c r="J252" s="27"/>
      <c r="K252" s="28" t="str">
        <f aca="false">IF(COUNT(H252,I252,J252)&lt;3,"",H252*I252*J252)</f>
        <v/>
      </c>
      <c r="L252" s="27"/>
      <c r="M252" s="27"/>
      <c r="N252" s="27"/>
      <c r="O252" s="27"/>
      <c r="P252" s="27"/>
    </row>
    <row r="253" customFormat="false" ht="15" hidden="false" customHeight="false" outlineLevel="0" collapsed="false">
      <c r="B253" s="26"/>
      <c r="C253" s="27"/>
      <c r="D253" s="28" t="str">
        <f aca="false">IF(C253="","",IFERROR(INDEX(Players!$C$5:$C$104,MATCH(C253,Players!$B$5:$B$104,0)),"ID not found"))</f>
        <v/>
      </c>
      <c r="E253" s="27"/>
      <c r="F253" s="28" t="str">
        <f aca="false">IF(E253="","",IFERROR(INDEX('Med Ball Library'!$C$6:$C$19,MATCH(E253,'Med Ball Library'!$B$6:$B$19,0)),"Unknown ID"))</f>
        <v/>
      </c>
      <c r="G253" s="27"/>
      <c r="H253" s="27"/>
      <c r="I253" s="27"/>
      <c r="J253" s="27"/>
      <c r="K253" s="28" t="str">
        <f aca="false">IF(COUNT(H253,I253,J253)&lt;3,"",H253*I253*J253)</f>
        <v/>
      </c>
      <c r="L253" s="27"/>
      <c r="M253" s="27"/>
      <c r="N253" s="27"/>
      <c r="O253" s="27"/>
      <c r="P253" s="27"/>
    </row>
    <row r="254" customFormat="false" ht="15" hidden="false" customHeight="false" outlineLevel="0" collapsed="false">
      <c r="B254" s="26"/>
      <c r="C254" s="27"/>
      <c r="D254" s="28" t="str">
        <f aca="false">IF(C254="","",IFERROR(INDEX(Players!$C$5:$C$104,MATCH(C254,Players!$B$5:$B$104,0)),"ID not found"))</f>
        <v/>
      </c>
      <c r="E254" s="27"/>
      <c r="F254" s="28" t="str">
        <f aca="false">IF(E254="","",IFERROR(INDEX('Med Ball Library'!$C$6:$C$19,MATCH(E254,'Med Ball Library'!$B$6:$B$19,0)),"Unknown ID"))</f>
        <v/>
      </c>
      <c r="G254" s="27"/>
      <c r="H254" s="27"/>
      <c r="I254" s="27"/>
      <c r="J254" s="27"/>
      <c r="K254" s="28" t="str">
        <f aca="false">IF(COUNT(H254,I254,J254)&lt;3,"",H254*I254*J254)</f>
        <v/>
      </c>
      <c r="L254" s="27"/>
      <c r="M254" s="27"/>
      <c r="N254" s="27"/>
      <c r="O254" s="27"/>
      <c r="P254" s="27"/>
    </row>
    <row r="255" customFormat="false" ht="15" hidden="false" customHeight="false" outlineLevel="0" collapsed="false">
      <c r="B255" s="26"/>
      <c r="C255" s="27"/>
      <c r="D255" s="28" t="str">
        <f aca="false">IF(C255="","",IFERROR(INDEX(Players!$C$5:$C$104,MATCH(C255,Players!$B$5:$B$104,0)),"ID not found"))</f>
        <v/>
      </c>
      <c r="E255" s="27"/>
      <c r="F255" s="28" t="str">
        <f aca="false">IF(E255="","",IFERROR(INDEX('Med Ball Library'!$C$6:$C$19,MATCH(E255,'Med Ball Library'!$B$6:$B$19,0)),"Unknown ID"))</f>
        <v/>
      </c>
      <c r="G255" s="27"/>
      <c r="H255" s="27"/>
      <c r="I255" s="27"/>
      <c r="J255" s="27"/>
      <c r="K255" s="28" t="str">
        <f aca="false">IF(COUNT(H255,I255,J255)&lt;3,"",H255*I255*J255)</f>
        <v/>
      </c>
      <c r="L255" s="27"/>
      <c r="M255" s="27"/>
      <c r="N255" s="27"/>
      <c r="O255" s="27"/>
      <c r="P255" s="27"/>
    </row>
    <row r="256" customFormat="false" ht="15" hidden="false" customHeight="false" outlineLevel="0" collapsed="false">
      <c r="B256" s="26"/>
      <c r="C256" s="27"/>
      <c r="D256" s="28" t="str">
        <f aca="false">IF(C256="","",IFERROR(INDEX(Players!$C$5:$C$104,MATCH(C256,Players!$B$5:$B$104,0)),"ID not found"))</f>
        <v/>
      </c>
      <c r="E256" s="27"/>
      <c r="F256" s="28" t="str">
        <f aca="false">IF(E256="","",IFERROR(INDEX('Med Ball Library'!$C$6:$C$19,MATCH(E256,'Med Ball Library'!$B$6:$B$19,0)),"Unknown ID"))</f>
        <v/>
      </c>
      <c r="G256" s="27"/>
      <c r="H256" s="27"/>
      <c r="I256" s="27"/>
      <c r="J256" s="27"/>
      <c r="K256" s="28" t="str">
        <f aca="false">IF(COUNT(H256,I256,J256)&lt;3,"",H256*I256*J256)</f>
        <v/>
      </c>
      <c r="L256" s="27"/>
      <c r="M256" s="27"/>
      <c r="N256" s="27"/>
      <c r="O256" s="27"/>
      <c r="P256" s="27"/>
    </row>
    <row r="257" customFormat="false" ht="15" hidden="false" customHeight="false" outlineLevel="0" collapsed="false">
      <c r="B257" s="26"/>
      <c r="C257" s="27"/>
      <c r="D257" s="28" t="str">
        <f aca="false">IF(C257="","",IFERROR(INDEX(Players!$C$5:$C$104,MATCH(C257,Players!$B$5:$B$104,0)),"ID not found"))</f>
        <v/>
      </c>
      <c r="E257" s="27"/>
      <c r="F257" s="28" t="str">
        <f aca="false">IF(E257="","",IFERROR(INDEX('Med Ball Library'!$C$6:$C$19,MATCH(E257,'Med Ball Library'!$B$6:$B$19,0)),"Unknown ID"))</f>
        <v/>
      </c>
      <c r="G257" s="27"/>
      <c r="H257" s="27"/>
      <c r="I257" s="27"/>
      <c r="J257" s="27"/>
      <c r="K257" s="28" t="str">
        <f aca="false">IF(COUNT(H257,I257,J257)&lt;3,"",H257*I257*J257)</f>
        <v/>
      </c>
      <c r="L257" s="27"/>
      <c r="M257" s="27"/>
      <c r="N257" s="27"/>
      <c r="O257" s="27"/>
      <c r="P257" s="27"/>
    </row>
    <row r="258" customFormat="false" ht="15" hidden="false" customHeight="false" outlineLevel="0" collapsed="false">
      <c r="B258" s="26"/>
      <c r="C258" s="27"/>
      <c r="D258" s="28" t="str">
        <f aca="false">IF(C258="","",IFERROR(INDEX(Players!$C$5:$C$104,MATCH(C258,Players!$B$5:$B$104,0)),"ID not found"))</f>
        <v/>
      </c>
      <c r="E258" s="27"/>
      <c r="F258" s="28" t="str">
        <f aca="false">IF(E258="","",IFERROR(INDEX('Med Ball Library'!$C$6:$C$19,MATCH(E258,'Med Ball Library'!$B$6:$B$19,0)),"Unknown ID"))</f>
        <v/>
      </c>
      <c r="G258" s="27"/>
      <c r="H258" s="27"/>
      <c r="I258" s="27"/>
      <c r="J258" s="27"/>
      <c r="K258" s="28" t="str">
        <f aca="false">IF(COUNT(H258,I258,J258)&lt;3,"",H258*I258*J258)</f>
        <v/>
      </c>
      <c r="L258" s="27"/>
      <c r="M258" s="27"/>
      <c r="N258" s="27"/>
      <c r="O258" s="27"/>
      <c r="P258" s="27"/>
    </row>
    <row r="259" customFormat="false" ht="15" hidden="false" customHeight="false" outlineLevel="0" collapsed="false">
      <c r="B259" s="26"/>
      <c r="C259" s="27"/>
      <c r="D259" s="28" t="str">
        <f aca="false">IF(C259="","",IFERROR(INDEX(Players!$C$5:$C$104,MATCH(C259,Players!$B$5:$B$104,0)),"ID not found"))</f>
        <v/>
      </c>
      <c r="E259" s="27"/>
      <c r="F259" s="28" t="str">
        <f aca="false">IF(E259="","",IFERROR(INDEX('Med Ball Library'!$C$6:$C$19,MATCH(E259,'Med Ball Library'!$B$6:$B$19,0)),"Unknown ID"))</f>
        <v/>
      </c>
      <c r="G259" s="27"/>
      <c r="H259" s="27"/>
      <c r="I259" s="27"/>
      <c r="J259" s="27"/>
      <c r="K259" s="28" t="str">
        <f aca="false">IF(COUNT(H259,I259,J259)&lt;3,"",H259*I259*J259)</f>
        <v/>
      </c>
      <c r="L259" s="27"/>
      <c r="M259" s="27"/>
      <c r="N259" s="27"/>
      <c r="O259" s="27"/>
      <c r="P259" s="27"/>
    </row>
    <row r="260" customFormat="false" ht="15" hidden="false" customHeight="false" outlineLevel="0" collapsed="false">
      <c r="B260" s="26"/>
      <c r="C260" s="27"/>
      <c r="D260" s="28" t="str">
        <f aca="false">IF(C260="","",IFERROR(INDEX(Players!$C$5:$C$104,MATCH(C260,Players!$B$5:$B$104,0)),"ID not found"))</f>
        <v/>
      </c>
      <c r="E260" s="27"/>
      <c r="F260" s="28" t="str">
        <f aca="false">IF(E260="","",IFERROR(INDEX('Med Ball Library'!$C$6:$C$19,MATCH(E260,'Med Ball Library'!$B$6:$B$19,0)),"Unknown ID"))</f>
        <v/>
      </c>
      <c r="G260" s="27"/>
      <c r="H260" s="27"/>
      <c r="I260" s="27"/>
      <c r="J260" s="27"/>
      <c r="K260" s="28" t="str">
        <f aca="false">IF(COUNT(H260,I260,J260)&lt;3,"",H260*I260*J260)</f>
        <v/>
      </c>
      <c r="L260" s="27"/>
      <c r="M260" s="27"/>
      <c r="N260" s="27"/>
      <c r="O260" s="27"/>
      <c r="P260" s="27"/>
    </row>
    <row r="261" customFormat="false" ht="15" hidden="false" customHeight="false" outlineLevel="0" collapsed="false">
      <c r="B261" s="26"/>
      <c r="C261" s="27"/>
      <c r="D261" s="28" t="str">
        <f aca="false">IF(C261="","",IFERROR(INDEX(Players!$C$5:$C$104,MATCH(C261,Players!$B$5:$B$104,0)),"ID not found"))</f>
        <v/>
      </c>
      <c r="E261" s="27"/>
      <c r="F261" s="28" t="str">
        <f aca="false">IF(E261="","",IFERROR(INDEX('Med Ball Library'!$C$6:$C$19,MATCH(E261,'Med Ball Library'!$B$6:$B$19,0)),"Unknown ID"))</f>
        <v/>
      </c>
      <c r="G261" s="27"/>
      <c r="H261" s="27"/>
      <c r="I261" s="27"/>
      <c r="J261" s="27"/>
      <c r="K261" s="28" t="str">
        <f aca="false">IF(COUNT(H261,I261,J261)&lt;3,"",H261*I261*J261)</f>
        <v/>
      </c>
      <c r="L261" s="27"/>
      <c r="M261" s="27"/>
      <c r="N261" s="27"/>
      <c r="O261" s="27"/>
      <c r="P261" s="27"/>
    </row>
    <row r="262" customFormat="false" ht="15" hidden="false" customHeight="false" outlineLevel="0" collapsed="false">
      <c r="B262" s="26"/>
      <c r="C262" s="27"/>
      <c r="D262" s="28" t="str">
        <f aca="false">IF(C262="","",IFERROR(INDEX(Players!$C$5:$C$104,MATCH(C262,Players!$B$5:$B$104,0)),"ID not found"))</f>
        <v/>
      </c>
      <c r="E262" s="27"/>
      <c r="F262" s="28" t="str">
        <f aca="false">IF(E262="","",IFERROR(INDEX('Med Ball Library'!$C$6:$C$19,MATCH(E262,'Med Ball Library'!$B$6:$B$19,0)),"Unknown ID"))</f>
        <v/>
      </c>
      <c r="G262" s="27"/>
      <c r="H262" s="27"/>
      <c r="I262" s="27"/>
      <c r="J262" s="27"/>
      <c r="K262" s="28" t="str">
        <f aca="false">IF(COUNT(H262,I262,J262)&lt;3,"",H262*I262*J262)</f>
        <v/>
      </c>
      <c r="L262" s="27"/>
      <c r="M262" s="27"/>
      <c r="N262" s="27"/>
      <c r="O262" s="27"/>
      <c r="P262" s="27"/>
    </row>
    <row r="263" customFormat="false" ht="15" hidden="false" customHeight="false" outlineLevel="0" collapsed="false">
      <c r="B263" s="26"/>
      <c r="C263" s="27"/>
      <c r="D263" s="28" t="str">
        <f aca="false">IF(C263="","",IFERROR(INDEX(Players!$C$5:$C$104,MATCH(C263,Players!$B$5:$B$104,0)),"ID not found"))</f>
        <v/>
      </c>
      <c r="E263" s="27"/>
      <c r="F263" s="28" t="str">
        <f aca="false">IF(E263="","",IFERROR(INDEX('Med Ball Library'!$C$6:$C$19,MATCH(E263,'Med Ball Library'!$B$6:$B$19,0)),"Unknown ID"))</f>
        <v/>
      </c>
      <c r="G263" s="27"/>
      <c r="H263" s="27"/>
      <c r="I263" s="27"/>
      <c r="J263" s="27"/>
      <c r="K263" s="28" t="str">
        <f aca="false">IF(COUNT(H263,I263,J263)&lt;3,"",H263*I263*J263)</f>
        <v/>
      </c>
      <c r="L263" s="27"/>
      <c r="M263" s="27"/>
      <c r="N263" s="27"/>
      <c r="O263" s="27"/>
      <c r="P263" s="27"/>
    </row>
    <row r="264" customFormat="false" ht="15" hidden="false" customHeight="false" outlineLevel="0" collapsed="false">
      <c r="B264" s="26"/>
      <c r="C264" s="27"/>
      <c r="D264" s="28" t="str">
        <f aca="false">IF(C264="","",IFERROR(INDEX(Players!$C$5:$C$104,MATCH(C264,Players!$B$5:$B$104,0)),"ID not found"))</f>
        <v/>
      </c>
      <c r="E264" s="27"/>
      <c r="F264" s="28" t="str">
        <f aca="false">IF(E264="","",IFERROR(INDEX('Med Ball Library'!$C$6:$C$19,MATCH(E264,'Med Ball Library'!$B$6:$B$19,0)),"Unknown ID"))</f>
        <v/>
      </c>
      <c r="G264" s="27"/>
      <c r="H264" s="27"/>
      <c r="I264" s="27"/>
      <c r="J264" s="27"/>
      <c r="K264" s="28" t="str">
        <f aca="false">IF(COUNT(H264,I264,J264)&lt;3,"",H264*I264*J264)</f>
        <v/>
      </c>
      <c r="L264" s="27"/>
      <c r="M264" s="27"/>
      <c r="N264" s="27"/>
      <c r="O264" s="27"/>
      <c r="P264" s="27"/>
    </row>
    <row r="265" customFormat="false" ht="15" hidden="false" customHeight="false" outlineLevel="0" collapsed="false">
      <c r="B265" s="26"/>
      <c r="C265" s="27"/>
      <c r="D265" s="28" t="str">
        <f aca="false">IF(C265="","",IFERROR(INDEX(Players!$C$5:$C$104,MATCH(C265,Players!$B$5:$B$104,0)),"ID not found"))</f>
        <v/>
      </c>
      <c r="E265" s="27"/>
      <c r="F265" s="28" t="str">
        <f aca="false">IF(E265="","",IFERROR(INDEX('Med Ball Library'!$C$6:$C$19,MATCH(E265,'Med Ball Library'!$B$6:$B$19,0)),"Unknown ID"))</f>
        <v/>
      </c>
      <c r="G265" s="27"/>
      <c r="H265" s="27"/>
      <c r="I265" s="27"/>
      <c r="J265" s="27"/>
      <c r="K265" s="28" t="str">
        <f aca="false">IF(COUNT(H265,I265,J265)&lt;3,"",H265*I265*J265)</f>
        <v/>
      </c>
      <c r="L265" s="27"/>
      <c r="M265" s="27"/>
      <c r="N265" s="27"/>
      <c r="O265" s="27"/>
      <c r="P265" s="27"/>
    </row>
    <row r="266" customFormat="false" ht="15" hidden="false" customHeight="false" outlineLevel="0" collapsed="false">
      <c r="B266" s="26"/>
      <c r="C266" s="27"/>
      <c r="D266" s="28" t="str">
        <f aca="false">IF(C266="","",IFERROR(INDEX(Players!$C$5:$C$104,MATCH(C266,Players!$B$5:$B$104,0)),"ID not found"))</f>
        <v/>
      </c>
      <c r="E266" s="27"/>
      <c r="F266" s="28" t="str">
        <f aca="false">IF(E266="","",IFERROR(INDEX('Med Ball Library'!$C$6:$C$19,MATCH(E266,'Med Ball Library'!$B$6:$B$19,0)),"Unknown ID"))</f>
        <v/>
      </c>
      <c r="G266" s="27"/>
      <c r="H266" s="27"/>
      <c r="I266" s="27"/>
      <c r="J266" s="27"/>
      <c r="K266" s="28" t="str">
        <f aca="false">IF(COUNT(H266,I266,J266)&lt;3,"",H266*I266*J266)</f>
        <v/>
      </c>
      <c r="L266" s="27"/>
      <c r="M266" s="27"/>
      <c r="N266" s="27"/>
      <c r="O266" s="27"/>
      <c r="P266" s="27"/>
    </row>
    <row r="267" customFormat="false" ht="15" hidden="false" customHeight="false" outlineLevel="0" collapsed="false">
      <c r="B267" s="26"/>
      <c r="C267" s="27"/>
      <c r="D267" s="28" t="str">
        <f aca="false">IF(C267="","",IFERROR(INDEX(Players!$C$5:$C$104,MATCH(C267,Players!$B$5:$B$104,0)),"ID not found"))</f>
        <v/>
      </c>
      <c r="E267" s="27"/>
      <c r="F267" s="28" t="str">
        <f aca="false">IF(E267="","",IFERROR(INDEX('Med Ball Library'!$C$6:$C$19,MATCH(E267,'Med Ball Library'!$B$6:$B$19,0)),"Unknown ID"))</f>
        <v/>
      </c>
      <c r="G267" s="27"/>
      <c r="H267" s="27"/>
      <c r="I267" s="27"/>
      <c r="J267" s="27"/>
      <c r="K267" s="28" t="str">
        <f aca="false">IF(COUNT(H267,I267,J267)&lt;3,"",H267*I267*J267)</f>
        <v/>
      </c>
      <c r="L267" s="27"/>
      <c r="M267" s="27"/>
      <c r="N267" s="27"/>
      <c r="O267" s="27"/>
      <c r="P267" s="27"/>
    </row>
    <row r="268" customFormat="false" ht="15" hidden="false" customHeight="false" outlineLevel="0" collapsed="false">
      <c r="B268" s="26"/>
      <c r="C268" s="27"/>
      <c r="D268" s="28" t="str">
        <f aca="false">IF(C268="","",IFERROR(INDEX(Players!$C$5:$C$104,MATCH(C268,Players!$B$5:$B$104,0)),"ID not found"))</f>
        <v/>
      </c>
      <c r="E268" s="27"/>
      <c r="F268" s="28" t="str">
        <f aca="false">IF(E268="","",IFERROR(INDEX('Med Ball Library'!$C$6:$C$19,MATCH(E268,'Med Ball Library'!$B$6:$B$19,0)),"Unknown ID"))</f>
        <v/>
      </c>
      <c r="G268" s="27"/>
      <c r="H268" s="27"/>
      <c r="I268" s="27"/>
      <c r="J268" s="27"/>
      <c r="K268" s="28" t="str">
        <f aca="false">IF(COUNT(H268,I268,J268)&lt;3,"",H268*I268*J268)</f>
        <v/>
      </c>
      <c r="L268" s="27"/>
      <c r="M268" s="27"/>
      <c r="N268" s="27"/>
      <c r="O268" s="27"/>
      <c r="P268" s="27"/>
    </row>
    <row r="269" customFormat="false" ht="15" hidden="false" customHeight="false" outlineLevel="0" collapsed="false">
      <c r="B269" s="26"/>
      <c r="C269" s="27"/>
      <c r="D269" s="28" t="str">
        <f aca="false">IF(C269="","",IFERROR(INDEX(Players!$C$5:$C$104,MATCH(C269,Players!$B$5:$B$104,0)),"ID not found"))</f>
        <v/>
      </c>
      <c r="E269" s="27"/>
      <c r="F269" s="28" t="str">
        <f aca="false">IF(E269="","",IFERROR(INDEX('Med Ball Library'!$C$6:$C$19,MATCH(E269,'Med Ball Library'!$B$6:$B$19,0)),"Unknown ID"))</f>
        <v/>
      </c>
      <c r="G269" s="27"/>
      <c r="H269" s="27"/>
      <c r="I269" s="27"/>
      <c r="J269" s="27"/>
      <c r="K269" s="28" t="str">
        <f aca="false">IF(COUNT(H269,I269,J269)&lt;3,"",H269*I269*J269)</f>
        <v/>
      </c>
      <c r="L269" s="27"/>
      <c r="M269" s="27"/>
      <c r="N269" s="27"/>
      <c r="O269" s="27"/>
      <c r="P269" s="27"/>
    </row>
    <row r="270" customFormat="false" ht="15" hidden="false" customHeight="false" outlineLevel="0" collapsed="false">
      <c r="B270" s="26"/>
      <c r="C270" s="27"/>
      <c r="D270" s="28" t="str">
        <f aca="false">IF(C270="","",IFERROR(INDEX(Players!$C$5:$C$104,MATCH(C270,Players!$B$5:$B$104,0)),"ID not found"))</f>
        <v/>
      </c>
      <c r="E270" s="27"/>
      <c r="F270" s="28" t="str">
        <f aca="false">IF(E270="","",IFERROR(INDEX('Med Ball Library'!$C$6:$C$19,MATCH(E270,'Med Ball Library'!$B$6:$B$19,0)),"Unknown ID"))</f>
        <v/>
      </c>
      <c r="G270" s="27"/>
      <c r="H270" s="27"/>
      <c r="I270" s="27"/>
      <c r="J270" s="27"/>
      <c r="K270" s="28" t="str">
        <f aca="false">IF(COUNT(H270,I270,J270)&lt;3,"",H270*I270*J270)</f>
        <v/>
      </c>
      <c r="L270" s="27"/>
      <c r="M270" s="27"/>
      <c r="N270" s="27"/>
      <c r="O270" s="27"/>
      <c r="P270" s="27"/>
    </row>
    <row r="271" customFormat="false" ht="15" hidden="false" customHeight="false" outlineLevel="0" collapsed="false">
      <c r="B271" s="26"/>
      <c r="C271" s="27"/>
      <c r="D271" s="28" t="str">
        <f aca="false">IF(C271="","",IFERROR(INDEX(Players!$C$5:$C$104,MATCH(C271,Players!$B$5:$B$104,0)),"ID not found"))</f>
        <v/>
      </c>
      <c r="E271" s="27"/>
      <c r="F271" s="28" t="str">
        <f aca="false">IF(E271="","",IFERROR(INDEX('Med Ball Library'!$C$6:$C$19,MATCH(E271,'Med Ball Library'!$B$6:$B$19,0)),"Unknown ID"))</f>
        <v/>
      </c>
      <c r="G271" s="27"/>
      <c r="H271" s="27"/>
      <c r="I271" s="27"/>
      <c r="J271" s="27"/>
      <c r="K271" s="28" t="str">
        <f aca="false">IF(COUNT(H271,I271,J271)&lt;3,"",H271*I271*J271)</f>
        <v/>
      </c>
      <c r="L271" s="27"/>
      <c r="M271" s="27"/>
      <c r="N271" s="27"/>
      <c r="O271" s="27"/>
      <c r="P271" s="27"/>
    </row>
    <row r="272" customFormat="false" ht="15" hidden="false" customHeight="false" outlineLevel="0" collapsed="false">
      <c r="B272" s="26"/>
      <c r="C272" s="27"/>
      <c r="D272" s="28" t="str">
        <f aca="false">IF(C272="","",IFERROR(INDEX(Players!$C$5:$C$104,MATCH(C272,Players!$B$5:$B$104,0)),"ID not found"))</f>
        <v/>
      </c>
      <c r="E272" s="27"/>
      <c r="F272" s="28" t="str">
        <f aca="false">IF(E272="","",IFERROR(INDEX('Med Ball Library'!$C$6:$C$19,MATCH(E272,'Med Ball Library'!$B$6:$B$19,0)),"Unknown ID"))</f>
        <v/>
      </c>
      <c r="G272" s="27"/>
      <c r="H272" s="27"/>
      <c r="I272" s="27"/>
      <c r="J272" s="27"/>
      <c r="K272" s="28" t="str">
        <f aca="false">IF(COUNT(H272,I272,J272)&lt;3,"",H272*I272*J272)</f>
        <v/>
      </c>
      <c r="L272" s="27"/>
      <c r="M272" s="27"/>
      <c r="N272" s="27"/>
      <c r="O272" s="27"/>
      <c r="P272" s="27"/>
    </row>
    <row r="273" customFormat="false" ht="15" hidden="false" customHeight="false" outlineLevel="0" collapsed="false">
      <c r="B273" s="26"/>
      <c r="C273" s="27"/>
      <c r="D273" s="28" t="str">
        <f aca="false">IF(C273="","",IFERROR(INDEX(Players!$C$5:$C$104,MATCH(C273,Players!$B$5:$B$104,0)),"ID not found"))</f>
        <v/>
      </c>
      <c r="E273" s="27"/>
      <c r="F273" s="28" t="str">
        <f aca="false">IF(E273="","",IFERROR(INDEX('Med Ball Library'!$C$6:$C$19,MATCH(E273,'Med Ball Library'!$B$6:$B$19,0)),"Unknown ID"))</f>
        <v/>
      </c>
      <c r="G273" s="27"/>
      <c r="H273" s="27"/>
      <c r="I273" s="27"/>
      <c r="J273" s="27"/>
      <c r="K273" s="28" t="str">
        <f aca="false">IF(COUNT(H273,I273,J273)&lt;3,"",H273*I273*J273)</f>
        <v/>
      </c>
      <c r="L273" s="27"/>
      <c r="M273" s="27"/>
      <c r="N273" s="27"/>
      <c r="O273" s="27"/>
      <c r="P273" s="27"/>
    </row>
    <row r="274" customFormat="false" ht="15" hidden="false" customHeight="false" outlineLevel="0" collapsed="false">
      <c r="B274" s="26"/>
      <c r="C274" s="27"/>
      <c r="D274" s="28" t="str">
        <f aca="false">IF(C274="","",IFERROR(INDEX(Players!$C$5:$C$104,MATCH(C274,Players!$B$5:$B$104,0)),"ID not found"))</f>
        <v/>
      </c>
      <c r="E274" s="27"/>
      <c r="F274" s="28" t="str">
        <f aca="false">IF(E274="","",IFERROR(INDEX('Med Ball Library'!$C$6:$C$19,MATCH(E274,'Med Ball Library'!$B$6:$B$19,0)),"Unknown ID"))</f>
        <v/>
      </c>
      <c r="G274" s="27"/>
      <c r="H274" s="27"/>
      <c r="I274" s="27"/>
      <c r="J274" s="27"/>
      <c r="K274" s="28" t="str">
        <f aca="false">IF(COUNT(H274,I274,J274)&lt;3,"",H274*I274*J274)</f>
        <v/>
      </c>
      <c r="L274" s="27"/>
      <c r="M274" s="27"/>
      <c r="N274" s="27"/>
      <c r="O274" s="27"/>
      <c r="P274" s="27"/>
    </row>
    <row r="275" customFormat="false" ht="15" hidden="false" customHeight="false" outlineLevel="0" collapsed="false">
      <c r="B275" s="26"/>
      <c r="C275" s="27"/>
      <c r="D275" s="28" t="str">
        <f aca="false">IF(C275="","",IFERROR(INDEX(Players!$C$5:$C$104,MATCH(C275,Players!$B$5:$B$104,0)),"ID not found"))</f>
        <v/>
      </c>
      <c r="E275" s="27"/>
      <c r="F275" s="28" t="str">
        <f aca="false">IF(E275="","",IFERROR(INDEX('Med Ball Library'!$C$6:$C$19,MATCH(E275,'Med Ball Library'!$B$6:$B$19,0)),"Unknown ID"))</f>
        <v/>
      </c>
      <c r="G275" s="27"/>
      <c r="H275" s="27"/>
      <c r="I275" s="27"/>
      <c r="J275" s="27"/>
      <c r="K275" s="28" t="str">
        <f aca="false">IF(COUNT(H275,I275,J275)&lt;3,"",H275*I275*J275)</f>
        <v/>
      </c>
      <c r="L275" s="27"/>
      <c r="M275" s="27"/>
      <c r="N275" s="27"/>
      <c r="O275" s="27"/>
      <c r="P275" s="27"/>
    </row>
    <row r="276" customFormat="false" ht="15" hidden="false" customHeight="false" outlineLevel="0" collapsed="false">
      <c r="B276" s="26"/>
      <c r="C276" s="27"/>
      <c r="D276" s="28" t="str">
        <f aca="false">IF(C276="","",IFERROR(INDEX(Players!$C$5:$C$104,MATCH(C276,Players!$B$5:$B$104,0)),"ID not found"))</f>
        <v/>
      </c>
      <c r="E276" s="27"/>
      <c r="F276" s="28" t="str">
        <f aca="false">IF(E276="","",IFERROR(INDEX('Med Ball Library'!$C$6:$C$19,MATCH(E276,'Med Ball Library'!$B$6:$B$19,0)),"Unknown ID"))</f>
        <v/>
      </c>
      <c r="G276" s="27"/>
      <c r="H276" s="27"/>
      <c r="I276" s="27"/>
      <c r="J276" s="27"/>
      <c r="K276" s="28" t="str">
        <f aca="false">IF(COUNT(H276,I276,J276)&lt;3,"",H276*I276*J276)</f>
        <v/>
      </c>
      <c r="L276" s="27"/>
      <c r="M276" s="27"/>
      <c r="N276" s="27"/>
      <c r="O276" s="27"/>
      <c r="P276" s="27"/>
    </row>
    <row r="277" customFormat="false" ht="15" hidden="false" customHeight="false" outlineLevel="0" collapsed="false">
      <c r="B277" s="26"/>
      <c r="C277" s="27"/>
      <c r="D277" s="28" t="str">
        <f aca="false">IF(C277="","",IFERROR(INDEX(Players!$C$5:$C$104,MATCH(C277,Players!$B$5:$B$104,0)),"ID not found"))</f>
        <v/>
      </c>
      <c r="E277" s="27"/>
      <c r="F277" s="28" t="str">
        <f aca="false">IF(E277="","",IFERROR(INDEX('Med Ball Library'!$C$6:$C$19,MATCH(E277,'Med Ball Library'!$B$6:$B$19,0)),"Unknown ID"))</f>
        <v/>
      </c>
      <c r="G277" s="27"/>
      <c r="H277" s="27"/>
      <c r="I277" s="27"/>
      <c r="J277" s="27"/>
      <c r="K277" s="28" t="str">
        <f aca="false">IF(COUNT(H277,I277,J277)&lt;3,"",H277*I277*J277)</f>
        <v/>
      </c>
      <c r="L277" s="27"/>
      <c r="M277" s="27"/>
      <c r="N277" s="27"/>
      <c r="O277" s="27"/>
      <c r="P277" s="27"/>
    </row>
    <row r="278" customFormat="false" ht="15" hidden="false" customHeight="false" outlineLevel="0" collapsed="false">
      <c r="B278" s="26"/>
      <c r="C278" s="27"/>
      <c r="D278" s="28" t="str">
        <f aca="false">IF(C278="","",IFERROR(INDEX(Players!$C$5:$C$104,MATCH(C278,Players!$B$5:$B$104,0)),"ID not found"))</f>
        <v/>
      </c>
      <c r="E278" s="27"/>
      <c r="F278" s="28" t="str">
        <f aca="false">IF(E278="","",IFERROR(INDEX('Med Ball Library'!$C$6:$C$19,MATCH(E278,'Med Ball Library'!$B$6:$B$19,0)),"Unknown ID"))</f>
        <v/>
      </c>
      <c r="G278" s="27"/>
      <c r="H278" s="27"/>
      <c r="I278" s="27"/>
      <c r="J278" s="27"/>
      <c r="K278" s="28" t="str">
        <f aca="false">IF(COUNT(H278,I278,J278)&lt;3,"",H278*I278*J278)</f>
        <v/>
      </c>
      <c r="L278" s="27"/>
      <c r="M278" s="27"/>
      <c r="N278" s="27"/>
      <c r="O278" s="27"/>
      <c r="P278" s="27"/>
    </row>
    <row r="279" customFormat="false" ht="15" hidden="false" customHeight="false" outlineLevel="0" collapsed="false">
      <c r="B279" s="26"/>
      <c r="C279" s="27"/>
      <c r="D279" s="28" t="str">
        <f aca="false">IF(C279="","",IFERROR(INDEX(Players!$C$5:$C$104,MATCH(C279,Players!$B$5:$B$104,0)),"ID not found"))</f>
        <v/>
      </c>
      <c r="E279" s="27"/>
      <c r="F279" s="28" t="str">
        <f aca="false">IF(E279="","",IFERROR(INDEX('Med Ball Library'!$C$6:$C$19,MATCH(E279,'Med Ball Library'!$B$6:$B$19,0)),"Unknown ID"))</f>
        <v/>
      </c>
      <c r="G279" s="27"/>
      <c r="H279" s="27"/>
      <c r="I279" s="27"/>
      <c r="J279" s="27"/>
      <c r="K279" s="28" t="str">
        <f aca="false">IF(COUNT(H279,I279,J279)&lt;3,"",H279*I279*J279)</f>
        <v/>
      </c>
      <c r="L279" s="27"/>
      <c r="M279" s="27"/>
      <c r="N279" s="27"/>
      <c r="O279" s="27"/>
      <c r="P279" s="27"/>
    </row>
    <row r="280" customFormat="false" ht="15" hidden="false" customHeight="false" outlineLevel="0" collapsed="false">
      <c r="B280" s="26"/>
      <c r="C280" s="27"/>
      <c r="D280" s="28" t="str">
        <f aca="false">IF(C280="","",IFERROR(INDEX(Players!$C$5:$C$104,MATCH(C280,Players!$B$5:$B$104,0)),"ID not found"))</f>
        <v/>
      </c>
      <c r="E280" s="27"/>
      <c r="F280" s="28" t="str">
        <f aca="false">IF(E280="","",IFERROR(INDEX('Med Ball Library'!$C$6:$C$19,MATCH(E280,'Med Ball Library'!$B$6:$B$19,0)),"Unknown ID"))</f>
        <v/>
      </c>
      <c r="G280" s="27"/>
      <c r="H280" s="27"/>
      <c r="I280" s="27"/>
      <c r="J280" s="27"/>
      <c r="K280" s="28" t="str">
        <f aca="false">IF(COUNT(H280,I280,J280)&lt;3,"",H280*I280*J280)</f>
        <v/>
      </c>
      <c r="L280" s="27"/>
      <c r="M280" s="27"/>
      <c r="N280" s="27"/>
      <c r="O280" s="27"/>
      <c r="P280" s="27"/>
    </row>
    <row r="281" customFormat="false" ht="15" hidden="false" customHeight="false" outlineLevel="0" collapsed="false">
      <c r="B281" s="26"/>
      <c r="C281" s="27"/>
      <c r="D281" s="28" t="str">
        <f aca="false">IF(C281="","",IFERROR(INDEX(Players!$C$5:$C$104,MATCH(C281,Players!$B$5:$B$104,0)),"ID not found"))</f>
        <v/>
      </c>
      <c r="E281" s="27"/>
      <c r="F281" s="28" t="str">
        <f aca="false">IF(E281="","",IFERROR(INDEX('Med Ball Library'!$C$6:$C$19,MATCH(E281,'Med Ball Library'!$B$6:$B$19,0)),"Unknown ID"))</f>
        <v/>
      </c>
      <c r="G281" s="27"/>
      <c r="H281" s="27"/>
      <c r="I281" s="27"/>
      <c r="J281" s="27"/>
      <c r="K281" s="28" t="str">
        <f aca="false">IF(COUNT(H281,I281,J281)&lt;3,"",H281*I281*J281)</f>
        <v/>
      </c>
      <c r="L281" s="27"/>
      <c r="M281" s="27"/>
      <c r="N281" s="27"/>
      <c r="O281" s="27"/>
      <c r="P281" s="27"/>
    </row>
    <row r="282" customFormat="false" ht="15" hidden="false" customHeight="false" outlineLevel="0" collapsed="false">
      <c r="B282" s="26"/>
      <c r="C282" s="27"/>
      <c r="D282" s="28" t="str">
        <f aca="false">IF(C282="","",IFERROR(INDEX(Players!$C$5:$C$104,MATCH(C282,Players!$B$5:$B$104,0)),"ID not found"))</f>
        <v/>
      </c>
      <c r="E282" s="27"/>
      <c r="F282" s="28" t="str">
        <f aca="false">IF(E282="","",IFERROR(INDEX('Med Ball Library'!$C$6:$C$19,MATCH(E282,'Med Ball Library'!$B$6:$B$19,0)),"Unknown ID"))</f>
        <v/>
      </c>
      <c r="G282" s="27"/>
      <c r="H282" s="27"/>
      <c r="I282" s="27"/>
      <c r="J282" s="27"/>
      <c r="K282" s="28" t="str">
        <f aca="false">IF(COUNT(H282,I282,J282)&lt;3,"",H282*I282*J282)</f>
        <v/>
      </c>
      <c r="L282" s="27"/>
      <c r="M282" s="27"/>
      <c r="N282" s="27"/>
      <c r="O282" s="27"/>
      <c r="P282" s="27"/>
    </row>
    <row r="283" customFormat="false" ht="15" hidden="false" customHeight="false" outlineLevel="0" collapsed="false">
      <c r="B283" s="26"/>
      <c r="C283" s="27"/>
      <c r="D283" s="28" t="str">
        <f aca="false">IF(C283="","",IFERROR(INDEX(Players!$C$5:$C$104,MATCH(C283,Players!$B$5:$B$104,0)),"ID not found"))</f>
        <v/>
      </c>
      <c r="E283" s="27"/>
      <c r="F283" s="28" t="str">
        <f aca="false">IF(E283="","",IFERROR(INDEX('Med Ball Library'!$C$6:$C$19,MATCH(E283,'Med Ball Library'!$B$6:$B$19,0)),"Unknown ID"))</f>
        <v/>
      </c>
      <c r="G283" s="27"/>
      <c r="H283" s="27"/>
      <c r="I283" s="27"/>
      <c r="J283" s="27"/>
      <c r="K283" s="28" t="str">
        <f aca="false">IF(COUNT(H283,I283,J283)&lt;3,"",H283*I283*J283)</f>
        <v/>
      </c>
      <c r="L283" s="27"/>
      <c r="M283" s="27"/>
      <c r="N283" s="27"/>
      <c r="O283" s="27"/>
      <c r="P283" s="27"/>
    </row>
    <row r="284" customFormat="false" ht="15" hidden="false" customHeight="false" outlineLevel="0" collapsed="false">
      <c r="B284" s="26"/>
      <c r="C284" s="27"/>
      <c r="D284" s="28" t="str">
        <f aca="false">IF(C284="","",IFERROR(INDEX(Players!$C$5:$C$104,MATCH(C284,Players!$B$5:$B$104,0)),"ID not found"))</f>
        <v/>
      </c>
      <c r="E284" s="27"/>
      <c r="F284" s="28" t="str">
        <f aca="false">IF(E284="","",IFERROR(INDEX('Med Ball Library'!$C$6:$C$19,MATCH(E284,'Med Ball Library'!$B$6:$B$19,0)),"Unknown ID"))</f>
        <v/>
      </c>
      <c r="G284" s="27"/>
      <c r="H284" s="27"/>
      <c r="I284" s="27"/>
      <c r="J284" s="27"/>
      <c r="K284" s="28" t="str">
        <f aca="false">IF(COUNT(H284,I284,J284)&lt;3,"",H284*I284*J284)</f>
        <v/>
      </c>
      <c r="L284" s="27"/>
      <c r="M284" s="27"/>
      <c r="N284" s="27"/>
      <c r="O284" s="27"/>
      <c r="P284" s="27"/>
    </row>
    <row r="285" customFormat="false" ht="15" hidden="false" customHeight="false" outlineLevel="0" collapsed="false">
      <c r="B285" s="26"/>
      <c r="C285" s="27"/>
      <c r="D285" s="28" t="str">
        <f aca="false">IF(C285="","",IFERROR(INDEX(Players!$C$5:$C$104,MATCH(C285,Players!$B$5:$B$104,0)),"ID not found"))</f>
        <v/>
      </c>
      <c r="E285" s="27"/>
      <c r="F285" s="28" t="str">
        <f aca="false">IF(E285="","",IFERROR(INDEX('Med Ball Library'!$C$6:$C$19,MATCH(E285,'Med Ball Library'!$B$6:$B$19,0)),"Unknown ID"))</f>
        <v/>
      </c>
      <c r="G285" s="27"/>
      <c r="H285" s="27"/>
      <c r="I285" s="27"/>
      <c r="J285" s="27"/>
      <c r="K285" s="28" t="str">
        <f aca="false">IF(COUNT(H285,I285,J285)&lt;3,"",H285*I285*J285)</f>
        <v/>
      </c>
      <c r="L285" s="27"/>
      <c r="M285" s="27"/>
      <c r="N285" s="27"/>
      <c r="O285" s="27"/>
      <c r="P285" s="27"/>
    </row>
    <row r="286" customFormat="false" ht="15" hidden="false" customHeight="false" outlineLevel="0" collapsed="false">
      <c r="B286" s="26"/>
      <c r="C286" s="27"/>
      <c r="D286" s="28" t="str">
        <f aca="false">IF(C286="","",IFERROR(INDEX(Players!$C$5:$C$104,MATCH(C286,Players!$B$5:$B$104,0)),"ID not found"))</f>
        <v/>
      </c>
      <c r="E286" s="27"/>
      <c r="F286" s="28" t="str">
        <f aca="false">IF(E286="","",IFERROR(INDEX('Med Ball Library'!$C$6:$C$19,MATCH(E286,'Med Ball Library'!$B$6:$B$19,0)),"Unknown ID"))</f>
        <v/>
      </c>
      <c r="G286" s="27"/>
      <c r="H286" s="27"/>
      <c r="I286" s="27"/>
      <c r="J286" s="27"/>
      <c r="K286" s="28" t="str">
        <f aca="false">IF(COUNT(H286,I286,J286)&lt;3,"",H286*I286*J286)</f>
        <v/>
      </c>
      <c r="L286" s="27"/>
      <c r="M286" s="27"/>
      <c r="N286" s="27"/>
      <c r="O286" s="27"/>
      <c r="P286" s="27"/>
    </row>
    <row r="287" customFormat="false" ht="15" hidden="false" customHeight="false" outlineLevel="0" collapsed="false">
      <c r="B287" s="26"/>
      <c r="C287" s="27"/>
      <c r="D287" s="28" t="str">
        <f aca="false">IF(C287="","",IFERROR(INDEX(Players!$C$5:$C$104,MATCH(C287,Players!$B$5:$B$104,0)),"ID not found"))</f>
        <v/>
      </c>
      <c r="E287" s="27"/>
      <c r="F287" s="28" t="str">
        <f aca="false">IF(E287="","",IFERROR(INDEX('Med Ball Library'!$C$6:$C$19,MATCH(E287,'Med Ball Library'!$B$6:$B$19,0)),"Unknown ID"))</f>
        <v/>
      </c>
      <c r="G287" s="27"/>
      <c r="H287" s="27"/>
      <c r="I287" s="27"/>
      <c r="J287" s="27"/>
      <c r="K287" s="28" t="str">
        <f aca="false">IF(COUNT(H287,I287,J287)&lt;3,"",H287*I287*J287)</f>
        <v/>
      </c>
      <c r="L287" s="27"/>
      <c r="M287" s="27"/>
      <c r="N287" s="27"/>
      <c r="O287" s="27"/>
      <c r="P287" s="27"/>
    </row>
    <row r="288" customFormat="false" ht="15" hidden="false" customHeight="false" outlineLevel="0" collapsed="false">
      <c r="B288" s="26"/>
      <c r="C288" s="27"/>
      <c r="D288" s="28" t="str">
        <f aca="false">IF(C288="","",IFERROR(INDEX(Players!$C$5:$C$104,MATCH(C288,Players!$B$5:$B$104,0)),"ID not found"))</f>
        <v/>
      </c>
      <c r="E288" s="27"/>
      <c r="F288" s="28" t="str">
        <f aca="false">IF(E288="","",IFERROR(INDEX('Med Ball Library'!$C$6:$C$19,MATCH(E288,'Med Ball Library'!$B$6:$B$19,0)),"Unknown ID"))</f>
        <v/>
      </c>
      <c r="G288" s="27"/>
      <c r="H288" s="27"/>
      <c r="I288" s="27"/>
      <c r="J288" s="27"/>
      <c r="K288" s="28" t="str">
        <f aca="false">IF(COUNT(H288,I288,J288)&lt;3,"",H288*I288*J288)</f>
        <v/>
      </c>
      <c r="L288" s="27"/>
      <c r="M288" s="27"/>
      <c r="N288" s="27"/>
      <c r="O288" s="27"/>
      <c r="P288" s="27"/>
    </row>
    <row r="289" customFormat="false" ht="15" hidden="false" customHeight="false" outlineLevel="0" collapsed="false">
      <c r="B289" s="26"/>
      <c r="C289" s="27"/>
      <c r="D289" s="28" t="str">
        <f aca="false">IF(C289="","",IFERROR(INDEX(Players!$C$5:$C$104,MATCH(C289,Players!$B$5:$B$104,0)),"ID not found"))</f>
        <v/>
      </c>
      <c r="E289" s="27"/>
      <c r="F289" s="28" t="str">
        <f aca="false">IF(E289="","",IFERROR(INDEX('Med Ball Library'!$C$6:$C$19,MATCH(E289,'Med Ball Library'!$B$6:$B$19,0)),"Unknown ID"))</f>
        <v/>
      </c>
      <c r="G289" s="27"/>
      <c r="H289" s="27"/>
      <c r="I289" s="27"/>
      <c r="J289" s="27"/>
      <c r="K289" s="28" t="str">
        <f aca="false">IF(COUNT(H289,I289,J289)&lt;3,"",H289*I289*J289)</f>
        <v/>
      </c>
      <c r="L289" s="27"/>
      <c r="M289" s="27"/>
      <c r="N289" s="27"/>
      <c r="O289" s="27"/>
      <c r="P289" s="27"/>
    </row>
    <row r="290" customFormat="false" ht="15" hidden="false" customHeight="false" outlineLevel="0" collapsed="false">
      <c r="B290" s="26"/>
      <c r="C290" s="27"/>
      <c r="D290" s="28" t="str">
        <f aca="false">IF(C290="","",IFERROR(INDEX(Players!$C$5:$C$104,MATCH(C290,Players!$B$5:$B$104,0)),"ID not found"))</f>
        <v/>
      </c>
      <c r="E290" s="27"/>
      <c r="F290" s="28" t="str">
        <f aca="false">IF(E290="","",IFERROR(INDEX('Med Ball Library'!$C$6:$C$19,MATCH(E290,'Med Ball Library'!$B$6:$B$19,0)),"Unknown ID"))</f>
        <v/>
      </c>
      <c r="G290" s="27"/>
      <c r="H290" s="27"/>
      <c r="I290" s="27"/>
      <c r="J290" s="27"/>
      <c r="K290" s="28" t="str">
        <f aca="false">IF(COUNT(H290,I290,J290)&lt;3,"",H290*I290*J290)</f>
        <v/>
      </c>
      <c r="L290" s="27"/>
      <c r="M290" s="27"/>
      <c r="N290" s="27"/>
      <c r="O290" s="27"/>
      <c r="P290" s="27"/>
    </row>
    <row r="291" customFormat="false" ht="15" hidden="false" customHeight="false" outlineLevel="0" collapsed="false">
      <c r="B291" s="26"/>
      <c r="C291" s="27"/>
      <c r="D291" s="28" t="str">
        <f aca="false">IF(C291="","",IFERROR(INDEX(Players!$C$5:$C$104,MATCH(C291,Players!$B$5:$B$104,0)),"ID not found"))</f>
        <v/>
      </c>
      <c r="E291" s="27"/>
      <c r="F291" s="28" t="str">
        <f aca="false">IF(E291="","",IFERROR(INDEX('Med Ball Library'!$C$6:$C$19,MATCH(E291,'Med Ball Library'!$B$6:$B$19,0)),"Unknown ID"))</f>
        <v/>
      </c>
      <c r="G291" s="27"/>
      <c r="H291" s="27"/>
      <c r="I291" s="27"/>
      <c r="J291" s="27"/>
      <c r="K291" s="28" t="str">
        <f aca="false">IF(COUNT(H291,I291,J291)&lt;3,"",H291*I291*J291)</f>
        <v/>
      </c>
      <c r="L291" s="27"/>
      <c r="M291" s="27"/>
      <c r="N291" s="27"/>
      <c r="O291" s="27"/>
      <c r="P291" s="27"/>
    </row>
    <row r="292" customFormat="false" ht="15" hidden="false" customHeight="false" outlineLevel="0" collapsed="false">
      <c r="B292" s="26"/>
      <c r="C292" s="27"/>
      <c r="D292" s="28" t="str">
        <f aca="false">IF(C292="","",IFERROR(INDEX(Players!$C$5:$C$104,MATCH(C292,Players!$B$5:$B$104,0)),"ID not found"))</f>
        <v/>
      </c>
      <c r="E292" s="27"/>
      <c r="F292" s="28" t="str">
        <f aca="false">IF(E292="","",IFERROR(INDEX('Med Ball Library'!$C$6:$C$19,MATCH(E292,'Med Ball Library'!$B$6:$B$19,0)),"Unknown ID"))</f>
        <v/>
      </c>
      <c r="G292" s="27"/>
      <c r="H292" s="27"/>
      <c r="I292" s="27"/>
      <c r="J292" s="27"/>
      <c r="K292" s="28" t="str">
        <f aca="false">IF(COUNT(H292,I292,J292)&lt;3,"",H292*I292*J292)</f>
        <v/>
      </c>
      <c r="L292" s="27"/>
      <c r="M292" s="27"/>
      <c r="N292" s="27"/>
      <c r="O292" s="27"/>
      <c r="P292" s="27"/>
    </row>
    <row r="293" customFormat="false" ht="15" hidden="false" customHeight="false" outlineLevel="0" collapsed="false">
      <c r="B293" s="26"/>
      <c r="C293" s="27"/>
      <c r="D293" s="28" t="str">
        <f aca="false">IF(C293="","",IFERROR(INDEX(Players!$C$5:$C$104,MATCH(C293,Players!$B$5:$B$104,0)),"ID not found"))</f>
        <v/>
      </c>
      <c r="E293" s="27"/>
      <c r="F293" s="28" t="str">
        <f aca="false">IF(E293="","",IFERROR(INDEX('Med Ball Library'!$C$6:$C$19,MATCH(E293,'Med Ball Library'!$B$6:$B$19,0)),"Unknown ID"))</f>
        <v/>
      </c>
      <c r="G293" s="27"/>
      <c r="H293" s="27"/>
      <c r="I293" s="27"/>
      <c r="J293" s="27"/>
      <c r="K293" s="28" t="str">
        <f aca="false">IF(COUNT(H293,I293,J293)&lt;3,"",H293*I293*J293)</f>
        <v/>
      </c>
      <c r="L293" s="27"/>
      <c r="M293" s="27"/>
      <c r="N293" s="27"/>
      <c r="O293" s="27"/>
      <c r="P293" s="27"/>
    </row>
    <row r="294" customFormat="false" ht="15" hidden="false" customHeight="false" outlineLevel="0" collapsed="false">
      <c r="B294" s="26"/>
      <c r="C294" s="27"/>
      <c r="D294" s="28" t="str">
        <f aca="false">IF(C294="","",IFERROR(INDEX(Players!$C$5:$C$104,MATCH(C294,Players!$B$5:$B$104,0)),"ID not found"))</f>
        <v/>
      </c>
      <c r="E294" s="27"/>
      <c r="F294" s="28" t="str">
        <f aca="false">IF(E294="","",IFERROR(INDEX('Med Ball Library'!$C$6:$C$19,MATCH(E294,'Med Ball Library'!$B$6:$B$19,0)),"Unknown ID"))</f>
        <v/>
      </c>
      <c r="G294" s="27"/>
      <c r="H294" s="27"/>
      <c r="I294" s="27"/>
      <c r="J294" s="27"/>
      <c r="K294" s="28" t="str">
        <f aca="false">IF(COUNT(H294,I294,J294)&lt;3,"",H294*I294*J294)</f>
        <v/>
      </c>
      <c r="L294" s="27"/>
      <c r="M294" s="27"/>
      <c r="N294" s="27"/>
      <c r="O294" s="27"/>
      <c r="P294" s="27"/>
    </row>
    <row r="295" customFormat="false" ht="15" hidden="false" customHeight="false" outlineLevel="0" collapsed="false">
      <c r="B295" s="26"/>
      <c r="C295" s="27"/>
      <c r="D295" s="28" t="str">
        <f aca="false">IF(C295="","",IFERROR(INDEX(Players!$C$5:$C$104,MATCH(C295,Players!$B$5:$B$104,0)),"ID not found"))</f>
        <v/>
      </c>
      <c r="E295" s="27"/>
      <c r="F295" s="28" t="str">
        <f aca="false">IF(E295="","",IFERROR(INDEX('Med Ball Library'!$C$6:$C$19,MATCH(E295,'Med Ball Library'!$B$6:$B$19,0)),"Unknown ID"))</f>
        <v/>
      </c>
      <c r="G295" s="27"/>
      <c r="H295" s="27"/>
      <c r="I295" s="27"/>
      <c r="J295" s="27"/>
      <c r="K295" s="28" t="str">
        <f aca="false">IF(COUNT(H295,I295,J295)&lt;3,"",H295*I295*J295)</f>
        <v/>
      </c>
      <c r="L295" s="27"/>
      <c r="M295" s="27"/>
      <c r="N295" s="27"/>
      <c r="O295" s="27"/>
      <c r="P295" s="27"/>
    </row>
    <row r="296" customFormat="false" ht="15" hidden="false" customHeight="false" outlineLevel="0" collapsed="false">
      <c r="B296" s="26"/>
      <c r="C296" s="27"/>
      <c r="D296" s="28" t="str">
        <f aca="false">IF(C296="","",IFERROR(INDEX(Players!$C$5:$C$104,MATCH(C296,Players!$B$5:$B$104,0)),"ID not found"))</f>
        <v/>
      </c>
      <c r="E296" s="27"/>
      <c r="F296" s="28" t="str">
        <f aca="false">IF(E296="","",IFERROR(INDEX('Med Ball Library'!$C$6:$C$19,MATCH(E296,'Med Ball Library'!$B$6:$B$19,0)),"Unknown ID"))</f>
        <v/>
      </c>
      <c r="G296" s="27"/>
      <c r="H296" s="27"/>
      <c r="I296" s="27"/>
      <c r="J296" s="27"/>
      <c r="K296" s="28" t="str">
        <f aca="false">IF(COUNT(H296,I296,J296)&lt;3,"",H296*I296*J296)</f>
        <v/>
      </c>
      <c r="L296" s="27"/>
      <c r="M296" s="27"/>
      <c r="N296" s="27"/>
      <c r="O296" s="27"/>
      <c r="P296" s="27"/>
    </row>
    <row r="297" customFormat="false" ht="15" hidden="false" customHeight="false" outlineLevel="0" collapsed="false">
      <c r="B297" s="26"/>
      <c r="C297" s="27"/>
      <c r="D297" s="28" t="str">
        <f aca="false">IF(C297="","",IFERROR(INDEX(Players!$C$5:$C$104,MATCH(C297,Players!$B$5:$B$104,0)),"ID not found"))</f>
        <v/>
      </c>
      <c r="E297" s="27"/>
      <c r="F297" s="28" t="str">
        <f aca="false">IF(E297="","",IFERROR(INDEX('Med Ball Library'!$C$6:$C$19,MATCH(E297,'Med Ball Library'!$B$6:$B$19,0)),"Unknown ID"))</f>
        <v/>
      </c>
      <c r="G297" s="27"/>
      <c r="H297" s="27"/>
      <c r="I297" s="27"/>
      <c r="J297" s="27"/>
      <c r="K297" s="28" t="str">
        <f aca="false">IF(COUNT(H297,I297,J297)&lt;3,"",H297*I297*J297)</f>
        <v/>
      </c>
      <c r="L297" s="27"/>
      <c r="M297" s="27"/>
      <c r="N297" s="27"/>
      <c r="O297" s="27"/>
      <c r="P297" s="27"/>
    </row>
    <row r="298" customFormat="false" ht="15" hidden="false" customHeight="false" outlineLevel="0" collapsed="false">
      <c r="B298" s="26"/>
      <c r="C298" s="27"/>
      <c r="D298" s="28" t="str">
        <f aca="false">IF(C298="","",IFERROR(INDEX(Players!$C$5:$C$104,MATCH(C298,Players!$B$5:$B$104,0)),"ID not found"))</f>
        <v/>
      </c>
      <c r="E298" s="27"/>
      <c r="F298" s="28" t="str">
        <f aca="false">IF(E298="","",IFERROR(INDEX('Med Ball Library'!$C$6:$C$19,MATCH(E298,'Med Ball Library'!$B$6:$B$19,0)),"Unknown ID"))</f>
        <v/>
      </c>
      <c r="G298" s="27"/>
      <c r="H298" s="27"/>
      <c r="I298" s="27"/>
      <c r="J298" s="27"/>
      <c r="K298" s="28" t="str">
        <f aca="false">IF(COUNT(H298,I298,J298)&lt;3,"",H298*I298*J298)</f>
        <v/>
      </c>
      <c r="L298" s="27"/>
      <c r="M298" s="27"/>
      <c r="N298" s="27"/>
      <c r="O298" s="27"/>
      <c r="P298" s="27"/>
    </row>
    <row r="299" customFormat="false" ht="15" hidden="false" customHeight="false" outlineLevel="0" collapsed="false">
      <c r="B299" s="26"/>
      <c r="C299" s="27"/>
      <c r="D299" s="28" t="str">
        <f aca="false">IF(C299="","",IFERROR(INDEX(Players!$C$5:$C$104,MATCH(C299,Players!$B$5:$B$104,0)),"ID not found"))</f>
        <v/>
      </c>
      <c r="E299" s="27"/>
      <c r="F299" s="28" t="str">
        <f aca="false">IF(E299="","",IFERROR(INDEX('Med Ball Library'!$C$6:$C$19,MATCH(E299,'Med Ball Library'!$B$6:$B$19,0)),"Unknown ID"))</f>
        <v/>
      </c>
      <c r="G299" s="27"/>
      <c r="H299" s="27"/>
      <c r="I299" s="27"/>
      <c r="J299" s="27"/>
      <c r="K299" s="28" t="str">
        <f aca="false">IF(COUNT(H299,I299,J299)&lt;3,"",H299*I299*J299)</f>
        <v/>
      </c>
      <c r="L299" s="27"/>
      <c r="M299" s="27"/>
      <c r="N299" s="27"/>
      <c r="O299" s="27"/>
      <c r="P299" s="27"/>
    </row>
    <row r="300" customFormat="false" ht="15" hidden="false" customHeight="false" outlineLevel="0" collapsed="false">
      <c r="B300" s="26"/>
      <c r="C300" s="27"/>
      <c r="D300" s="28" t="str">
        <f aca="false">IF(C300="","",IFERROR(INDEX(Players!$C$5:$C$104,MATCH(C300,Players!$B$5:$B$104,0)),"ID not found"))</f>
        <v/>
      </c>
      <c r="E300" s="27"/>
      <c r="F300" s="28" t="str">
        <f aca="false">IF(E300="","",IFERROR(INDEX('Med Ball Library'!$C$6:$C$19,MATCH(E300,'Med Ball Library'!$B$6:$B$19,0)),"Unknown ID"))</f>
        <v/>
      </c>
      <c r="G300" s="27"/>
      <c r="H300" s="27"/>
      <c r="I300" s="27"/>
      <c r="J300" s="27"/>
      <c r="K300" s="28" t="str">
        <f aca="false">IF(COUNT(H300,I300,J300)&lt;3,"",H300*I300*J300)</f>
        <v/>
      </c>
      <c r="L300" s="27"/>
      <c r="M300" s="27"/>
      <c r="N300" s="27"/>
      <c r="O300" s="27"/>
      <c r="P300" s="27"/>
    </row>
    <row r="301" customFormat="false" ht="15" hidden="false" customHeight="false" outlineLevel="0" collapsed="false">
      <c r="B301" s="26"/>
      <c r="C301" s="27"/>
      <c r="D301" s="28" t="str">
        <f aca="false">IF(C301="","",IFERROR(INDEX(Players!$C$5:$C$104,MATCH(C301,Players!$B$5:$B$104,0)),"ID not found"))</f>
        <v/>
      </c>
      <c r="E301" s="27"/>
      <c r="F301" s="28" t="str">
        <f aca="false">IF(E301="","",IFERROR(INDEX('Med Ball Library'!$C$6:$C$19,MATCH(E301,'Med Ball Library'!$B$6:$B$19,0)),"Unknown ID"))</f>
        <v/>
      </c>
      <c r="G301" s="27"/>
      <c r="H301" s="27"/>
      <c r="I301" s="27"/>
      <c r="J301" s="27"/>
      <c r="K301" s="28" t="str">
        <f aca="false">IF(COUNT(H301,I301,J301)&lt;3,"",H301*I301*J301)</f>
        <v/>
      </c>
      <c r="L301" s="27"/>
      <c r="M301" s="27"/>
      <c r="N301" s="27"/>
      <c r="O301" s="27"/>
      <c r="P301" s="27"/>
    </row>
    <row r="302" customFormat="false" ht="15" hidden="false" customHeight="false" outlineLevel="0" collapsed="false">
      <c r="B302" s="26"/>
      <c r="C302" s="27"/>
      <c r="D302" s="28" t="str">
        <f aca="false">IF(C302="","",IFERROR(INDEX(Players!$C$5:$C$104,MATCH(C302,Players!$B$5:$B$104,0)),"ID not found"))</f>
        <v/>
      </c>
      <c r="E302" s="27"/>
      <c r="F302" s="28" t="str">
        <f aca="false">IF(E302="","",IFERROR(INDEX('Med Ball Library'!$C$6:$C$19,MATCH(E302,'Med Ball Library'!$B$6:$B$19,0)),"Unknown ID"))</f>
        <v/>
      </c>
      <c r="G302" s="27"/>
      <c r="H302" s="27"/>
      <c r="I302" s="27"/>
      <c r="J302" s="27"/>
      <c r="K302" s="28" t="str">
        <f aca="false">IF(COUNT(H302,I302,J302)&lt;3,"",H302*I302*J302)</f>
        <v/>
      </c>
      <c r="L302" s="27"/>
      <c r="M302" s="27"/>
      <c r="N302" s="27"/>
      <c r="O302" s="27"/>
      <c r="P302" s="27"/>
    </row>
    <row r="303" customFormat="false" ht="15" hidden="false" customHeight="false" outlineLevel="0" collapsed="false">
      <c r="B303" s="26"/>
      <c r="C303" s="27"/>
      <c r="D303" s="28" t="str">
        <f aca="false">IF(C303="","",IFERROR(INDEX(Players!$C$5:$C$104,MATCH(C303,Players!$B$5:$B$104,0)),"ID not found"))</f>
        <v/>
      </c>
      <c r="E303" s="27"/>
      <c r="F303" s="28" t="str">
        <f aca="false">IF(E303="","",IFERROR(INDEX('Med Ball Library'!$C$6:$C$19,MATCH(E303,'Med Ball Library'!$B$6:$B$19,0)),"Unknown ID"))</f>
        <v/>
      </c>
      <c r="G303" s="27"/>
      <c r="H303" s="27"/>
      <c r="I303" s="27"/>
      <c r="J303" s="27"/>
      <c r="K303" s="28" t="str">
        <f aca="false">IF(COUNT(H303,I303,J303)&lt;3,"",H303*I303*J303)</f>
        <v/>
      </c>
      <c r="L303" s="27"/>
      <c r="M303" s="27"/>
      <c r="N303" s="27"/>
      <c r="O303" s="27"/>
      <c r="P303" s="27"/>
    </row>
    <row r="304" customFormat="false" ht="15" hidden="false" customHeight="false" outlineLevel="0" collapsed="false">
      <c r="B304" s="26"/>
      <c r="C304" s="27"/>
      <c r="D304" s="28" t="str">
        <f aca="false">IF(C304="","",IFERROR(INDEX(Players!$C$5:$C$104,MATCH(C304,Players!$B$5:$B$104,0)),"ID not found"))</f>
        <v/>
      </c>
      <c r="E304" s="27"/>
      <c r="F304" s="28" t="str">
        <f aca="false">IF(E304="","",IFERROR(INDEX('Med Ball Library'!$C$6:$C$19,MATCH(E304,'Med Ball Library'!$B$6:$B$19,0)),"Unknown ID"))</f>
        <v/>
      </c>
      <c r="G304" s="27"/>
      <c r="H304" s="27"/>
      <c r="I304" s="27"/>
      <c r="J304" s="27"/>
      <c r="K304" s="28" t="str">
        <f aca="false">IF(COUNT(H304,I304,J304)&lt;3,"",H304*I304*J304)</f>
        <v/>
      </c>
      <c r="L304" s="27"/>
      <c r="M304" s="27"/>
      <c r="N304" s="27"/>
      <c r="O304" s="27"/>
      <c r="P304" s="27"/>
    </row>
    <row r="305" customFormat="false" ht="15" hidden="false" customHeight="false" outlineLevel="0" collapsed="false">
      <c r="B305" s="26"/>
      <c r="C305" s="27"/>
      <c r="D305" s="28" t="str">
        <f aca="false">IF(C305="","",IFERROR(INDEX(Players!$C$5:$C$104,MATCH(C305,Players!$B$5:$B$104,0)),"ID not found"))</f>
        <v/>
      </c>
      <c r="E305" s="27"/>
      <c r="F305" s="28" t="str">
        <f aca="false">IF(E305="","",IFERROR(INDEX('Med Ball Library'!$C$6:$C$19,MATCH(E305,'Med Ball Library'!$B$6:$B$19,0)),"Unknown ID"))</f>
        <v/>
      </c>
      <c r="G305" s="27"/>
      <c r="H305" s="27"/>
      <c r="I305" s="27"/>
      <c r="J305" s="27"/>
      <c r="K305" s="28" t="str">
        <f aca="false">IF(COUNT(H305,I305,J305)&lt;3,"",H305*I305*J305)</f>
        <v/>
      </c>
      <c r="L305" s="27"/>
      <c r="M305" s="27"/>
      <c r="N305" s="27"/>
      <c r="O305" s="27"/>
      <c r="P305" s="27"/>
    </row>
    <row r="306" customFormat="false" ht="15" hidden="false" customHeight="false" outlineLevel="0" collapsed="false">
      <c r="B306" s="26"/>
      <c r="C306" s="27"/>
      <c r="D306" s="28" t="str">
        <f aca="false">IF(C306="","",IFERROR(INDEX(Players!$C$5:$C$104,MATCH(C306,Players!$B$5:$B$104,0)),"ID not found"))</f>
        <v/>
      </c>
      <c r="E306" s="27"/>
      <c r="F306" s="28" t="str">
        <f aca="false">IF(E306="","",IFERROR(INDEX('Med Ball Library'!$C$6:$C$19,MATCH(E306,'Med Ball Library'!$B$6:$B$19,0)),"Unknown ID"))</f>
        <v/>
      </c>
      <c r="G306" s="27"/>
      <c r="H306" s="27"/>
      <c r="I306" s="27"/>
      <c r="J306" s="27"/>
      <c r="K306" s="28" t="str">
        <f aca="false">IF(COUNT(H306,I306,J306)&lt;3,"",H306*I306*J306)</f>
        <v/>
      </c>
      <c r="L306" s="27"/>
      <c r="M306" s="27"/>
      <c r="N306" s="27"/>
      <c r="O306" s="27"/>
      <c r="P306" s="27"/>
    </row>
    <row r="307" customFormat="false" ht="15" hidden="false" customHeight="false" outlineLevel="0" collapsed="false">
      <c r="B307" s="26"/>
      <c r="C307" s="27"/>
      <c r="D307" s="28" t="str">
        <f aca="false">IF(C307="","",IFERROR(INDEX(Players!$C$5:$C$104,MATCH(C307,Players!$B$5:$B$104,0)),"ID not found"))</f>
        <v/>
      </c>
      <c r="E307" s="27"/>
      <c r="F307" s="28" t="str">
        <f aca="false">IF(E307="","",IFERROR(INDEX('Med Ball Library'!$C$6:$C$19,MATCH(E307,'Med Ball Library'!$B$6:$B$19,0)),"Unknown ID"))</f>
        <v/>
      </c>
      <c r="G307" s="27"/>
      <c r="H307" s="27"/>
      <c r="I307" s="27"/>
      <c r="J307" s="27"/>
      <c r="K307" s="28" t="str">
        <f aca="false">IF(COUNT(H307,I307,J307)&lt;3,"",H307*I307*J307)</f>
        <v/>
      </c>
      <c r="L307" s="27"/>
      <c r="M307" s="27"/>
      <c r="N307" s="27"/>
      <c r="O307" s="27"/>
      <c r="P307" s="27"/>
    </row>
    <row r="308" customFormat="false" ht="15" hidden="false" customHeight="false" outlineLevel="0" collapsed="false">
      <c r="B308" s="26"/>
      <c r="C308" s="27"/>
      <c r="D308" s="28" t="str">
        <f aca="false">IF(C308="","",IFERROR(INDEX(Players!$C$5:$C$104,MATCH(C308,Players!$B$5:$B$104,0)),"ID not found"))</f>
        <v/>
      </c>
      <c r="E308" s="27"/>
      <c r="F308" s="28" t="str">
        <f aca="false">IF(E308="","",IFERROR(INDEX('Med Ball Library'!$C$6:$C$19,MATCH(E308,'Med Ball Library'!$B$6:$B$19,0)),"Unknown ID"))</f>
        <v/>
      </c>
      <c r="G308" s="27"/>
      <c r="H308" s="27"/>
      <c r="I308" s="27"/>
      <c r="J308" s="27"/>
      <c r="K308" s="28" t="str">
        <f aca="false">IF(COUNT(H308,I308,J308)&lt;3,"",H308*I308*J308)</f>
        <v/>
      </c>
      <c r="L308" s="27"/>
      <c r="M308" s="27"/>
      <c r="N308" s="27"/>
      <c r="O308" s="27"/>
      <c r="P308" s="27"/>
    </row>
    <row r="309" customFormat="false" ht="15" hidden="false" customHeight="false" outlineLevel="0" collapsed="false">
      <c r="B309" s="26"/>
      <c r="C309" s="27"/>
      <c r="D309" s="28" t="str">
        <f aca="false">IF(C309="","",IFERROR(INDEX(Players!$C$5:$C$104,MATCH(C309,Players!$B$5:$B$104,0)),"ID not found"))</f>
        <v/>
      </c>
      <c r="E309" s="27"/>
      <c r="F309" s="28" t="str">
        <f aca="false">IF(E309="","",IFERROR(INDEX('Med Ball Library'!$C$6:$C$19,MATCH(E309,'Med Ball Library'!$B$6:$B$19,0)),"Unknown ID"))</f>
        <v/>
      </c>
      <c r="G309" s="27"/>
      <c r="H309" s="27"/>
      <c r="I309" s="27"/>
      <c r="J309" s="27"/>
      <c r="K309" s="28" t="str">
        <f aca="false">IF(COUNT(H309,I309,J309)&lt;3,"",H309*I309*J309)</f>
        <v/>
      </c>
      <c r="L309" s="27"/>
      <c r="M309" s="27"/>
      <c r="N309" s="27"/>
      <c r="O309" s="27"/>
      <c r="P309" s="27"/>
    </row>
    <row r="310" customFormat="false" ht="15" hidden="false" customHeight="false" outlineLevel="0" collapsed="false">
      <c r="B310" s="26"/>
      <c r="C310" s="27"/>
      <c r="D310" s="28" t="str">
        <f aca="false">IF(C310="","",IFERROR(INDEX(Players!$C$5:$C$104,MATCH(C310,Players!$B$5:$B$104,0)),"ID not found"))</f>
        <v/>
      </c>
      <c r="E310" s="27"/>
      <c r="F310" s="28" t="str">
        <f aca="false">IF(E310="","",IFERROR(INDEX('Med Ball Library'!$C$6:$C$19,MATCH(E310,'Med Ball Library'!$B$6:$B$19,0)),"Unknown ID"))</f>
        <v/>
      </c>
      <c r="G310" s="27"/>
      <c r="H310" s="27"/>
      <c r="I310" s="27"/>
      <c r="J310" s="27"/>
      <c r="K310" s="28" t="str">
        <f aca="false">IF(COUNT(H310,I310,J310)&lt;3,"",H310*I310*J310)</f>
        <v/>
      </c>
      <c r="L310" s="27"/>
      <c r="M310" s="27"/>
      <c r="N310" s="27"/>
      <c r="O310" s="27"/>
      <c r="P310" s="27"/>
    </row>
    <row r="311" customFormat="false" ht="15" hidden="false" customHeight="false" outlineLevel="0" collapsed="false">
      <c r="B311" s="26"/>
      <c r="C311" s="27"/>
      <c r="D311" s="28" t="str">
        <f aca="false">IF(C311="","",IFERROR(INDEX(Players!$C$5:$C$104,MATCH(C311,Players!$B$5:$B$104,0)),"ID not found"))</f>
        <v/>
      </c>
      <c r="E311" s="27"/>
      <c r="F311" s="28" t="str">
        <f aca="false">IF(E311="","",IFERROR(INDEX('Med Ball Library'!$C$6:$C$19,MATCH(E311,'Med Ball Library'!$B$6:$B$19,0)),"Unknown ID"))</f>
        <v/>
      </c>
      <c r="G311" s="27"/>
      <c r="H311" s="27"/>
      <c r="I311" s="27"/>
      <c r="J311" s="27"/>
      <c r="K311" s="28" t="str">
        <f aca="false">IF(COUNT(H311,I311,J311)&lt;3,"",H311*I311*J311)</f>
        <v/>
      </c>
      <c r="L311" s="27"/>
      <c r="M311" s="27"/>
      <c r="N311" s="27"/>
      <c r="O311" s="27"/>
      <c r="P311" s="27"/>
    </row>
    <row r="312" customFormat="false" ht="15" hidden="false" customHeight="false" outlineLevel="0" collapsed="false">
      <c r="B312" s="26"/>
      <c r="C312" s="27"/>
      <c r="D312" s="28" t="str">
        <f aca="false">IF(C312="","",IFERROR(INDEX(Players!$C$5:$C$104,MATCH(C312,Players!$B$5:$B$104,0)),"ID not found"))</f>
        <v/>
      </c>
      <c r="E312" s="27"/>
      <c r="F312" s="28" t="str">
        <f aca="false">IF(E312="","",IFERROR(INDEX('Med Ball Library'!$C$6:$C$19,MATCH(E312,'Med Ball Library'!$B$6:$B$19,0)),"Unknown ID"))</f>
        <v/>
      </c>
      <c r="G312" s="27"/>
      <c r="H312" s="27"/>
      <c r="I312" s="27"/>
      <c r="J312" s="27"/>
      <c r="K312" s="28" t="str">
        <f aca="false">IF(COUNT(H312,I312,J312)&lt;3,"",H312*I312*J312)</f>
        <v/>
      </c>
      <c r="L312" s="27"/>
      <c r="M312" s="27"/>
      <c r="N312" s="27"/>
      <c r="O312" s="27"/>
      <c r="P312" s="27"/>
    </row>
    <row r="313" customFormat="false" ht="15" hidden="false" customHeight="false" outlineLevel="0" collapsed="false">
      <c r="B313" s="26"/>
      <c r="C313" s="27"/>
      <c r="D313" s="28" t="str">
        <f aca="false">IF(C313="","",IFERROR(INDEX(Players!$C$5:$C$104,MATCH(C313,Players!$B$5:$B$104,0)),"ID not found"))</f>
        <v/>
      </c>
      <c r="E313" s="27"/>
      <c r="F313" s="28" t="str">
        <f aca="false">IF(E313="","",IFERROR(INDEX('Med Ball Library'!$C$6:$C$19,MATCH(E313,'Med Ball Library'!$B$6:$B$19,0)),"Unknown ID"))</f>
        <v/>
      </c>
      <c r="G313" s="27"/>
      <c r="H313" s="27"/>
      <c r="I313" s="27"/>
      <c r="J313" s="27"/>
      <c r="K313" s="28" t="str">
        <f aca="false">IF(COUNT(H313,I313,J313)&lt;3,"",H313*I313*J313)</f>
        <v/>
      </c>
      <c r="L313" s="27"/>
      <c r="M313" s="27"/>
      <c r="N313" s="27"/>
      <c r="O313" s="27"/>
      <c r="P313" s="27"/>
    </row>
    <row r="314" customFormat="false" ht="15" hidden="false" customHeight="false" outlineLevel="0" collapsed="false">
      <c r="B314" s="26"/>
      <c r="C314" s="27"/>
      <c r="D314" s="28" t="str">
        <f aca="false">IF(C314="","",IFERROR(INDEX(Players!$C$5:$C$104,MATCH(C314,Players!$B$5:$B$104,0)),"ID not found"))</f>
        <v/>
      </c>
      <c r="E314" s="27"/>
      <c r="F314" s="28" t="str">
        <f aca="false">IF(E314="","",IFERROR(INDEX('Med Ball Library'!$C$6:$C$19,MATCH(E314,'Med Ball Library'!$B$6:$B$19,0)),"Unknown ID"))</f>
        <v/>
      </c>
      <c r="G314" s="27"/>
      <c r="H314" s="27"/>
      <c r="I314" s="27"/>
      <c r="J314" s="27"/>
      <c r="K314" s="28" t="str">
        <f aca="false">IF(COUNT(H314,I314,J314)&lt;3,"",H314*I314*J314)</f>
        <v/>
      </c>
      <c r="L314" s="27"/>
      <c r="M314" s="27"/>
      <c r="N314" s="27"/>
      <c r="O314" s="27"/>
      <c r="P314" s="27"/>
    </row>
    <row r="315" customFormat="false" ht="15" hidden="false" customHeight="false" outlineLevel="0" collapsed="false">
      <c r="B315" s="26"/>
      <c r="C315" s="27"/>
      <c r="D315" s="28" t="str">
        <f aca="false">IF(C315="","",IFERROR(INDEX(Players!$C$5:$C$104,MATCH(C315,Players!$B$5:$B$104,0)),"ID not found"))</f>
        <v/>
      </c>
      <c r="E315" s="27"/>
      <c r="F315" s="28" t="str">
        <f aca="false">IF(E315="","",IFERROR(INDEX('Med Ball Library'!$C$6:$C$19,MATCH(E315,'Med Ball Library'!$B$6:$B$19,0)),"Unknown ID"))</f>
        <v/>
      </c>
      <c r="G315" s="27"/>
      <c r="H315" s="27"/>
      <c r="I315" s="27"/>
      <c r="J315" s="27"/>
      <c r="K315" s="28" t="str">
        <f aca="false">IF(COUNT(H315,I315,J315)&lt;3,"",H315*I315*J315)</f>
        <v/>
      </c>
      <c r="L315" s="27"/>
      <c r="M315" s="27"/>
      <c r="N315" s="27"/>
      <c r="O315" s="27"/>
      <c r="P315" s="27"/>
    </row>
    <row r="316" customFormat="false" ht="15" hidden="false" customHeight="false" outlineLevel="0" collapsed="false">
      <c r="B316" s="26"/>
      <c r="C316" s="27"/>
      <c r="D316" s="28" t="str">
        <f aca="false">IF(C316="","",IFERROR(INDEX(Players!$C$5:$C$104,MATCH(C316,Players!$B$5:$B$104,0)),"ID not found"))</f>
        <v/>
      </c>
      <c r="E316" s="27"/>
      <c r="F316" s="28" t="str">
        <f aca="false">IF(E316="","",IFERROR(INDEX('Med Ball Library'!$C$6:$C$19,MATCH(E316,'Med Ball Library'!$B$6:$B$19,0)),"Unknown ID"))</f>
        <v/>
      </c>
      <c r="G316" s="27"/>
      <c r="H316" s="27"/>
      <c r="I316" s="27"/>
      <c r="J316" s="27"/>
      <c r="K316" s="28" t="str">
        <f aca="false">IF(COUNT(H316,I316,J316)&lt;3,"",H316*I316*J316)</f>
        <v/>
      </c>
      <c r="L316" s="27"/>
      <c r="M316" s="27"/>
      <c r="N316" s="27"/>
      <c r="O316" s="27"/>
      <c r="P316" s="27"/>
    </row>
    <row r="317" customFormat="false" ht="15" hidden="false" customHeight="false" outlineLevel="0" collapsed="false">
      <c r="B317" s="26"/>
      <c r="C317" s="27"/>
      <c r="D317" s="28" t="str">
        <f aca="false">IF(C317="","",IFERROR(INDEX(Players!$C$5:$C$104,MATCH(C317,Players!$B$5:$B$104,0)),"ID not found"))</f>
        <v/>
      </c>
      <c r="E317" s="27"/>
      <c r="F317" s="28" t="str">
        <f aca="false">IF(E317="","",IFERROR(INDEX('Med Ball Library'!$C$6:$C$19,MATCH(E317,'Med Ball Library'!$B$6:$B$19,0)),"Unknown ID"))</f>
        <v/>
      </c>
      <c r="G317" s="27"/>
      <c r="H317" s="27"/>
      <c r="I317" s="27"/>
      <c r="J317" s="27"/>
      <c r="K317" s="28" t="str">
        <f aca="false">IF(COUNT(H317,I317,J317)&lt;3,"",H317*I317*J317)</f>
        <v/>
      </c>
      <c r="L317" s="27"/>
      <c r="M317" s="27"/>
      <c r="N317" s="27"/>
      <c r="O317" s="27"/>
      <c r="P317" s="27"/>
    </row>
    <row r="318" customFormat="false" ht="15" hidden="false" customHeight="false" outlineLevel="0" collapsed="false">
      <c r="B318" s="26"/>
      <c r="C318" s="27"/>
      <c r="D318" s="28" t="str">
        <f aca="false">IF(C318="","",IFERROR(INDEX(Players!$C$5:$C$104,MATCH(C318,Players!$B$5:$B$104,0)),"ID not found"))</f>
        <v/>
      </c>
      <c r="E318" s="27"/>
      <c r="F318" s="28" t="str">
        <f aca="false">IF(E318="","",IFERROR(INDEX('Med Ball Library'!$C$6:$C$19,MATCH(E318,'Med Ball Library'!$B$6:$B$19,0)),"Unknown ID"))</f>
        <v/>
      </c>
      <c r="G318" s="27"/>
      <c r="H318" s="27"/>
      <c r="I318" s="27"/>
      <c r="J318" s="27"/>
      <c r="K318" s="28" t="str">
        <f aca="false">IF(COUNT(H318,I318,J318)&lt;3,"",H318*I318*J318)</f>
        <v/>
      </c>
      <c r="L318" s="27"/>
      <c r="M318" s="27"/>
      <c r="N318" s="27"/>
      <c r="O318" s="27"/>
      <c r="P318" s="27"/>
    </row>
    <row r="319" customFormat="false" ht="15" hidden="false" customHeight="false" outlineLevel="0" collapsed="false">
      <c r="B319" s="26"/>
      <c r="C319" s="27"/>
      <c r="D319" s="28" t="str">
        <f aca="false">IF(C319="","",IFERROR(INDEX(Players!$C$5:$C$104,MATCH(C319,Players!$B$5:$B$104,0)),"ID not found"))</f>
        <v/>
      </c>
      <c r="E319" s="27"/>
      <c r="F319" s="28" t="str">
        <f aca="false">IF(E319="","",IFERROR(INDEX('Med Ball Library'!$C$6:$C$19,MATCH(E319,'Med Ball Library'!$B$6:$B$19,0)),"Unknown ID"))</f>
        <v/>
      </c>
      <c r="G319" s="27"/>
      <c r="H319" s="27"/>
      <c r="I319" s="27"/>
      <c r="J319" s="27"/>
      <c r="K319" s="28" t="str">
        <f aca="false">IF(COUNT(H319,I319,J319)&lt;3,"",H319*I319*J319)</f>
        <v/>
      </c>
      <c r="L319" s="27"/>
      <c r="M319" s="27"/>
      <c r="N319" s="27"/>
      <c r="O319" s="27"/>
      <c r="P319" s="27"/>
    </row>
    <row r="320" customFormat="false" ht="15" hidden="false" customHeight="false" outlineLevel="0" collapsed="false">
      <c r="B320" s="26"/>
      <c r="C320" s="27"/>
      <c r="D320" s="28" t="str">
        <f aca="false">IF(C320="","",IFERROR(INDEX(Players!$C$5:$C$104,MATCH(C320,Players!$B$5:$B$104,0)),"ID not found"))</f>
        <v/>
      </c>
      <c r="E320" s="27"/>
      <c r="F320" s="28" t="str">
        <f aca="false">IF(E320="","",IFERROR(INDEX('Med Ball Library'!$C$6:$C$19,MATCH(E320,'Med Ball Library'!$B$6:$B$19,0)),"Unknown ID"))</f>
        <v/>
      </c>
      <c r="G320" s="27"/>
      <c r="H320" s="27"/>
      <c r="I320" s="27"/>
      <c r="J320" s="27"/>
      <c r="K320" s="28" t="str">
        <f aca="false">IF(COUNT(H320,I320,J320)&lt;3,"",H320*I320*J320)</f>
        <v/>
      </c>
      <c r="L320" s="27"/>
      <c r="M320" s="27"/>
      <c r="N320" s="27"/>
      <c r="O320" s="27"/>
      <c r="P320" s="27"/>
    </row>
    <row r="321" customFormat="false" ht="15" hidden="false" customHeight="false" outlineLevel="0" collapsed="false">
      <c r="B321" s="26"/>
      <c r="C321" s="27"/>
      <c r="D321" s="28" t="str">
        <f aca="false">IF(C321="","",IFERROR(INDEX(Players!$C$5:$C$104,MATCH(C321,Players!$B$5:$B$104,0)),"ID not found"))</f>
        <v/>
      </c>
      <c r="E321" s="27"/>
      <c r="F321" s="28" t="str">
        <f aca="false">IF(E321="","",IFERROR(INDEX('Med Ball Library'!$C$6:$C$19,MATCH(E321,'Med Ball Library'!$B$6:$B$19,0)),"Unknown ID"))</f>
        <v/>
      </c>
      <c r="G321" s="27"/>
      <c r="H321" s="27"/>
      <c r="I321" s="27"/>
      <c r="J321" s="27"/>
      <c r="K321" s="28" t="str">
        <f aca="false">IF(COUNT(H321,I321,J321)&lt;3,"",H321*I321*J321)</f>
        <v/>
      </c>
      <c r="L321" s="27"/>
      <c r="M321" s="27"/>
      <c r="N321" s="27"/>
      <c r="O321" s="27"/>
      <c r="P321" s="27"/>
    </row>
    <row r="322" customFormat="false" ht="15" hidden="false" customHeight="false" outlineLevel="0" collapsed="false">
      <c r="B322" s="26"/>
      <c r="C322" s="27"/>
      <c r="D322" s="28" t="str">
        <f aca="false">IF(C322="","",IFERROR(INDEX(Players!$C$5:$C$104,MATCH(C322,Players!$B$5:$B$104,0)),"ID not found"))</f>
        <v/>
      </c>
      <c r="E322" s="27"/>
      <c r="F322" s="28" t="str">
        <f aca="false">IF(E322="","",IFERROR(INDEX('Med Ball Library'!$C$6:$C$19,MATCH(E322,'Med Ball Library'!$B$6:$B$19,0)),"Unknown ID"))</f>
        <v/>
      </c>
      <c r="G322" s="27"/>
      <c r="H322" s="27"/>
      <c r="I322" s="27"/>
      <c r="J322" s="27"/>
      <c r="K322" s="28" t="str">
        <f aca="false">IF(COUNT(H322,I322,J322)&lt;3,"",H322*I322*J322)</f>
        <v/>
      </c>
      <c r="L322" s="27"/>
      <c r="M322" s="27"/>
      <c r="N322" s="27"/>
      <c r="O322" s="27"/>
      <c r="P322" s="27"/>
    </row>
    <row r="323" customFormat="false" ht="15" hidden="false" customHeight="false" outlineLevel="0" collapsed="false">
      <c r="B323" s="26"/>
      <c r="C323" s="27"/>
      <c r="D323" s="28" t="str">
        <f aca="false">IF(C323="","",IFERROR(INDEX(Players!$C$5:$C$104,MATCH(C323,Players!$B$5:$B$104,0)),"ID not found"))</f>
        <v/>
      </c>
      <c r="E323" s="27"/>
      <c r="F323" s="28" t="str">
        <f aca="false">IF(E323="","",IFERROR(INDEX('Med Ball Library'!$C$6:$C$19,MATCH(E323,'Med Ball Library'!$B$6:$B$19,0)),"Unknown ID"))</f>
        <v/>
      </c>
      <c r="G323" s="27"/>
      <c r="H323" s="27"/>
      <c r="I323" s="27"/>
      <c r="J323" s="27"/>
      <c r="K323" s="28" t="str">
        <f aca="false">IF(COUNT(H323,I323,J323)&lt;3,"",H323*I323*J323)</f>
        <v/>
      </c>
      <c r="L323" s="27"/>
      <c r="M323" s="27"/>
      <c r="N323" s="27"/>
      <c r="O323" s="27"/>
      <c r="P323" s="27"/>
    </row>
    <row r="324" customFormat="false" ht="15" hidden="false" customHeight="false" outlineLevel="0" collapsed="false">
      <c r="B324" s="26"/>
      <c r="C324" s="27"/>
      <c r="D324" s="28" t="str">
        <f aca="false">IF(C324="","",IFERROR(INDEX(Players!$C$5:$C$104,MATCH(C324,Players!$B$5:$B$104,0)),"ID not found"))</f>
        <v/>
      </c>
      <c r="E324" s="27"/>
      <c r="F324" s="28" t="str">
        <f aca="false">IF(E324="","",IFERROR(INDEX('Med Ball Library'!$C$6:$C$19,MATCH(E324,'Med Ball Library'!$B$6:$B$19,0)),"Unknown ID"))</f>
        <v/>
      </c>
      <c r="G324" s="27"/>
      <c r="H324" s="27"/>
      <c r="I324" s="27"/>
      <c r="J324" s="27"/>
      <c r="K324" s="28" t="str">
        <f aca="false">IF(COUNT(H324,I324,J324)&lt;3,"",H324*I324*J324)</f>
        <v/>
      </c>
      <c r="L324" s="27"/>
      <c r="M324" s="27"/>
      <c r="N324" s="27"/>
      <c r="O324" s="27"/>
      <c r="P324" s="27"/>
    </row>
    <row r="325" customFormat="false" ht="15" hidden="false" customHeight="false" outlineLevel="0" collapsed="false">
      <c r="B325" s="26"/>
      <c r="C325" s="27"/>
      <c r="D325" s="28" t="str">
        <f aca="false">IF(C325="","",IFERROR(INDEX(Players!$C$5:$C$104,MATCH(C325,Players!$B$5:$B$104,0)),"ID not found"))</f>
        <v/>
      </c>
      <c r="E325" s="27"/>
      <c r="F325" s="28" t="str">
        <f aca="false">IF(E325="","",IFERROR(INDEX('Med Ball Library'!$C$6:$C$19,MATCH(E325,'Med Ball Library'!$B$6:$B$19,0)),"Unknown ID"))</f>
        <v/>
      </c>
      <c r="G325" s="27"/>
      <c r="H325" s="27"/>
      <c r="I325" s="27"/>
      <c r="J325" s="27"/>
      <c r="K325" s="28" t="str">
        <f aca="false">IF(COUNT(H325,I325,J325)&lt;3,"",H325*I325*J325)</f>
        <v/>
      </c>
      <c r="L325" s="27"/>
      <c r="M325" s="27"/>
      <c r="N325" s="27"/>
      <c r="O325" s="27"/>
      <c r="P325" s="27"/>
    </row>
    <row r="326" customFormat="false" ht="15" hidden="false" customHeight="false" outlineLevel="0" collapsed="false">
      <c r="B326" s="26"/>
      <c r="C326" s="27"/>
      <c r="D326" s="28" t="str">
        <f aca="false">IF(C326="","",IFERROR(INDEX(Players!$C$5:$C$104,MATCH(C326,Players!$B$5:$B$104,0)),"ID not found"))</f>
        <v/>
      </c>
      <c r="E326" s="27"/>
      <c r="F326" s="28" t="str">
        <f aca="false">IF(E326="","",IFERROR(INDEX('Med Ball Library'!$C$6:$C$19,MATCH(E326,'Med Ball Library'!$B$6:$B$19,0)),"Unknown ID"))</f>
        <v/>
      </c>
      <c r="G326" s="27"/>
      <c r="H326" s="27"/>
      <c r="I326" s="27"/>
      <c r="J326" s="27"/>
      <c r="K326" s="28" t="str">
        <f aca="false">IF(COUNT(H326,I326,J326)&lt;3,"",H326*I326*J326)</f>
        <v/>
      </c>
      <c r="L326" s="27"/>
      <c r="M326" s="27"/>
      <c r="N326" s="27"/>
      <c r="O326" s="27"/>
      <c r="P326" s="27"/>
    </row>
    <row r="327" customFormat="false" ht="15" hidden="false" customHeight="false" outlineLevel="0" collapsed="false">
      <c r="B327" s="26"/>
      <c r="C327" s="27"/>
      <c r="D327" s="28" t="str">
        <f aca="false">IF(C327="","",IFERROR(INDEX(Players!$C$5:$C$104,MATCH(C327,Players!$B$5:$B$104,0)),"ID not found"))</f>
        <v/>
      </c>
      <c r="E327" s="27"/>
      <c r="F327" s="28" t="str">
        <f aca="false">IF(E327="","",IFERROR(INDEX('Med Ball Library'!$C$6:$C$19,MATCH(E327,'Med Ball Library'!$B$6:$B$19,0)),"Unknown ID"))</f>
        <v/>
      </c>
      <c r="G327" s="27"/>
      <c r="H327" s="27"/>
      <c r="I327" s="27"/>
      <c r="J327" s="27"/>
      <c r="K327" s="28" t="str">
        <f aca="false">IF(COUNT(H327,I327,J327)&lt;3,"",H327*I327*J327)</f>
        <v/>
      </c>
      <c r="L327" s="27"/>
      <c r="M327" s="27"/>
      <c r="N327" s="27"/>
      <c r="O327" s="27"/>
      <c r="P327" s="27"/>
    </row>
    <row r="328" customFormat="false" ht="15" hidden="false" customHeight="false" outlineLevel="0" collapsed="false">
      <c r="B328" s="26"/>
      <c r="C328" s="27"/>
      <c r="D328" s="28" t="str">
        <f aca="false">IF(C328="","",IFERROR(INDEX(Players!$C$5:$C$104,MATCH(C328,Players!$B$5:$B$104,0)),"ID not found"))</f>
        <v/>
      </c>
      <c r="E328" s="27"/>
      <c r="F328" s="28" t="str">
        <f aca="false">IF(E328="","",IFERROR(INDEX('Med Ball Library'!$C$6:$C$19,MATCH(E328,'Med Ball Library'!$B$6:$B$19,0)),"Unknown ID"))</f>
        <v/>
      </c>
      <c r="G328" s="27"/>
      <c r="H328" s="27"/>
      <c r="I328" s="27"/>
      <c r="J328" s="27"/>
      <c r="K328" s="28" t="str">
        <f aca="false">IF(COUNT(H328,I328,J328)&lt;3,"",H328*I328*J328)</f>
        <v/>
      </c>
      <c r="L328" s="27"/>
      <c r="M328" s="27"/>
      <c r="N328" s="27"/>
      <c r="O328" s="27"/>
      <c r="P328" s="27"/>
    </row>
    <row r="329" customFormat="false" ht="15" hidden="false" customHeight="false" outlineLevel="0" collapsed="false">
      <c r="B329" s="26"/>
      <c r="C329" s="27"/>
      <c r="D329" s="28" t="str">
        <f aca="false">IF(C329="","",IFERROR(INDEX(Players!$C$5:$C$104,MATCH(C329,Players!$B$5:$B$104,0)),"ID not found"))</f>
        <v/>
      </c>
      <c r="E329" s="27"/>
      <c r="F329" s="28" t="str">
        <f aca="false">IF(E329="","",IFERROR(INDEX('Med Ball Library'!$C$6:$C$19,MATCH(E329,'Med Ball Library'!$B$6:$B$19,0)),"Unknown ID"))</f>
        <v/>
      </c>
      <c r="G329" s="27"/>
      <c r="H329" s="27"/>
      <c r="I329" s="27"/>
      <c r="J329" s="27"/>
      <c r="K329" s="28" t="str">
        <f aca="false">IF(COUNT(H329,I329,J329)&lt;3,"",H329*I329*J329)</f>
        <v/>
      </c>
      <c r="L329" s="27"/>
      <c r="M329" s="27"/>
      <c r="N329" s="27"/>
      <c r="O329" s="27"/>
      <c r="P329" s="27"/>
    </row>
    <row r="330" customFormat="false" ht="15" hidden="false" customHeight="false" outlineLevel="0" collapsed="false">
      <c r="B330" s="26"/>
      <c r="C330" s="27"/>
      <c r="D330" s="28" t="str">
        <f aca="false">IF(C330="","",IFERROR(INDEX(Players!$C$5:$C$104,MATCH(C330,Players!$B$5:$B$104,0)),"ID not found"))</f>
        <v/>
      </c>
      <c r="E330" s="27"/>
      <c r="F330" s="28" t="str">
        <f aca="false">IF(E330="","",IFERROR(INDEX('Med Ball Library'!$C$6:$C$19,MATCH(E330,'Med Ball Library'!$B$6:$B$19,0)),"Unknown ID"))</f>
        <v/>
      </c>
      <c r="G330" s="27"/>
      <c r="H330" s="27"/>
      <c r="I330" s="27"/>
      <c r="J330" s="27"/>
      <c r="K330" s="28" t="str">
        <f aca="false">IF(COUNT(H330,I330,J330)&lt;3,"",H330*I330*J330)</f>
        <v/>
      </c>
      <c r="L330" s="27"/>
      <c r="M330" s="27"/>
      <c r="N330" s="27"/>
      <c r="O330" s="27"/>
      <c r="P330" s="27"/>
    </row>
    <row r="331" customFormat="false" ht="15" hidden="false" customHeight="false" outlineLevel="0" collapsed="false">
      <c r="B331" s="26"/>
      <c r="C331" s="27"/>
      <c r="D331" s="28" t="str">
        <f aca="false">IF(C331="","",IFERROR(INDEX(Players!$C$5:$C$104,MATCH(C331,Players!$B$5:$B$104,0)),"ID not found"))</f>
        <v/>
      </c>
      <c r="E331" s="27"/>
      <c r="F331" s="28" t="str">
        <f aca="false">IF(E331="","",IFERROR(INDEX('Med Ball Library'!$C$6:$C$19,MATCH(E331,'Med Ball Library'!$B$6:$B$19,0)),"Unknown ID"))</f>
        <v/>
      </c>
      <c r="G331" s="27"/>
      <c r="H331" s="27"/>
      <c r="I331" s="27"/>
      <c r="J331" s="27"/>
      <c r="K331" s="28" t="str">
        <f aca="false">IF(COUNT(H331,I331,J331)&lt;3,"",H331*I331*J331)</f>
        <v/>
      </c>
      <c r="L331" s="27"/>
      <c r="M331" s="27"/>
      <c r="N331" s="27"/>
      <c r="O331" s="27"/>
      <c r="P331" s="27"/>
    </row>
    <row r="332" customFormat="false" ht="15" hidden="false" customHeight="false" outlineLevel="0" collapsed="false">
      <c r="B332" s="26"/>
      <c r="C332" s="27"/>
      <c r="D332" s="28" t="str">
        <f aca="false">IF(C332="","",IFERROR(INDEX(Players!$C$5:$C$104,MATCH(C332,Players!$B$5:$B$104,0)),"ID not found"))</f>
        <v/>
      </c>
      <c r="E332" s="27"/>
      <c r="F332" s="28" t="str">
        <f aca="false">IF(E332="","",IFERROR(INDEX('Med Ball Library'!$C$6:$C$19,MATCH(E332,'Med Ball Library'!$B$6:$B$19,0)),"Unknown ID"))</f>
        <v/>
      </c>
      <c r="G332" s="27"/>
      <c r="H332" s="27"/>
      <c r="I332" s="27"/>
      <c r="J332" s="27"/>
      <c r="K332" s="28" t="str">
        <f aca="false">IF(COUNT(H332,I332,J332)&lt;3,"",H332*I332*J332)</f>
        <v/>
      </c>
      <c r="L332" s="27"/>
      <c r="M332" s="27"/>
      <c r="N332" s="27"/>
      <c r="O332" s="27"/>
      <c r="P332" s="27"/>
    </row>
    <row r="333" customFormat="false" ht="15" hidden="false" customHeight="false" outlineLevel="0" collapsed="false">
      <c r="B333" s="26"/>
      <c r="C333" s="27"/>
      <c r="D333" s="28" t="str">
        <f aca="false">IF(C333="","",IFERROR(INDEX(Players!$C$5:$C$104,MATCH(C333,Players!$B$5:$B$104,0)),"ID not found"))</f>
        <v/>
      </c>
      <c r="E333" s="27"/>
      <c r="F333" s="28" t="str">
        <f aca="false">IF(E333="","",IFERROR(INDEX('Med Ball Library'!$C$6:$C$19,MATCH(E333,'Med Ball Library'!$B$6:$B$19,0)),"Unknown ID"))</f>
        <v/>
      </c>
      <c r="G333" s="27"/>
      <c r="H333" s="27"/>
      <c r="I333" s="27"/>
      <c r="J333" s="27"/>
      <c r="K333" s="28" t="str">
        <f aca="false">IF(COUNT(H333,I333,J333)&lt;3,"",H333*I333*J333)</f>
        <v/>
      </c>
      <c r="L333" s="27"/>
      <c r="M333" s="27"/>
      <c r="N333" s="27"/>
      <c r="O333" s="27"/>
      <c r="P333" s="27"/>
    </row>
    <row r="334" customFormat="false" ht="15" hidden="false" customHeight="false" outlineLevel="0" collapsed="false">
      <c r="B334" s="26"/>
      <c r="C334" s="27"/>
      <c r="D334" s="28" t="str">
        <f aca="false">IF(C334="","",IFERROR(INDEX(Players!$C$5:$C$104,MATCH(C334,Players!$B$5:$B$104,0)),"ID not found"))</f>
        <v/>
      </c>
      <c r="E334" s="27"/>
      <c r="F334" s="28" t="str">
        <f aca="false">IF(E334="","",IFERROR(INDEX('Med Ball Library'!$C$6:$C$19,MATCH(E334,'Med Ball Library'!$B$6:$B$19,0)),"Unknown ID"))</f>
        <v/>
      </c>
      <c r="G334" s="27"/>
      <c r="H334" s="27"/>
      <c r="I334" s="27"/>
      <c r="J334" s="27"/>
      <c r="K334" s="28" t="str">
        <f aca="false">IF(COUNT(H334,I334,J334)&lt;3,"",H334*I334*J334)</f>
        <v/>
      </c>
      <c r="L334" s="27"/>
      <c r="M334" s="27"/>
      <c r="N334" s="27"/>
      <c r="O334" s="27"/>
      <c r="P334" s="27"/>
    </row>
    <row r="335" customFormat="false" ht="15" hidden="false" customHeight="false" outlineLevel="0" collapsed="false">
      <c r="B335" s="26"/>
      <c r="C335" s="27"/>
      <c r="D335" s="28" t="str">
        <f aca="false">IF(C335="","",IFERROR(INDEX(Players!$C$5:$C$104,MATCH(C335,Players!$B$5:$B$104,0)),"ID not found"))</f>
        <v/>
      </c>
      <c r="E335" s="27"/>
      <c r="F335" s="28" t="str">
        <f aca="false">IF(E335="","",IFERROR(INDEX('Med Ball Library'!$C$6:$C$19,MATCH(E335,'Med Ball Library'!$B$6:$B$19,0)),"Unknown ID"))</f>
        <v/>
      </c>
      <c r="G335" s="27"/>
      <c r="H335" s="27"/>
      <c r="I335" s="27"/>
      <c r="J335" s="27"/>
      <c r="K335" s="28" t="str">
        <f aca="false">IF(COUNT(H335,I335,J335)&lt;3,"",H335*I335*J335)</f>
        <v/>
      </c>
      <c r="L335" s="27"/>
      <c r="M335" s="27"/>
      <c r="N335" s="27"/>
      <c r="O335" s="27"/>
      <c r="P335" s="27"/>
    </row>
    <row r="336" customFormat="false" ht="15" hidden="false" customHeight="false" outlineLevel="0" collapsed="false">
      <c r="B336" s="26"/>
      <c r="C336" s="27"/>
      <c r="D336" s="28" t="str">
        <f aca="false">IF(C336="","",IFERROR(INDEX(Players!$C$5:$C$104,MATCH(C336,Players!$B$5:$B$104,0)),"ID not found"))</f>
        <v/>
      </c>
      <c r="E336" s="27"/>
      <c r="F336" s="28" t="str">
        <f aca="false">IF(E336="","",IFERROR(INDEX('Med Ball Library'!$C$6:$C$19,MATCH(E336,'Med Ball Library'!$B$6:$B$19,0)),"Unknown ID"))</f>
        <v/>
      </c>
      <c r="G336" s="27"/>
      <c r="H336" s="27"/>
      <c r="I336" s="27"/>
      <c r="J336" s="27"/>
      <c r="K336" s="28" t="str">
        <f aca="false">IF(COUNT(H336,I336,J336)&lt;3,"",H336*I336*J336)</f>
        <v/>
      </c>
      <c r="L336" s="27"/>
      <c r="M336" s="27"/>
      <c r="N336" s="27"/>
      <c r="O336" s="27"/>
      <c r="P336" s="27"/>
    </row>
    <row r="337" customFormat="false" ht="15" hidden="false" customHeight="false" outlineLevel="0" collapsed="false">
      <c r="B337" s="26"/>
      <c r="C337" s="27"/>
      <c r="D337" s="28" t="str">
        <f aca="false">IF(C337="","",IFERROR(INDEX(Players!$C$5:$C$104,MATCH(C337,Players!$B$5:$B$104,0)),"ID not found"))</f>
        <v/>
      </c>
      <c r="E337" s="27"/>
      <c r="F337" s="28" t="str">
        <f aca="false">IF(E337="","",IFERROR(INDEX('Med Ball Library'!$C$6:$C$19,MATCH(E337,'Med Ball Library'!$B$6:$B$19,0)),"Unknown ID"))</f>
        <v/>
      </c>
      <c r="G337" s="27"/>
      <c r="H337" s="27"/>
      <c r="I337" s="27"/>
      <c r="J337" s="27"/>
      <c r="K337" s="28" t="str">
        <f aca="false">IF(COUNT(H337,I337,J337)&lt;3,"",H337*I337*J337)</f>
        <v/>
      </c>
      <c r="L337" s="27"/>
      <c r="M337" s="27"/>
      <c r="N337" s="27"/>
      <c r="O337" s="27"/>
      <c r="P337" s="27"/>
    </row>
    <row r="338" customFormat="false" ht="15" hidden="false" customHeight="false" outlineLevel="0" collapsed="false">
      <c r="B338" s="26"/>
      <c r="C338" s="27"/>
      <c r="D338" s="28" t="str">
        <f aca="false">IF(C338="","",IFERROR(INDEX(Players!$C$5:$C$104,MATCH(C338,Players!$B$5:$B$104,0)),"ID not found"))</f>
        <v/>
      </c>
      <c r="E338" s="27"/>
      <c r="F338" s="28" t="str">
        <f aca="false">IF(E338="","",IFERROR(INDEX('Med Ball Library'!$C$6:$C$19,MATCH(E338,'Med Ball Library'!$B$6:$B$19,0)),"Unknown ID"))</f>
        <v/>
      </c>
      <c r="G338" s="27"/>
      <c r="H338" s="27"/>
      <c r="I338" s="27"/>
      <c r="J338" s="27"/>
      <c r="K338" s="28" t="str">
        <f aca="false">IF(COUNT(H338,I338,J338)&lt;3,"",H338*I338*J338)</f>
        <v/>
      </c>
      <c r="L338" s="27"/>
      <c r="M338" s="27"/>
      <c r="N338" s="27"/>
      <c r="O338" s="27"/>
      <c r="P338" s="27"/>
    </row>
    <row r="339" customFormat="false" ht="15" hidden="false" customHeight="false" outlineLevel="0" collapsed="false">
      <c r="B339" s="26"/>
      <c r="C339" s="27"/>
      <c r="D339" s="28" t="str">
        <f aca="false">IF(C339="","",IFERROR(INDEX(Players!$C$5:$C$104,MATCH(C339,Players!$B$5:$B$104,0)),"ID not found"))</f>
        <v/>
      </c>
      <c r="E339" s="27"/>
      <c r="F339" s="28" t="str">
        <f aca="false">IF(E339="","",IFERROR(INDEX('Med Ball Library'!$C$6:$C$19,MATCH(E339,'Med Ball Library'!$B$6:$B$19,0)),"Unknown ID"))</f>
        <v/>
      </c>
      <c r="G339" s="27"/>
      <c r="H339" s="27"/>
      <c r="I339" s="27"/>
      <c r="J339" s="27"/>
      <c r="K339" s="28" t="str">
        <f aca="false">IF(COUNT(H339,I339,J339)&lt;3,"",H339*I339*J339)</f>
        <v/>
      </c>
      <c r="L339" s="27"/>
      <c r="M339" s="27"/>
      <c r="N339" s="27"/>
      <c r="O339" s="27"/>
      <c r="P339" s="27"/>
    </row>
    <row r="340" customFormat="false" ht="15" hidden="false" customHeight="false" outlineLevel="0" collapsed="false">
      <c r="B340" s="26"/>
      <c r="C340" s="27"/>
      <c r="D340" s="28" t="str">
        <f aca="false">IF(C340="","",IFERROR(INDEX(Players!$C$5:$C$104,MATCH(C340,Players!$B$5:$B$104,0)),"ID not found"))</f>
        <v/>
      </c>
      <c r="E340" s="27"/>
      <c r="F340" s="28" t="str">
        <f aca="false">IF(E340="","",IFERROR(INDEX('Med Ball Library'!$C$6:$C$19,MATCH(E340,'Med Ball Library'!$B$6:$B$19,0)),"Unknown ID"))</f>
        <v/>
      </c>
      <c r="G340" s="27"/>
      <c r="H340" s="27"/>
      <c r="I340" s="27"/>
      <c r="J340" s="27"/>
      <c r="K340" s="28" t="str">
        <f aca="false">IF(COUNT(H340,I340,J340)&lt;3,"",H340*I340*J340)</f>
        <v/>
      </c>
      <c r="L340" s="27"/>
      <c r="M340" s="27"/>
      <c r="N340" s="27"/>
      <c r="O340" s="27"/>
      <c r="P340" s="27"/>
    </row>
    <row r="341" customFormat="false" ht="15" hidden="false" customHeight="false" outlineLevel="0" collapsed="false">
      <c r="B341" s="26"/>
      <c r="C341" s="27"/>
      <c r="D341" s="28" t="str">
        <f aca="false">IF(C341="","",IFERROR(INDEX(Players!$C$5:$C$104,MATCH(C341,Players!$B$5:$B$104,0)),"ID not found"))</f>
        <v/>
      </c>
      <c r="E341" s="27"/>
      <c r="F341" s="28" t="str">
        <f aca="false">IF(E341="","",IFERROR(INDEX('Med Ball Library'!$C$6:$C$19,MATCH(E341,'Med Ball Library'!$B$6:$B$19,0)),"Unknown ID"))</f>
        <v/>
      </c>
      <c r="G341" s="27"/>
      <c r="H341" s="27"/>
      <c r="I341" s="27"/>
      <c r="J341" s="27"/>
      <c r="K341" s="28" t="str">
        <f aca="false">IF(COUNT(H341,I341,J341)&lt;3,"",H341*I341*J341)</f>
        <v/>
      </c>
      <c r="L341" s="27"/>
      <c r="M341" s="27"/>
      <c r="N341" s="27"/>
      <c r="O341" s="27"/>
      <c r="P341" s="27"/>
    </row>
    <row r="342" customFormat="false" ht="15" hidden="false" customHeight="false" outlineLevel="0" collapsed="false">
      <c r="B342" s="26"/>
      <c r="C342" s="27"/>
      <c r="D342" s="28" t="str">
        <f aca="false">IF(C342="","",IFERROR(INDEX(Players!$C$5:$C$104,MATCH(C342,Players!$B$5:$B$104,0)),"ID not found"))</f>
        <v/>
      </c>
      <c r="E342" s="27"/>
      <c r="F342" s="28" t="str">
        <f aca="false">IF(E342="","",IFERROR(INDEX('Med Ball Library'!$C$6:$C$19,MATCH(E342,'Med Ball Library'!$B$6:$B$19,0)),"Unknown ID"))</f>
        <v/>
      </c>
      <c r="G342" s="27"/>
      <c r="H342" s="27"/>
      <c r="I342" s="27"/>
      <c r="J342" s="27"/>
      <c r="K342" s="28" t="str">
        <f aca="false">IF(COUNT(H342,I342,J342)&lt;3,"",H342*I342*J342)</f>
        <v/>
      </c>
      <c r="L342" s="27"/>
      <c r="M342" s="27"/>
      <c r="N342" s="27"/>
      <c r="O342" s="27"/>
      <c r="P342" s="27"/>
    </row>
    <row r="343" customFormat="false" ht="15" hidden="false" customHeight="false" outlineLevel="0" collapsed="false">
      <c r="B343" s="26"/>
      <c r="C343" s="27"/>
      <c r="D343" s="28" t="str">
        <f aca="false">IF(C343="","",IFERROR(INDEX(Players!$C$5:$C$104,MATCH(C343,Players!$B$5:$B$104,0)),"ID not found"))</f>
        <v/>
      </c>
      <c r="E343" s="27"/>
      <c r="F343" s="28" t="str">
        <f aca="false">IF(E343="","",IFERROR(INDEX('Med Ball Library'!$C$6:$C$19,MATCH(E343,'Med Ball Library'!$B$6:$B$19,0)),"Unknown ID"))</f>
        <v/>
      </c>
      <c r="G343" s="27"/>
      <c r="H343" s="27"/>
      <c r="I343" s="27"/>
      <c r="J343" s="27"/>
      <c r="K343" s="28" t="str">
        <f aca="false">IF(COUNT(H343,I343,J343)&lt;3,"",H343*I343*J343)</f>
        <v/>
      </c>
      <c r="L343" s="27"/>
      <c r="M343" s="27"/>
      <c r="N343" s="27"/>
      <c r="O343" s="27"/>
      <c r="P343" s="27"/>
    </row>
    <row r="344" customFormat="false" ht="15" hidden="false" customHeight="false" outlineLevel="0" collapsed="false">
      <c r="B344" s="26"/>
      <c r="C344" s="27"/>
      <c r="D344" s="28" t="str">
        <f aca="false">IF(C344="","",IFERROR(INDEX(Players!$C$5:$C$104,MATCH(C344,Players!$B$5:$B$104,0)),"ID not found"))</f>
        <v/>
      </c>
      <c r="E344" s="27"/>
      <c r="F344" s="28" t="str">
        <f aca="false">IF(E344="","",IFERROR(INDEX('Med Ball Library'!$C$6:$C$19,MATCH(E344,'Med Ball Library'!$B$6:$B$19,0)),"Unknown ID"))</f>
        <v/>
      </c>
      <c r="G344" s="27"/>
      <c r="H344" s="27"/>
      <c r="I344" s="27"/>
      <c r="J344" s="27"/>
      <c r="K344" s="28" t="str">
        <f aca="false">IF(COUNT(H344,I344,J344)&lt;3,"",H344*I344*J344)</f>
        <v/>
      </c>
      <c r="L344" s="27"/>
      <c r="M344" s="27"/>
      <c r="N344" s="27"/>
      <c r="O344" s="27"/>
      <c r="P344" s="27"/>
    </row>
    <row r="345" customFormat="false" ht="15" hidden="false" customHeight="false" outlineLevel="0" collapsed="false">
      <c r="B345" s="26"/>
      <c r="C345" s="27"/>
      <c r="D345" s="28" t="str">
        <f aca="false">IF(C345="","",IFERROR(INDEX(Players!$C$5:$C$104,MATCH(C345,Players!$B$5:$B$104,0)),"ID not found"))</f>
        <v/>
      </c>
      <c r="E345" s="27"/>
      <c r="F345" s="28" t="str">
        <f aca="false">IF(E345="","",IFERROR(INDEX('Med Ball Library'!$C$6:$C$19,MATCH(E345,'Med Ball Library'!$B$6:$B$19,0)),"Unknown ID"))</f>
        <v/>
      </c>
      <c r="G345" s="27"/>
      <c r="H345" s="27"/>
      <c r="I345" s="27"/>
      <c r="J345" s="27"/>
      <c r="K345" s="28" t="str">
        <f aca="false">IF(COUNT(H345,I345,J345)&lt;3,"",H345*I345*J345)</f>
        <v/>
      </c>
      <c r="L345" s="27"/>
      <c r="M345" s="27"/>
      <c r="N345" s="27"/>
      <c r="O345" s="27"/>
      <c r="P345" s="27"/>
    </row>
    <row r="346" customFormat="false" ht="15" hidden="false" customHeight="false" outlineLevel="0" collapsed="false">
      <c r="B346" s="26"/>
      <c r="C346" s="27"/>
      <c r="D346" s="28" t="str">
        <f aca="false">IF(C346="","",IFERROR(INDEX(Players!$C$5:$C$104,MATCH(C346,Players!$B$5:$B$104,0)),"ID not found"))</f>
        <v/>
      </c>
      <c r="E346" s="27"/>
      <c r="F346" s="28" t="str">
        <f aca="false">IF(E346="","",IFERROR(INDEX('Med Ball Library'!$C$6:$C$19,MATCH(E346,'Med Ball Library'!$B$6:$B$19,0)),"Unknown ID"))</f>
        <v/>
      </c>
      <c r="G346" s="27"/>
      <c r="H346" s="27"/>
      <c r="I346" s="27"/>
      <c r="J346" s="27"/>
      <c r="K346" s="28" t="str">
        <f aca="false">IF(COUNT(H346,I346,J346)&lt;3,"",H346*I346*J346)</f>
        <v/>
      </c>
      <c r="L346" s="27"/>
      <c r="M346" s="27"/>
      <c r="N346" s="27"/>
      <c r="O346" s="27"/>
      <c r="P346" s="27"/>
    </row>
    <row r="347" customFormat="false" ht="15" hidden="false" customHeight="false" outlineLevel="0" collapsed="false">
      <c r="B347" s="26"/>
      <c r="C347" s="27"/>
      <c r="D347" s="28" t="str">
        <f aca="false">IF(C347="","",IFERROR(INDEX(Players!$C$5:$C$104,MATCH(C347,Players!$B$5:$B$104,0)),"ID not found"))</f>
        <v/>
      </c>
      <c r="E347" s="27"/>
      <c r="F347" s="28" t="str">
        <f aca="false">IF(E347="","",IFERROR(INDEX('Med Ball Library'!$C$6:$C$19,MATCH(E347,'Med Ball Library'!$B$6:$B$19,0)),"Unknown ID"))</f>
        <v/>
      </c>
      <c r="G347" s="27"/>
      <c r="H347" s="27"/>
      <c r="I347" s="27"/>
      <c r="J347" s="27"/>
      <c r="K347" s="28" t="str">
        <f aca="false">IF(COUNT(H347,I347,J347)&lt;3,"",H347*I347*J347)</f>
        <v/>
      </c>
      <c r="L347" s="27"/>
      <c r="M347" s="27"/>
      <c r="N347" s="27"/>
      <c r="O347" s="27"/>
      <c r="P347" s="27"/>
    </row>
    <row r="348" customFormat="false" ht="15" hidden="false" customHeight="false" outlineLevel="0" collapsed="false">
      <c r="B348" s="26"/>
      <c r="C348" s="27"/>
      <c r="D348" s="28" t="str">
        <f aca="false">IF(C348="","",IFERROR(INDEX(Players!$C$5:$C$104,MATCH(C348,Players!$B$5:$B$104,0)),"ID not found"))</f>
        <v/>
      </c>
      <c r="E348" s="27"/>
      <c r="F348" s="28" t="str">
        <f aca="false">IF(E348="","",IFERROR(INDEX('Med Ball Library'!$C$6:$C$19,MATCH(E348,'Med Ball Library'!$B$6:$B$19,0)),"Unknown ID"))</f>
        <v/>
      </c>
      <c r="G348" s="27"/>
      <c r="H348" s="27"/>
      <c r="I348" s="27"/>
      <c r="J348" s="27"/>
      <c r="K348" s="28" t="str">
        <f aca="false">IF(COUNT(H348,I348,J348)&lt;3,"",H348*I348*J348)</f>
        <v/>
      </c>
      <c r="L348" s="27"/>
      <c r="M348" s="27"/>
      <c r="N348" s="27"/>
      <c r="O348" s="27"/>
      <c r="P348" s="27"/>
    </row>
    <row r="349" customFormat="false" ht="15" hidden="false" customHeight="false" outlineLevel="0" collapsed="false">
      <c r="B349" s="26"/>
      <c r="C349" s="27"/>
      <c r="D349" s="28" t="str">
        <f aca="false">IF(C349="","",IFERROR(INDEX(Players!$C$5:$C$104,MATCH(C349,Players!$B$5:$B$104,0)),"ID not found"))</f>
        <v/>
      </c>
      <c r="E349" s="27"/>
      <c r="F349" s="28" t="str">
        <f aca="false">IF(E349="","",IFERROR(INDEX('Med Ball Library'!$C$6:$C$19,MATCH(E349,'Med Ball Library'!$B$6:$B$19,0)),"Unknown ID"))</f>
        <v/>
      </c>
      <c r="G349" s="27"/>
      <c r="H349" s="27"/>
      <c r="I349" s="27"/>
      <c r="J349" s="27"/>
      <c r="K349" s="28" t="str">
        <f aca="false">IF(COUNT(H349,I349,J349)&lt;3,"",H349*I349*J349)</f>
        <v/>
      </c>
      <c r="L349" s="27"/>
      <c r="M349" s="27"/>
      <c r="N349" s="27"/>
      <c r="O349" s="27"/>
      <c r="P349" s="27"/>
    </row>
    <row r="350" customFormat="false" ht="15" hidden="false" customHeight="false" outlineLevel="0" collapsed="false">
      <c r="B350" s="26"/>
      <c r="C350" s="27"/>
      <c r="D350" s="28" t="str">
        <f aca="false">IF(C350="","",IFERROR(INDEX(Players!$C$5:$C$104,MATCH(C350,Players!$B$5:$B$104,0)),"ID not found"))</f>
        <v/>
      </c>
      <c r="E350" s="27"/>
      <c r="F350" s="28" t="str">
        <f aca="false">IF(E350="","",IFERROR(INDEX('Med Ball Library'!$C$6:$C$19,MATCH(E350,'Med Ball Library'!$B$6:$B$19,0)),"Unknown ID"))</f>
        <v/>
      </c>
      <c r="G350" s="27"/>
      <c r="H350" s="27"/>
      <c r="I350" s="27"/>
      <c r="J350" s="27"/>
      <c r="K350" s="28" t="str">
        <f aca="false">IF(COUNT(H350,I350,J350)&lt;3,"",H350*I350*J350)</f>
        <v/>
      </c>
      <c r="L350" s="27"/>
      <c r="M350" s="27"/>
      <c r="N350" s="27"/>
      <c r="O350" s="27"/>
      <c r="P350" s="27"/>
    </row>
    <row r="351" customFormat="false" ht="15" hidden="false" customHeight="false" outlineLevel="0" collapsed="false">
      <c r="B351" s="26"/>
      <c r="C351" s="27"/>
      <c r="D351" s="28" t="str">
        <f aca="false">IF(C351="","",IFERROR(INDEX(Players!$C$5:$C$104,MATCH(C351,Players!$B$5:$B$104,0)),"ID not found"))</f>
        <v/>
      </c>
      <c r="E351" s="27"/>
      <c r="F351" s="28" t="str">
        <f aca="false">IF(E351="","",IFERROR(INDEX('Med Ball Library'!$C$6:$C$19,MATCH(E351,'Med Ball Library'!$B$6:$B$19,0)),"Unknown ID"))</f>
        <v/>
      </c>
      <c r="G351" s="27"/>
      <c r="H351" s="27"/>
      <c r="I351" s="27"/>
      <c r="J351" s="27"/>
      <c r="K351" s="28" t="str">
        <f aca="false">IF(COUNT(H351,I351,J351)&lt;3,"",H351*I351*J351)</f>
        <v/>
      </c>
      <c r="L351" s="27"/>
      <c r="M351" s="27"/>
      <c r="N351" s="27"/>
      <c r="O351" s="27"/>
      <c r="P351" s="27"/>
    </row>
    <row r="352" customFormat="false" ht="15" hidden="false" customHeight="false" outlineLevel="0" collapsed="false">
      <c r="B352" s="26"/>
      <c r="C352" s="27"/>
      <c r="D352" s="28" t="str">
        <f aca="false">IF(C352="","",IFERROR(INDEX(Players!$C$5:$C$104,MATCH(C352,Players!$B$5:$B$104,0)),"ID not found"))</f>
        <v/>
      </c>
      <c r="E352" s="27"/>
      <c r="F352" s="28" t="str">
        <f aca="false">IF(E352="","",IFERROR(INDEX('Med Ball Library'!$C$6:$C$19,MATCH(E352,'Med Ball Library'!$B$6:$B$19,0)),"Unknown ID"))</f>
        <v/>
      </c>
      <c r="G352" s="27"/>
      <c r="H352" s="27"/>
      <c r="I352" s="27"/>
      <c r="J352" s="27"/>
      <c r="K352" s="28" t="str">
        <f aca="false">IF(COUNT(H352,I352,J352)&lt;3,"",H352*I352*J352)</f>
        <v/>
      </c>
      <c r="L352" s="27"/>
      <c r="M352" s="27"/>
      <c r="N352" s="27"/>
      <c r="O352" s="27"/>
      <c r="P352" s="27"/>
    </row>
    <row r="353" customFormat="false" ht="15" hidden="false" customHeight="false" outlineLevel="0" collapsed="false">
      <c r="B353" s="26"/>
      <c r="C353" s="27"/>
      <c r="D353" s="28" t="str">
        <f aca="false">IF(C353="","",IFERROR(INDEX(Players!$C$5:$C$104,MATCH(C353,Players!$B$5:$B$104,0)),"ID not found"))</f>
        <v/>
      </c>
      <c r="E353" s="27"/>
      <c r="F353" s="28" t="str">
        <f aca="false">IF(E353="","",IFERROR(INDEX('Med Ball Library'!$C$6:$C$19,MATCH(E353,'Med Ball Library'!$B$6:$B$19,0)),"Unknown ID"))</f>
        <v/>
      </c>
      <c r="G353" s="27"/>
      <c r="H353" s="27"/>
      <c r="I353" s="27"/>
      <c r="J353" s="27"/>
      <c r="K353" s="28" t="str">
        <f aca="false">IF(COUNT(H353,I353,J353)&lt;3,"",H353*I353*J353)</f>
        <v/>
      </c>
      <c r="L353" s="27"/>
      <c r="M353" s="27"/>
      <c r="N353" s="27"/>
      <c r="O353" s="27"/>
      <c r="P353" s="27"/>
    </row>
    <row r="354" customFormat="false" ht="15" hidden="false" customHeight="false" outlineLevel="0" collapsed="false">
      <c r="B354" s="26"/>
      <c r="C354" s="27"/>
      <c r="D354" s="28" t="str">
        <f aca="false">IF(C354="","",IFERROR(INDEX(Players!$C$5:$C$104,MATCH(C354,Players!$B$5:$B$104,0)),"ID not found"))</f>
        <v/>
      </c>
      <c r="E354" s="27"/>
      <c r="F354" s="28" t="str">
        <f aca="false">IF(E354="","",IFERROR(INDEX('Med Ball Library'!$C$6:$C$19,MATCH(E354,'Med Ball Library'!$B$6:$B$19,0)),"Unknown ID"))</f>
        <v/>
      </c>
      <c r="G354" s="27"/>
      <c r="H354" s="27"/>
      <c r="I354" s="27"/>
      <c r="J354" s="27"/>
      <c r="K354" s="28" t="str">
        <f aca="false">IF(COUNT(H354,I354,J354)&lt;3,"",H354*I354*J354)</f>
        <v/>
      </c>
      <c r="L354" s="27"/>
      <c r="M354" s="27"/>
      <c r="N354" s="27"/>
      <c r="O354" s="27"/>
      <c r="P354" s="27"/>
    </row>
    <row r="355" customFormat="false" ht="15" hidden="false" customHeight="false" outlineLevel="0" collapsed="false">
      <c r="B355" s="26"/>
      <c r="C355" s="27"/>
      <c r="D355" s="28" t="str">
        <f aca="false">IF(C355="","",IFERROR(INDEX(Players!$C$5:$C$104,MATCH(C355,Players!$B$5:$B$104,0)),"ID not found"))</f>
        <v/>
      </c>
      <c r="E355" s="27"/>
      <c r="F355" s="28" t="str">
        <f aca="false">IF(E355="","",IFERROR(INDEX('Med Ball Library'!$C$6:$C$19,MATCH(E355,'Med Ball Library'!$B$6:$B$19,0)),"Unknown ID"))</f>
        <v/>
      </c>
      <c r="G355" s="27"/>
      <c r="H355" s="27"/>
      <c r="I355" s="27"/>
      <c r="J355" s="27"/>
      <c r="K355" s="28" t="str">
        <f aca="false">IF(COUNT(H355,I355,J355)&lt;3,"",H355*I355*J355)</f>
        <v/>
      </c>
      <c r="L355" s="27"/>
      <c r="M355" s="27"/>
      <c r="N355" s="27"/>
      <c r="O355" s="27"/>
      <c r="P355" s="27"/>
    </row>
    <row r="356" customFormat="false" ht="15" hidden="false" customHeight="false" outlineLevel="0" collapsed="false">
      <c r="B356" s="26"/>
      <c r="C356" s="27"/>
      <c r="D356" s="28" t="str">
        <f aca="false">IF(C356="","",IFERROR(INDEX(Players!$C$5:$C$104,MATCH(C356,Players!$B$5:$B$104,0)),"ID not found"))</f>
        <v/>
      </c>
      <c r="E356" s="27"/>
      <c r="F356" s="28" t="str">
        <f aca="false">IF(E356="","",IFERROR(INDEX('Med Ball Library'!$C$6:$C$19,MATCH(E356,'Med Ball Library'!$B$6:$B$19,0)),"Unknown ID"))</f>
        <v/>
      </c>
      <c r="G356" s="27"/>
      <c r="H356" s="27"/>
      <c r="I356" s="27"/>
      <c r="J356" s="27"/>
      <c r="K356" s="28" t="str">
        <f aca="false">IF(COUNT(H356,I356,J356)&lt;3,"",H356*I356*J356)</f>
        <v/>
      </c>
      <c r="L356" s="27"/>
      <c r="M356" s="27"/>
      <c r="N356" s="27"/>
      <c r="O356" s="27"/>
      <c r="P356" s="27"/>
    </row>
    <row r="357" customFormat="false" ht="15" hidden="false" customHeight="false" outlineLevel="0" collapsed="false">
      <c r="B357" s="26"/>
      <c r="C357" s="27"/>
      <c r="D357" s="28" t="str">
        <f aca="false">IF(C357="","",IFERROR(INDEX(Players!$C$5:$C$104,MATCH(C357,Players!$B$5:$B$104,0)),"ID not found"))</f>
        <v/>
      </c>
      <c r="E357" s="27"/>
      <c r="F357" s="28" t="str">
        <f aca="false">IF(E357="","",IFERROR(INDEX('Med Ball Library'!$C$6:$C$19,MATCH(E357,'Med Ball Library'!$B$6:$B$19,0)),"Unknown ID"))</f>
        <v/>
      </c>
      <c r="G357" s="27"/>
      <c r="H357" s="27"/>
      <c r="I357" s="27"/>
      <c r="J357" s="27"/>
      <c r="K357" s="28" t="str">
        <f aca="false">IF(COUNT(H357,I357,J357)&lt;3,"",H357*I357*J357)</f>
        <v/>
      </c>
      <c r="L357" s="27"/>
      <c r="M357" s="27"/>
      <c r="N357" s="27"/>
      <c r="O357" s="27"/>
      <c r="P357" s="27"/>
    </row>
    <row r="358" customFormat="false" ht="15" hidden="false" customHeight="false" outlineLevel="0" collapsed="false">
      <c r="B358" s="26"/>
      <c r="C358" s="27"/>
      <c r="D358" s="28" t="str">
        <f aca="false">IF(C358="","",IFERROR(INDEX(Players!$C$5:$C$104,MATCH(C358,Players!$B$5:$B$104,0)),"ID not found"))</f>
        <v/>
      </c>
      <c r="E358" s="27"/>
      <c r="F358" s="28" t="str">
        <f aca="false">IF(E358="","",IFERROR(INDEX('Med Ball Library'!$C$6:$C$19,MATCH(E358,'Med Ball Library'!$B$6:$B$19,0)),"Unknown ID"))</f>
        <v/>
      </c>
      <c r="G358" s="27"/>
      <c r="H358" s="27"/>
      <c r="I358" s="27"/>
      <c r="J358" s="27"/>
      <c r="K358" s="28" t="str">
        <f aca="false">IF(COUNT(H358,I358,J358)&lt;3,"",H358*I358*J358)</f>
        <v/>
      </c>
      <c r="L358" s="27"/>
      <c r="M358" s="27"/>
      <c r="N358" s="27"/>
      <c r="O358" s="27"/>
      <c r="P358" s="27"/>
    </row>
    <row r="359" customFormat="false" ht="15" hidden="false" customHeight="false" outlineLevel="0" collapsed="false">
      <c r="B359" s="26"/>
      <c r="C359" s="27"/>
      <c r="D359" s="28" t="str">
        <f aca="false">IF(C359="","",IFERROR(INDEX(Players!$C$5:$C$104,MATCH(C359,Players!$B$5:$B$104,0)),"ID not found"))</f>
        <v/>
      </c>
      <c r="E359" s="27"/>
      <c r="F359" s="28" t="str">
        <f aca="false">IF(E359="","",IFERROR(INDEX('Med Ball Library'!$C$6:$C$19,MATCH(E359,'Med Ball Library'!$B$6:$B$19,0)),"Unknown ID"))</f>
        <v/>
      </c>
      <c r="G359" s="27"/>
      <c r="H359" s="27"/>
      <c r="I359" s="27"/>
      <c r="J359" s="27"/>
      <c r="K359" s="28" t="str">
        <f aca="false">IF(COUNT(H359,I359,J359)&lt;3,"",H359*I359*J359)</f>
        <v/>
      </c>
      <c r="L359" s="27"/>
      <c r="M359" s="27"/>
      <c r="N359" s="27"/>
      <c r="O359" s="27"/>
      <c r="P359" s="27"/>
    </row>
    <row r="360" customFormat="false" ht="15" hidden="false" customHeight="false" outlineLevel="0" collapsed="false">
      <c r="B360" s="26"/>
      <c r="C360" s="27"/>
      <c r="D360" s="28" t="str">
        <f aca="false">IF(C360="","",IFERROR(INDEX(Players!$C$5:$C$104,MATCH(C360,Players!$B$5:$B$104,0)),"ID not found"))</f>
        <v/>
      </c>
      <c r="E360" s="27"/>
      <c r="F360" s="28" t="str">
        <f aca="false">IF(E360="","",IFERROR(INDEX('Med Ball Library'!$C$6:$C$19,MATCH(E360,'Med Ball Library'!$B$6:$B$19,0)),"Unknown ID"))</f>
        <v/>
      </c>
      <c r="G360" s="27"/>
      <c r="H360" s="27"/>
      <c r="I360" s="27"/>
      <c r="J360" s="27"/>
      <c r="K360" s="28" t="str">
        <f aca="false">IF(COUNT(H360,I360,J360)&lt;3,"",H360*I360*J360)</f>
        <v/>
      </c>
      <c r="L360" s="27"/>
      <c r="M360" s="27"/>
      <c r="N360" s="27"/>
      <c r="O360" s="27"/>
      <c r="P360" s="27"/>
    </row>
    <row r="361" customFormat="false" ht="15" hidden="false" customHeight="false" outlineLevel="0" collapsed="false">
      <c r="B361" s="26"/>
      <c r="C361" s="27"/>
      <c r="D361" s="28" t="str">
        <f aca="false">IF(C361="","",IFERROR(INDEX(Players!$C$5:$C$104,MATCH(C361,Players!$B$5:$B$104,0)),"ID not found"))</f>
        <v/>
      </c>
      <c r="E361" s="27"/>
      <c r="F361" s="28" t="str">
        <f aca="false">IF(E361="","",IFERROR(INDEX('Med Ball Library'!$C$6:$C$19,MATCH(E361,'Med Ball Library'!$B$6:$B$19,0)),"Unknown ID"))</f>
        <v/>
      </c>
      <c r="G361" s="27"/>
      <c r="H361" s="27"/>
      <c r="I361" s="27"/>
      <c r="J361" s="27"/>
      <c r="K361" s="28" t="str">
        <f aca="false">IF(COUNT(H361,I361,J361)&lt;3,"",H361*I361*J361)</f>
        <v/>
      </c>
      <c r="L361" s="27"/>
      <c r="M361" s="27"/>
      <c r="N361" s="27"/>
      <c r="O361" s="27"/>
      <c r="P361" s="27"/>
    </row>
    <row r="362" customFormat="false" ht="15" hidden="false" customHeight="false" outlineLevel="0" collapsed="false">
      <c r="B362" s="26"/>
      <c r="C362" s="27"/>
      <c r="D362" s="28" t="str">
        <f aca="false">IF(C362="","",IFERROR(INDEX(Players!$C$5:$C$104,MATCH(C362,Players!$B$5:$B$104,0)),"ID not found"))</f>
        <v/>
      </c>
      <c r="E362" s="27"/>
      <c r="F362" s="28" t="str">
        <f aca="false">IF(E362="","",IFERROR(INDEX('Med Ball Library'!$C$6:$C$19,MATCH(E362,'Med Ball Library'!$B$6:$B$19,0)),"Unknown ID"))</f>
        <v/>
      </c>
      <c r="G362" s="27"/>
      <c r="H362" s="27"/>
      <c r="I362" s="27"/>
      <c r="J362" s="27"/>
      <c r="K362" s="28" t="str">
        <f aca="false">IF(COUNT(H362,I362,J362)&lt;3,"",H362*I362*J362)</f>
        <v/>
      </c>
      <c r="L362" s="27"/>
      <c r="M362" s="27"/>
      <c r="N362" s="27"/>
      <c r="O362" s="27"/>
      <c r="P362" s="27"/>
    </row>
    <row r="363" customFormat="false" ht="15" hidden="false" customHeight="false" outlineLevel="0" collapsed="false">
      <c r="B363" s="26"/>
      <c r="C363" s="27"/>
      <c r="D363" s="28" t="str">
        <f aca="false">IF(C363="","",IFERROR(INDEX(Players!$C$5:$C$104,MATCH(C363,Players!$B$5:$B$104,0)),"ID not found"))</f>
        <v/>
      </c>
      <c r="E363" s="27"/>
      <c r="F363" s="28" t="str">
        <f aca="false">IF(E363="","",IFERROR(INDEX('Med Ball Library'!$C$6:$C$19,MATCH(E363,'Med Ball Library'!$B$6:$B$19,0)),"Unknown ID"))</f>
        <v/>
      </c>
      <c r="G363" s="27"/>
      <c r="H363" s="27"/>
      <c r="I363" s="27"/>
      <c r="J363" s="27"/>
      <c r="K363" s="28" t="str">
        <f aca="false">IF(COUNT(H363,I363,J363)&lt;3,"",H363*I363*J363)</f>
        <v/>
      </c>
      <c r="L363" s="27"/>
      <c r="M363" s="27"/>
      <c r="N363" s="27"/>
      <c r="O363" s="27"/>
      <c r="P363" s="27"/>
    </row>
    <row r="364" customFormat="false" ht="15" hidden="false" customHeight="false" outlineLevel="0" collapsed="false">
      <c r="B364" s="26"/>
      <c r="C364" s="27"/>
      <c r="D364" s="28" t="str">
        <f aca="false">IF(C364="","",IFERROR(INDEX(Players!$C$5:$C$104,MATCH(C364,Players!$B$5:$B$104,0)),"ID not found"))</f>
        <v/>
      </c>
      <c r="E364" s="27"/>
      <c r="F364" s="28" t="str">
        <f aca="false">IF(E364="","",IFERROR(INDEX('Med Ball Library'!$C$6:$C$19,MATCH(E364,'Med Ball Library'!$B$6:$B$19,0)),"Unknown ID"))</f>
        <v/>
      </c>
      <c r="G364" s="27"/>
      <c r="H364" s="27"/>
      <c r="I364" s="27"/>
      <c r="J364" s="27"/>
      <c r="K364" s="28" t="str">
        <f aca="false">IF(COUNT(H364,I364,J364)&lt;3,"",H364*I364*J364)</f>
        <v/>
      </c>
      <c r="L364" s="27"/>
      <c r="M364" s="27"/>
      <c r="N364" s="27"/>
      <c r="O364" s="27"/>
      <c r="P364" s="27"/>
    </row>
    <row r="365" customFormat="false" ht="15" hidden="false" customHeight="false" outlineLevel="0" collapsed="false">
      <c r="B365" s="26"/>
      <c r="C365" s="27"/>
      <c r="D365" s="28" t="str">
        <f aca="false">IF(C365="","",IFERROR(INDEX(Players!$C$5:$C$104,MATCH(C365,Players!$B$5:$B$104,0)),"ID not found"))</f>
        <v/>
      </c>
      <c r="E365" s="27"/>
      <c r="F365" s="28" t="str">
        <f aca="false">IF(E365="","",IFERROR(INDEX('Med Ball Library'!$C$6:$C$19,MATCH(E365,'Med Ball Library'!$B$6:$B$19,0)),"Unknown ID"))</f>
        <v/>
      </c>
      <c r="G365" s="27"/>
      <c r="H365" s="27"/>
      <c r="I365" s="27"/>
      <c r="J365" s="27"/>
      <c r="K365" s="28" t="str">
        <f aca="false">IF(COUNT(H365,I365,J365)&lt;3,"",H365*I365*J365)</f>
        <v/>
      </c>
      <c r="L365" s="27"/>
      <c r="M365" s="27"/>
      <c r="N365" s="27"/>
      <c r="O365" s="27"/>
      <c r="P365" s="27"/>
    </row>
    <row r="366" customFormat="false" ht="15" hidden="false" customHeight="false" outlineLevel="0" collapsed="false">
      <c r="B366" s="26"/>
      <c r="C366" s="27"/>
      <c r="D366" s="28" t="str">
        <f aca="false">IF(C366="","",IFERROR(INDEX(Players!$C$5:$C$104,MATCH(C366,Players!$B$5:$B$104,0)),"ID not found"))</f>
        <v/>
      </c>
      <c r="E366" s="27"/>
      <c r="F366" s="28" t="str">
        <f aca="false">IF(E366="","",IFERROR(INDEX('Med Ball Library'!$C$6:$C$19,MATCH(E366,'Med Ball Library'!$B$6:$B$19,0)),"Unknown ID"))</f>
        <v/>
      </c>
      <c r="G366" s="27"/>
      <c r="H366" s="27"/>
      <c r="I366" s="27"/>
      <c r="J366" s="27"/>
      <c r="K366" s="28" t="str">
        <f aca="false">IF(COUNT(H366,I366,J366)&lt;3,"",H366*I366*J366)</f>
        <v/>
      </c>
      <c r="L366" s="27"/>
      <c r="M366" s="27"/>
      <c r="N366" s="27"/>
      <c r="O366" s="27"/>
      <c r="P366" s="27"/>
    </row>
    <row r="367" customFormat="false" ht="15" hidden="false" customHeight="false" outlineLevel="0" collapsed="false">
      <c r="B367" s="26"/>
      <c r="C367" s="27"/>
      <c r="D367" s="28" t="str">
        <f aca="false">IF(C367="","",IFERROR(INDEX(Players!$C$5:$C$104,MATCH(C367,Players!$B$5:$B$104,0)),"ID not found"))</f>
        <v/>
      </c>
      <c r="E367" s="27"/>
      <c r="F367" s="28" t="str">
        <f aca="false">IF(E367="","",IFERROR(INDEX('Med Ball Library'!$C$6:$C$19,MATCH(E367,'Med Ball Library'!$B$6:$B$19,0)),"Unknown ID"))</f>
        <v/>
      </c>
      <c r="G367" s="27"/>
      <c r="H367" s="27"/>
      <c r="I367" s="27"/>
      <c r="J367" s="27"/>
      <c r="K367" s="28" t="str">
        <f aca="false">IF(COUNT(H367,I367,J367)&lt;3,"",H367*I367*J367)</f>
        <v/>
      </c>
      <c r="L367" s="27"/>
      <c r="M367" s="27"/>
      <c r="N367" s="27"/>
      <c r="O367" s="27"/>
      <c r="P367" s="27"/>
    </row>
    <row r="368" customFormat="false" ht="15" hidden="false" customHeight="false" outlineLevel="0" collapsed="false">
      <c r="B368" s="26"/>
      <c r="C368" s="27"/>
      <c r="D368" s="28" t="str">
        <f aca="false">IF(C368="","",IFERROR(INDEX(Players!$C$5:$C$104,MATCH(C368,Players!$B$5:$B$104,0)),"ID not found"))</f>
        <v/>
      </c>
      <c r="E368" s="27"/>
      <c r="F368" s="28" t="str">
        <f aca="false">IF(E368="","",IFERROR(INDEX('Med Ball Library'!$C$6:$C$19,MATCH(E368,'Med Ball Library'!$B$6:$B$19,0)),"Unknown ID"))</f>
        <v/>
      </c>
      <c r="G368" s="27"/>
      <c r="H368" s="27"/>
      <c r="I368" s="27"/>
      <c r="J368" s="27"/>
      <c r="K368" s="28" t="str">
        <f aca="false">IF(COUNT(H368,I368,J368)&lt;3,"",H368*I368*J368)</f>
        <v/>
      </c>
      <c r="L368" s="27"/>
      <c r="M368" s="27"/>
      <c r="N368" s="27"/>
      <c r="O368" s="27"/>
      <c r="P368" s="27"/>
    </row>
    <row r="369" customFormat="false" ht="15" hidden="false" customHeight="false" outlineLevel="0" collapsed="false">
      <c r="B369" s="26"/>
      <c r="C369" s="27"/>
      <c r="D369" s="28" t="str">
        <f aca="false">IF(C369="","",IFERROR(INDEX(Players!$C$5:$C$104,MATCH(C369,Players!$B$5:$B$104,0)),"ID not found"))</f>
        <v/>
      </c>
      <c r="E369" s="27"/>
      <c r="F369" s="28" t="str">
        <f aca="false">IF(E369="","",IFERROR(INDEX('Med Ball Library'!$C$6:$C$19,MATCH(E369,'Med Ball Library'!$B$6:$B$19,0)),"Unknown ID"))</f>
        <v/>
      </c>
      <c r="G369" s="27"/>
      <c r="H369" s="27"/>
      <c r="I369" s="27"/>
      <c r="J369" s="27"/>
      <c r="K369" s="28" t="str">
        <f aca="false">IF(COUNT(H369,I369,J369)&lt;3,"",H369*I369*J369)</f>
        <v/>
      </c>
      <c r="L369" s="27"/>
      <c r="M369" s="27"/>
      <c r="N369" s="27"/>
      <c r="O369" s="27"/>
      <c r="P369" s="27"/>
    </row>
    <row r="370" customFormat="false" ht="15" hidden="false" customHeight="false" outlineLevel="0" collapsed="false">
      <c r="B370" s="26"/>
      <c r="C370" s="27"/>
      <c r="D370" s="28" t="str">
        <f aca="false">IF(C370="","",IFERROR(INDEX(Players!$C$5:$C$104,MATCH(C370,Players!$B$5:$B$104,0)),"ID not found"))</f>
        <v/>
      </c>
      <c r="E370" s="27"/>
      <c r="F370" s="28" t="str">
        <f aca="false">IF(E370="","",IFERROR(INDEX('Med Ball Library'!$C$6:$C$19,MATCH(E370,'Med Ball Library'!$B$6:$B$19,0)),"Unknown ID"))</f>
        <v/>
      </c>
      <c r="G370" s="27"/>
      <c r="H370" s="27"/>
      <c r="I370" s="27"/>
      <c r="J370" s="27"/>
      <c r="K370" s="28" t="str">
        <f aca="false">IF(COUNT(H370,I370,J370)&lt;3,"",H370*I370*J370)</f>
        <v/>
      </c>
      <c r="L370" s="27"/>
      <c r="M370" s="27"/>
      <c r="N370" s="27"/>
      <c r="O370" s="27"/>
      <c r="P370" s="27"/>
    </row>
    <row r="371" customFormat="false" ht="15" hidden="false" customHeight="false" outlineLevel="0" collapsed="false">
      <c r="B371" s="26"/>
      <c r="C371" s="27"/>
      <c r="D371" s="28" t="str">
        <f aca="false">IF(C371="","",IFERROR(INDEX(Players!$C$5:$C$104,MATCH(C371,Players!$B$5:$B$104,0)),"ID not found"))</f>
        <v/>
      </c>
      <c r="E371" s="27"/>
      <c r="F371" s="28" t="str">
        <f aca="false">IF(E371="","",IFERROR(INDEX('Med Ball Library'!$C$6:$C$19,MATCH(E371,'Med Ball Library'!$B$6:$B$19,0)),"Unknown ID"))</f>
        <v/>
      </c>
      <c r="G371" s="27"/>
      <c r="H371" s="27"/>
      <c r="I371" s="27"/>
      <c r="J371" s="27"/>
      <c r="K371" s="28" t="str">
        <f aca="false">IF(COUNT(H371,I371,J371)&lt;3,"",H371*I371*J371)</f>
        <v/>
      </c>
      <c r="L371" s="27"/>
      <c r="M371" s="27"/>
      <c r="N371" s="27"/>
      <c r="O371" s="27"/>
      <c r="P371" s="27"/>
    </row>
    <row r="372" customFormat="false" ht="15" hidden="false" customHeight="false" outlineLevel="0" collapsed="false">
      <c r="B372" s="26"/>
      <c r="C372" s="27"/>
      <c r="D372" s="28" t="str">
        <f aca="false">IF(C372="","",IFERROR(INDEX(Players!$C$5:$C$104,MATCH(C372,Players!$B$5:$B$104,0)),"ID not found"))</f>
        <v/>
      </c>
      <c r="E372" s="27"/>
      <c r="F372" s="28" t="str">
        <f aca="false">IF(E372="","",IFERROR(INDEX('Med Ball Library'!$C$6:$C$19,MATCH(E372,'Med Ball Library'!$B$6:$B$19,0)),"Unknown ID"))</f>
        <v/>
      </c>
      <c r="G372" s="27"/>
      <c r="H372" s="27"/>
      <c r="I372" s="27"/>
      <c r="J372" s="27"/>
      <c r="K372" s="28" t="str">
        <f aca="false">IF(COUNT(H372,I372,J372)&lt;3,"",H372*I372*J372)</f>
        <v/>
      </c>
      <c r="L372" s="27"/>
      <c r="M372" s="27"/>
      <c r="N372" s="27"/>
      <c r="O372" s="27"/>
      <c r="P372" s="27"/>
    </row>
    <row r="373" customFormat="false" ht="15" hidden="false" customHeight="false" outlineLevel="0" collapsed="false">
      <c r="B373" s="26"/>
      <c r="C373" s="27"/>
      <c r="D373" s="28" t="str">
        <f aca="false">IF(C373="","",IFERROR(INDEX(Players!$C$5:$C$104,MATCH(C373,Players!$B$5:$B$104,0)),"ID not found"))</f>
        <v/>
      </c>
      <c r="E373" s="27"/>
      <c r="F373" s="28" t="str">
        <f aca="false">IF(E373="","",IFERROR(INDEX('Med Ball Library'!$C$6:$C$19,MATCH(E373,'Med Ball Library'!$B$6:$B$19,0)),"Unknown ID"))</f>
        <v/>
      </c>
      <c r="G373" s="27"/>
      <c r="H373" s="27"/>
      <c r="I373" s="27"/>
      <c r="J373" s="27"/>
      <c r="K373" s="28" t="str">
        <f aca="false">IF(COUNT(H373,I373,J373)&lt;3,"",H373*I373*J373)</f>
        <v/>
      </c>
      <c r="L373" s="27"/>
      <c r="M373" s="27"/>
      <c r="N373" s="27"/>
      <c r="O373" s="27"/>
      <c r="P373" s="27"/>
    </row>
    <row r="374" customFormat="false" ht="15" hidden="false" customHeight="false" outlineLevel="0" collapsed="false">
      <c r="B374" s="26"/>
      <c r="C374" s="27"/>
      <c r="D374" s="28" t="str">
        <f aca="false">IF(C374="","",IFERROR(INDEX(Players!$C$5:$C$104,MATCH(C374,Players!$B$5:$B$104,0)),"ID not found"))</f>
        <v/>
      </c>
      <c r="E374" s="27"/>
      <c r="F374" s="28" t="str">
        <f aca="false">IF(E374="","",IFERROR(INDEX('Med Ball Library'!$C$6:$C$19,MATCH(E374,'Med Ball Library'!$B$6:$B$19,0)),"Unknown ID"))</f>
        <v/>
      </c>
      <c r="G374" s="27"/>
      <c r="H374" s="27"/>
      <c r="I374" s="27"/>
      <c r="J374" s="27"/>
      <c r="K374" s="28" t="str">
        <f aca="false">IF(COUNT(H374,I374,J374)&lt;3,"",H374*I374*J374)</f>
        <v/>
      </c>
      <c r="L374" s="27"/>
      <c r="M374" s="27"/>
      <c r="N374" s="27"/>
      <c r="O374" s="27"/>
      <c r="P374" s="27"/>
    </row>
    <row r="375" customFormat="false" ht="15" hidden="false" customHeight="false" outlineLevel="0" collapsed="false">
      <c r="B375" s="26"/>
      <c r="C375" s="27"/>
      <c r="D375" s="28" t="str">
        <f aca="false">IF(C375="","",IFERROR(INDEX(Players!$C$5:$C$104,MATCH(C375,Players!$B$5:$B$104,0)),"ID not found"))</f>
        <v/>
      </c>
      <c r="E375" s="27"/>
      <c r="F375" s="28" t="str">
        <f aca="false">IF(E375="","",IFERROR(INDEX('Med Ball Library'!$C$6:$C$19,MATCH(E375,'Med Ball Library'!$B$6:$B$19,0)),"Unknown ID"))</f>
        <v/>
      </c>
      <c r="G375" s="27"/>
      <c r="H375" s="27"/>
      <c r="I375" s="27"/>
      <c r="J375" s="27"/>
      <c r="K375" s="28" t="str">
        <f aca="false">IF(COUNT(H375,I375,J375)&lt;3,"",H375*I375*J375)</f>
        <v/>
      </c>
      <c r="L375" s="27"/>
      <c r="M375" s="27"/>
      <c r="N375" s="27"/>
      <c r="O375" s="27"/>
      <c r="P375" s="27"/>
    </row>
    <row r="376" customFormat="false" ht="15" hidden="false" customHeight="false" outlineLevel="0" collapsed="false">
      <c r="B376" s="26"/>
      <c r="C376" s="27"/>
      <c r="D376" s="28" t="str">
        <f aca="false">IF(C376="","",IFERROR(INDEX(Players!$C$5:$C$104,MATCH(C376,Players!$B$5:$B$104,0)),"ID not found"))</f>
        <v/>
      </c>
      <c r="E376" s="27"/>
      <c r="F376" s="28" t="str">
        <f aca="false">IF(E376="","",IFERROR(INDEX('Med Ball Library'!$C$6:$C$19,MATCH(E376,'Med Ball Library'!$B$6:$B$19,0)),"Unknown ID"))</f>
        <v/>
      </c>
      <c r="G376" s="27"/>
      <c r="H376" s="27"/>
      <c r="I376" s="27"/>
      <c r="J376" s="27"/>
      <c r="K376" s="28" t="str">
        <f aca="false">IF(COUNT(H376,I376,J376)&lt;3,"",H376*I376*J376)</f>
        <v/>
      </c>
      <c r="L376" s="27"/>
      <c r="M376" s="27"/>
      <c r="N376" s="27"/>
      <c r="O376" s="27"/>
      <c r="P376" s="27"/>
    </row>
    <row r="377" customFormat="false" ht="15" hidden="false" customHeight="false" outlineLevel="0" collapsed="false">
      <c r="B377" s="26"/>
      <c r="C377" s="27"/>
      <c r="D377" s="28" t="str">
        <f aca="false">IF(C377="","",IFERROR(INDEX(Players!$C$5:$C$104,MATCH(C377,Players!$B$5:$B$104,0)),"ID not found"))</f>
        <v/>
      </c>
      <c r="E377" s="27"/>
      <c r="F377" s="28" t="str">
        <f aca="false">IF(E377="","",IFERROR(INDEX('Med Ball Library'!$C$6:$C$19,MATCH(E377,'Med Ball Library'!$B$6:$B$19,0)),"Unknown ID"))</f>
        <v/>
      </c>
      <c r="G377" s="27"/>
      <c r="H377" s="27"/>
      <c r="I377" s="27"/>
      <c r="J377" s="27"/>
      <c r="K377" s="28" t="str">
        <f aca="false">IF(COUNT(H377,I377,J377)&lt;3,"",H377*I377*J377)</f>
        <v/>
      </c>
      <c r="L377" s="27"/>
      <c r="M377" s="27"/>
      <c r="N377" s="27"/>
      <c r="O377" s="27"/>
      <c r="P377" s="27"/>
    </row>
    <row r="378" customFormat="false" ht="15" hidden="false" customHeight="false" outlineLevel="0" collapsed="false">
      <c r="B378" s="26"/>
      <c r="C378" s="27"/>
      <c r="D378" s="28" t="str">
        <f aca="false">IF(C378="","",IFERROR(INDEX(Players!$C$5:$C$104,MATCH(C378,Players!$B$5:$B$104,0)),"ID not found"))</f>
        <v/>
      </c>
      <c r="E378" s="27"/>
      <c r="F378" s="28" t="str">
        <f aca="false">IF(E378="","",IFERROR(INDEX('Med Ball Library'!$C$6:$C$19,MATCH(E378,'Med Ball Library'!$B$6:$B$19,0)),"Unknown ID"))</f>
        <v/>
      </c>
      <c r="G378" s="27"/>
      <c r="H378" s="27"/>
      <c r="I378" s="27"/>
      <c r="J378" s="27"/>
      <c r="K378" s="28" t="str">
        <f aca="false">IF(COUNT(H378,I378,J378)&lt;3,"",H378*I378*J378)</f>
        <v/>
      </c>
      <c r="L378" s="27"/>
      <c r="M378" s="27"/>
      <c r="N378" s="27"/>
      <c r="O378" s="27"/>
      <c r="P378" s="27"/>
    </row>
    <row r="379" customFormat="false" ht="15" hidden="false" customHeight="false" outlineLevel="0" collapsed="false">
      <c r="B379" s="26"/>
      <c r="C379" s="27"/>
      <c r="D379" s="28" t="str">
        <f aca="false">IF(C379="","",IFERROR(INDEX(Players!$C$5:$C$104,MATCH(C379,Players!$B$5:$B$104,0)),"ID not found"))</f>
        <v/>
      </c>
      <c r="E379" s="27"/>
      <c r="F379" s="28" t="str">
        <f aca="false">IF(E379="","",IFERROR(INDEX('Med Ball Library'!$C$6:$C$19,MATCH(E379,'Med Ball Library'!$B$6:$B$19,0)),"Unknown ID"))</f>
        <v/>
      </c>
      <c r="G379" s="27"/>
      <c r="H379" s="27"/>
      <c r="I379" s="27"/>
      <c r="J379" s="27"/>
      <c r="K379" s="28" t="str">
        <f aca="false">IF(COUNT(H379,I379,J379)&lt;3,"",H379*I379*J379)</f>
        <v/>
      </c>
      <c r="L379" s="27"/>
      <c r="M379" s="27"/>
      <c r="N379" s="27"/>
      <c r="O379" s="27"/>
      <c r="P379" s="27"/>
    </row>
    <row r="380" customFormat="false" ht="15" hidden="false" customHeight="false" outlineLevel="0" collapsed="false">
      <c r="B380" s="26"/>
      <c r="C380" s="27"/>
      <c r="D380" s="28" t="str">
        <f aca="false">IF(C380="","",IFERROR(INDEX(Players!$C$5:$C$104,MATCH(C380,Players!$B$5:$B$104,0)),"ID not found"))</f>
        <v/>
      </c>
      <c r="E380" s="27"/>
      <c r="F380" s="28" t="str">
        <f aca="false">IF(E380="","",IFERROR(INDEX('Med Ball Library'!$C$6:$C$19,MATCH(E380,'Med Ball Library'!$B$6:$B$19,0)),"Unknown ID"))</f>
        <v/>
      </c>
      <c r="G380" s="27"/>
      <c r="H380" s="27"/>
      <c r="I380" s="27"/>
      <c r="J380" s="27"/>
      <c r="K380" s="28" t="str">
        <f aca="false">IF(COUNT(H380,I380,J380)&lt;3,"",H380*I380*J380)</f>
        <v/>
      </c>
      <c r="L380" s="27"/>
      <c r="M380" s="27"/>
      <c r="N380" s="27"/>
      <c r="O380" s="27"/>
      <c r="P380" s="27"/>
    </row>
    <row r="381" customFormat="false" ht="15" hidden="false" customHeight="false" outlineLevel="0" collapsed="false">
      <c r="B381" s="26"/>
      <c r="C381" s="27"/>
      <c r="D381" s="28" t="str">
        <f aca="false">IF(C381="","",IFERROR(INDEX(Players!$C$5:$C$104,MATCH(C381,Players!$B$5:$B$104,0)),"ID not found"))</f>
        <v/>
      </c>
      <c r="E381" s="27"/>
      <c r="F381" s="28" t="str">
        <f aca="false">IF(E381="","",IFERROR(INDEX('Med Ball Library'!$C$6:$C$19,MATCH(E381,'Med Ball Library'!$B$6:$B$19,0)),"Unknown ID"))</f>
        <v/>
      </c>
      <c r="G381" s="27"/>
      <c r="H381" s="27"/>
      <c r="I381" s="27"/>
      <c r="J381" s="27"/>
      <c r="K381" s="28" t="str">
        <f aca="false">IF(COUNT(H381,I381,J381)&lt;3,"",H381*I381*J381)</f>
        <v/>
      </c>
      <c r="L381" s="27"/>
      <c r="M381" s="27"/>
      <c r="N381" s="27"/>
      <c r="O381" s="27"/>
      <c r="P381" s="27"/>
    </row>
    <row r="382" customFormat="false" ht="15" hidden="false" customHeight="false" outlineLevel="0" collapsed="false">
      <c r="B382" s="26"/>
      <c r="C382" s="27"/>
      <c r="D382" s="28" t="str">
        <f aca="false">IF(C382="","",IFERROR(INDEX(Players!$C$5:$C$104,MATCH(C382,Players!$B$5:$B$104,0)),"ID not found"))</f>
        <v/>
      </c>
      <c r="E382" s="27"/>
      <c r="F382" s="28" t="str">
        <f aca="false">IF(E382="","",IFERROR(INDEX('Med Ball Library'!$C$6:$C$19,MATCH(E382,'Med Ball Library'!$B$6:$B$19,0)),"Unknown ID"))</f>
        <v/>
      </c>
      <c r="G382" s="27"/>
      <c r="H382" s="27"/>
      <c r="I382" s="27"/>
      <c r="J382" s="27"/>
      <c r="K382" s="28" t="str">
        <f aca="false">IF(COUNT(H382,I382,J382)&lt;3,"",H382*I382*J382)</f>
        <v/>
      </c>
      <c r="L382" s="27"/>
      <c r="M382" s="27"/>
      <c r="N382" s="27"/>
      <c r="O382" s="27"/>
      <c r="P382" s="27"/>
    </row>
    <row r="383" customFormat="false" ht="15" hidden="false" customHeight="false" outlineLevel="0" collapsed="false">
      <c r="B383" s="26"/>
      <c r="C383" s="27"/>
      <c r="D383" s="28" t="str">
        <f aca="false">IF(C383="","",IFERROR(INDEX(Players!$C$5:$C$104,MATCH(C383,Players!$B$5:$B$104,0)),"ID not found"))</f>
        <v/>
      </c>
      <c r="E383" s="27"/>
      <c r="F383" s="28" t="str">
        <f aca="false">IF(E383="","",IFERROR(INDEX('Med Ball Library'!$C$6:$C$19,MATCH(E383,'Med Ball Library'!$B$6:$B$19,0)),"Unknown ID"))</f>
        <v/>
      </c>
      <c r="G383" s="27"/>
      <c r="H383" s="27"/>
      <c r="I383" s="27"/>
      <c r="J383" s="27"/>
      <c r="K383" s="28" t="str">
        <f aca="false">IF(COUNT(H383,I383,J383)&lt;3,"",H383*I383*J383)</f>
        <v/>
      </c>
      <c r="L383" s="27"/>
      <c r="M383" s="27"/>
      <c r="N383" s="27"/>
      <c r="O383" s="27"/>
      <c r="P383" s="27"/>
    </row>
    <row r="384" customFormat="false" ht="15" hidden="false" customHeight="false" outlineLevel="0" collapsed="false">
      <c r="B384" s="26"/>
      <c r="C384" s="27"/>
      <c r="D384" s="28" t="str">
        <f aca="false">IF(C384="","",IFERROR(INDEX(Players!$C$5:$C$104,MATCH(C384,Players!$B$5:$B$104,0)),"ID not found"))</f>
        <v/>
      </c>
      <c r="E384" s="27"/>
      <c r="F384" s="28" t="str">
        <f aca="false">IF(E384="","",IFERROR(INDEX('Med Ball Library'!$C$6:$C$19,MATCH(E384,'Med Ball Library'!$B$6:$B$19,0)),"Unknown ID"))</f>
        <v/>
      </c>
      <c r="G384" s="27"/>
      <c r="H384" s="27"/>
      <c r="I384" s="27"/>
      <c r="J384" s="27"/>
      <c r="K384" s="28" t="str">
        <f aca="false">IF(COUNT(H384,I384,J384)&lt;3,"",H384*I384*J384)</f>
        <v/>
      </c>
      <c r="L384" s="27"/>
      <c r="M384" s="27"/>
      <c r="N384" s="27"/>
      <c r="O384" s="27"/>
      <c r="P384" s="27"/>
    </row>
    <row r="385" customFormat="false" ht="15" hidden="false" customHeight="false" outlineLevel="0" collapsed="false">
      <c r="B385" s="26"/>
      <c r="C385" s="27"/>
      <c r="D385" s="28" t="str">
        <f aca="false">IF(C385="","",IFERROR(INDEX(Players!$C$5:$C$104,MATCH(C385,Players!$B$5:$B$104,0)),"ID not found"))</f>
        <v/>
      </c>
      <c r="E385" s="27"/>
      <c r="F385" s="28" t="str">
        <f aca="false">IF(E385="","",IFERROR(INDEX('Med Ball Library'!$C$6:$C$19,MATCH(E385,'Med Ball Library'!$B$6:$B$19,0)),"Unknown ID"))</f>
        <v/>
      </c>
      <c r="G385" s="27"/>
      <c r="H385" s="27"/>
      <c r="I385" s="27"/>
      <c r="J385" s="27"/>
      <c r="K385" s="28" t="str">
        <f aca="false">IF(COUNT(H385,I385,J385)&lt;3,"",H385*I385*J385)</f>
        <v/>
      </c>
      <c r="L385" s="27"/>
      <c r="M385" s="27"/>
      <c r="N385" s="27"/>
      <c r="O385" s="27"/>
      <c r="P385" s="27"/>
    </row>
    <row r="386" customFormat="false" ht="15" hidden="false" customHeight="false" outlineLevel="0" collapsed="false">
      <c r="B386" s="26"/>
      <c r="C386" s="27"/>
      <c r="D386" s="28" t="str">
        <f aca="false">IF(C386="","",IFERROR(INDEX(Players!$C$5:$C$104,MATCH(C386,Players!$B$5:$B$104,0)),"ID not found"))</f>
        <v/>
      </c>
      <c r="E386" s="27"/>
      <c r="F386" s="28" t="str">
        <f aca="false">IF(E386="","",IFERROR(INDEX('Med Ball Library'!$C$6:$C$19,MATCH(E386,'Med Ball Library'!$B$6:$B$19,0)),"Unknown ID"))</f>
        <v/>
      </c>
      <c r="G386" s="27"/>
      <c r="H386" s="27"/>
      <c r="I386" s="27"/>
      <c r="J386" s="27"/>
      <c r="K386" s="28" t="str">
        <f aca="false">IF(COUNT(H386,I386,J386)&lt;3,"",H386*I386*J386)</f>
        <v/>
      </c>
      <c r="L386" s="27"/>
      <c r="M386" s="27"/>
      <c r="N386" s="27"/>
      <c r="O386" s="27"/>
      <c r="P386" s="27"/>
    </row>
    <row r="387" customFormat="false" ht="15" hidden="false" customHeight="false" outlineLevel="0" collapsed="false">
      <c r="B387" s="26"/>
      <c r="C387" s="27"/>
      <c r="D387" s="28" t="str">
        <f aca="false">IF(C387="","",IFERROR(INDEX(Players!$C$5:$C$104,MATCH(C387,Players!$B$5:$B$104,0)),"ID not found"))</f>
        <v/>
      </c>
      <c r="E387" s="27"/>
      <c r="F387" s="28" t="str">
        <f aca="false">IF(E387="","",IFERROR(INDEX('Med Ball Library'!$C$6:$C$19,MATCH(E387,'Med Ball Library'!$B$6:$B$19,0)),"Unknown ID"))</f>
        <v/>
      </c>
      <c r="G387" s="27"/>
      <c r="H387" s="27"/>
      <c r="I387" s="27"/>
      <c r="J387" s="27"/>
      <c r="K387" s="28" t="str">
        <f aca="false">IF(COUNT(H387,I387,J387)&lt;3,"",H387*I387*J387)</f>
        <v/>
      </c>
      <c r="L387" s="27"/>
      <c r="M387" s="27"/>
      <c r="N387" s="27"/>
      <c r="O387" s="27"/>
      <c r="P387" s="27"/>
    </row>
    <row r="388" customFormat="false" ht="15" hidden="false" customHeight="false" outlineLevel="0" collapsed="false">
      <c r="B388" s="26"/>
      <c r="C388" s="27"/>
      <c r="D388" s="28" t="str">
        <f aca="false">IF(C388="","",IFERROR(INDEX(Players!$C$5:$C$104,MATCH(C388,Players!$B$5:$B$104,0)),"ID not found"))</f>
        <v/>
      </c>
      <c r="E388" s="27"/>
      <c r="F388" s="28" t="str">
        <f aca="false">IF(E388="","",IFERROR(INDEX('Med Ball Library'!$C$6:$C$19,MATCH(E388,'Med Ball Library'!$B$6:$B$19,0)),"Unknown ID"))</f>
        <v/>
      </c>
      <c r="G388" s="27"/>
      <c r="H388" s="27"/>
      <c r="I388" s="27"/>
      <c r="J388" s="27"/>
      <c r="K388" s="28" t="str">
        <f aca="false">IF(COUNT(H388,I388,J388)&lt;3,"",H388*I388*J388)</f>
        <v/>
      </c>
      <c r="L388" s="27"/>
      <c r="M388" s="27"/>
      <c r="N388" s="27"/>
      <c r="O388" s="27"/>
      <c r="P388" s="27"/>
    </row>
    <row r="389" customFormat="false" ht="15" hidden="false" customHeight="false" outlineLevel="0" collapsed="false">
      <c r="B389" s="26"/>
      <c r="C389" s="27"/>
      <c r="D389" s="28" t="str">
        <f aca="false">IF(C389="","",IFERROR(INDEX(Players!$C$5:$C$104,MATCH(C389,Players!$B$5:$B$104,0)),"ID not found"))</f>
        <v/>
      </c>
      <c r="E389" s="27"/>
      <c r="F389" s="28" t="str">
        <f aca="false">IF(E389="","",IFERROR(INDEX('Med Ball Library'!$C$6:$C$19,MATCH(E389,'Med Ball Library'!$B$6:$B$19,0)),"Unknown ID"))</f>
        <v/>
      </c>
      <c r="G389" s="27"/>
      <c r="H389" s="27"/>
      <c r="I389" s="27"/>
      <c r="J389" s="27"/>
      <c r="K389" s="28" t="str">
        <f aca="false">IF(COUNT(H389,I389,J389)&lt;3,"",H389*I389*J389)</f>
        <v/>
      </c>
      <c r="L389" s="27"/>
      <c r="M389" s="27"/>
      <c r="N389" s="27"/>
      <c r="O389" s="27"/>
      <c r="P389" s="27"/>
    </row>
    <row r="390" customFormat="false" ht="15" hidden="false" customHeight="false" outlineLevel="0" collapsed="false">
      <c r="B390" s="26"/>
      <c r="C390" s="27"/>
      <c r="D390" s="28" t="str">
        <f aca="false">IF(C390="","",IFERROR(INDEX(Players!$C$5:$C$104,MATCH(C390,Players!$B$5:$B$104,0)),"ID not found"))</f>
        <v/>
      </c>
      <c r="E390" s="27"/>
      <c r="F390" s="28" t="str">
        <f aca="false">IF(E390="","",IFERROR(INDEX('Med Ball Library'!$C$6:$C$19,MATCH(E390,'Med Ball Library'!$B$6:$B$19,0)),"Unknown ID"))</f>
        <v/>
      </c>
      <c r="G390" s="27"/>
      <c r="H390" s="27"/>
      <c r="I390" s="27"/>
      <c r="J390" s="27"/>
      <c r="K390" s="28" t="str">
        <f aca="false">IF(COUNT(H390,I390,J390)&lt;3,"",H390*I390*J390)</f>
        <v/>
      </c>
      <c r="L390" s="27"/>
      <c r="M390" s="27"/>
      <c r="N390" s="27"/>
      <c r="O390" s="27"/>
      <c r="P390" s="27"/>
    </row>
    <row r="391" customFormat="false" ht="15" hidden="false" customHeight="false" outlineLevel="0" collapsed="false">
      <c r="B391" s="26"/>
      <c r="C391" s="27"/>
      <c r="D391" s="28" t="str">
        <f aca="false">IF(C391="","",IFERROR(INDEX(Players!$C$5:$C$104,MATCH(C391,Players!$B$5:$B$104,0)),"ID not found"))</f>
        <v/>
      </c>
      <c r="E391" s="27"/>
      <c r="F391" s="28" t="str">
        <f aca="false">IF(E391="","",IFERROR(INDEX('Med Ball Library'!$C$6:$C$19,MATCH(E391,'Med Ball Library'!$B$6:$B$19,0)),"Unknown ID"))</f>
        <v/>
      </c>
      <c r="G391" s="27"/>
      <c r="H391" s="27"/>
      <c r="I391" s="27"/>
      <c r="J391" s="27"/>
      <c r="K391" s="28" t="str">
        <f aca="false">IF(COUNT(H391,I391,J391)&lt;3,"",H391*I391*J391)</f>
        <v/>
      </c>
      <c r="L391" s="27"/>
      <c r="M391" s="27"/>
      <c r="N391" s="27"/>
      <c r="O391" s="27"/>
      <c r="P391" s="27"/>
    </row>
    <row r="392" customFormat="false" ht="15" hidden="false" customHeight="false" outlineLevel="0" collapsed="false">
      <c r="B392" s="26"/>
      <c r="C392" s="27"/>
      <c r="D392" s="28" t="str">
        <f aca="false">IF(C392="","",IFERROR(INDEX(Players!$C$5:$C$104,MATCH(C392,Players!$B$5:$B$104,0)),"ID not found"))</f>
        <v/>
      </c>
      <c r="E392" s="27"/>
      <c r="F392" s="28" t="str">
        <f aca="false">IF(E392="","",IFERROR(INDEX('Med Ball Library'!$C$6:$C$19,MATCH(E392,'Med Ball Library'!$B$6:$B$19,0)),"Unknown ID"))</f>
        <v/>
      </c>
      <c r="G392" s="27"/>
      <c r="H392" s="27"/>
      <c r="I392" s="27"/>
      <c r="J392" s="27"/>
      <c r="K392" s="28" t="str">
        <f aca="false">IF(COUNT(H392,I392,J392)&lt;3,"",H392*I392*J392)</f>
        <v/>
      </c>
      <c r="L392" s="27"/>
      <c r="M392" s="27"/>
      <c r="N392" s="27"/>
      <c r="O392" s="27"/>
      <c r="P392" s="27"/>
    </row>
    <row r="393" customFormat="false" ht="15" hidden="false" customHeight="false" outlineLevel="0" collapsed="false">
      <c r="B393" s="26"/>
      <c r="C393" s="27"/>
      <c r="D393" s="28" t="str">
        <f aca="false">IF(C393="","",IFERROR(INDEX(Players!$C$5:$C$104,MATCH(C393,Players!$B$5:$B$104,0)),"ID not found"))</f>
        <v/>
      </c>
      <c r="E393" s="27"/>
      <c r="F393" s="28" t="str">
        <f aca="false">IF(E393="","",IFERROR(INDEX('Med Ball Library'!$C$6:$C$19,MATCH(E393,'Med Ball Library'!$B$6:$B$19,0)),"Unknown ID"))</f>
        <v/>
      </c>
      <c r="G393" s="27"/>
      <c r="H393" s="27"/>
      <c r="I393" s="27"/>
      <c r="J393" s="27"/>
      <c r="K393" s="28" t="str">
        <f aca="false">IF(COUNT(H393,I393,J393)&lt;3,"",H393*I393*J393)</f>
        <v/>
      </c>
      <c r="L393" s="27"/>
      <c r="M393" s="27"/>
      <c r="N393" s="27"/>
      <c r="O393" s="27"/>
      <c r="P393" s="27"/>
    </row>
    <row r="394" customFormat="false" ht="15" hidden="false" customHeight="false" outlineLevel="0" collapsed="false">
      <c r="B394" s="26"/>
      <c r="C394" s="27"/>
      <c r="D394" s="28" t="str">
        <f aca="false">IF(C394="","",IFERROR(INDEX(Players!$C$5:$C$104,MATCH(C394,Players!$B$5:$B$104,0)),"ID not found"))</f>
        <v/>
      </c>
      <c r="E394" s="27"/>
      <c r="F394" s="28" t="str">
        <f aca="false">IF(E394="","",IFERROR(INDEX('Med Ball Library'!$C$6:$C$19,MATCH(E394,'Med Ball Library'!$B$6:$B$19,0)),"Unknown ID"))</f>
        <v/>
      </c>
      <c r="G394" s="27"/>
      <c r="H394" s="27"/>
      <c r="I394" s="27"/>
      <c r="J394" s="27"/>
      <c r="K394" s="28" t="str">
        <f aca="false">IF(COUNT(H394,I394,J394)&lt;3,"",H394*I394*J394)</f>
        <v/>
      </c>
      <c r="L394" s="27"/>
      <c r="M394" s="27"/>
      <c r="N394" s="27"/>
      <c r="O394" s="27"/>
      <c r="P394" s="27"/>
    </row>
    <row r="395" customFormat="false" ht="15" hidden="false" customHeight="false" outlineLevel="0" collapsed="false">
      <c r="B395" s="26"/>
      <c r="C395" s="27"/>
      <c r="D395" s="28" t="str">
        <f aca="false">IF(C395="","",IFERROR(INDEX(Players!$C$5:$C$104,MATCH(C395,Players!$B$5:$B$104,0)),"ID not found"))</f>
        <v/>
      </c>
      <c r="E395" s="27"/>
      <c r="F395" s="28" t="str">
        <f aca="false">IF(E395="","",IFERROR(INDEX('Med Ball Library'!$C$6:$C$19,MATCH(E395,'Med Ball Library'!$B$6:$B$19,0)),"Unknown ID"))</f>
        <v/>
      </c>
      <c r="G395" s="27"/>
      <c r="H395" s="27"/>
      <c r="I395" s="27"/>
      <c r="J395" s="27"/>
      <c r="K395" s="28" t="str">
        <f aca="false">IF(COUNT(H395,I395,J395)&lt;3,"",H395*I395*J395)</f>
        <v/>
      </c>
      <c r="L395" s="27"/>
      <c r="M395" s="27"/>
      <c r="N395" s="27"/>
      <c r="O395" s="27"/>
      <c r="P395" s="27"/>
    </row>
    <row r="396" customFormat="false" ht="15" hidden="false" customHeight="false" outlineLevel="0" collapsed="false">
      <c r="B396" s="26"/>
      <c r="C396" s="27"/>
      <c r="D396" s="28" t="str">
        <f aca="false">IF(C396="","",IFERROR(INDEX(Players!$C$5:$C$104,MATCH(C396,Players!$B$5:$B$104,0)),"ID not found"))</f>
        <v/>
      </c>
      <c r="E396" s="27"/>
      <c r="F396" s="28" t="str">
        <f aca="false">IF(E396="","",IFERROR(INDEX('Med Ball Library'!$C$6:$C$19,MATCH(E396,'Med Ball Library'!$B$6:$B$19,0)),"Unknown ID"))</f>
        <v/>
      </c>
      <c r="G396" s="27"/>
      <c r="H396" s="27"/>
      <c r="I396" s="27"/>
      <c r="J396" s="27"/>
      <c r="K396" s="28" t="str">
        <f aca="false">IF(COUNT(H396,I396,J396)&lt;3,"",H396*I396*J396)</f>
        <v/>
      </c>
      <c r="L396" s="27"/>
      <c r="M396" s="27"/>
      <c r="N396" s="27"/>
      <c r="O396" s="27"/>
      <c r="P396" s="27"/>
    </row>
    <row r="397" customFormat="false" ht="15" hidden="false" customHeight="false" outlineLevel="0" collapsed="false">
      <c r="B397" s="26"/>
      <c r="C397" s="27"/>
      <c r="D397" s="28" t="str">
        <f aca="false">IF(C397="","",IFERROR(INDEX(Players!$C$5:$C$104,MATCH(C397,Players!$B$5:$B$104,0)),"ID not found"))</f>
        <v/>
      </c>
      <c r="E397" s="27"/>
      <c r="F397" s="28" t="str">
        <f aca="false">IF(E397="","",IFERROR(INDEX('Med Ball Library'!$C$6:$C$19,MATCH(E397,'Med Ball Library'!$B$6:$B$19,0)),"Unknown ID"))</f>
        <v/>
      </c>
      <c r="G397" s="27"/>
      <c r="H397" s="27"/>
      <c r="I397" s="27"/>
      <c r="J397" s="27"/>
      <c r="K397" s="28" t="str">
        <f aca="false">IF(COUNT(H397,I397,J397)&lt;3,"",H397*I397*J397)</f>
        <v/>
      </c>
      <c r="L397" s="27"/>
      <c r="M397" s="27"/>
      <c r="N397" s="27"/>
      <c r="O397" s="27"/>
      <c r="P397" s="27"/>
    </row>
    <row r="398" customFormat="false" ht="15" hidden="false" customHeight="false" outlineLevel="0" collapsed="false">
      <c r="B398" s="26"/>
      <c r="C398" s="27"/>
      <c r="D398" s="28" t="str">
        <f aca="false">IF(C398="","",IFERROR(INDEX(Players!$C$5:$C$104,MATCH(C398,Players!$B$5:$B$104,0)),"ID not found"))</f>
        <v/>
      </c>
      <c r="E398" s="27"/>
      <c r="F398" s="28" t="str">
        <f aca="false">IF(E398="","",IFERROR(INDEX('Med Ball Library'!$C$6:$C$19,MATCH(E398,'Med Ball Library'!$B$6:$B$19,0)),"Unknown ID"))</f>
        <v/>
      </c>
      <c r="G398" s="27"/>
      <c r="H398" s="27"/>
      <c r="I398" s="27"/>
      <c r="J398" s="27"/>
      <c r="K398" s="28" t="str">
        <f aca="false">IF(COUNT(H398,I398,J398)&lt;3,"",H398*I398*J398)</f>
        <v/>
      </c>
      <c r="L398" s="27"/>
      <c r="M398" s="27"/>
      <c r="N398" s="27"/>
      <c r="O398" s="27"/>
      <c r="P398" s="27"/>
    </row>
    <row r="399" customFormat="false" ht="15" hidden="false" customHeight="false" outlineLevel="0" collapsed="false">
      <c r="B399" s="26"/>
      <c r="C399" s="27"/>
      <c r="D399" s="28" t="str">
        <f aca="false">IF(C399="","",IFERROR(INDEX(Players!$C$5:$C$104,MATCH(C399,Players!$B$5:$B$104,0)),"ID not found"))</f>
        <v/>
      </c>
      <c r="E399" s="27"/>
      <c r="F399" s="28" t="str">
        <f aca="false">IF(E399="","",IFERROR(INDEX('Med Ball Library'!$C$6:$C$19,MATCH(E399,'Med Ball Library'!$B$6:$B$19,0)),"Unknown ID"))</f>
        <v/>
      </c>
      <c r="G399" s="27"/>
      <c r="H399" s="27"/>
      <c r="I399" s="27"/>
      <c r="J399" s="27"/>
      <c r="K399" s="28" t="str">
        <f aca="false">IF(COUNT(H399,I399,J399)&lt;3,"",H399*I399*J399)</f>
        <v/>
      </c>
      <c r="L399" s="27"/>
      <c r="M399" s="27"/>
      <c r="N399" s="27"/>
      <c r="O399" s="27"/>
      <c r="P399" s="27"/>
    </row>
    <row r="400" customFormat="false" ht="15" hidden="false" customHeight="false" outlineLevel="0" collapsed="false">
      <c r="B400" s="26"/>
      <c r="C400" s="27"/>
      <c r="D400" s="28" t="str">
        <f aca="false">IF(C400="","",IFERROR(INDEX(Players!$C$5:$C$104,MATCH(C400,Players!$B$5:$B$104,0)),"ID not found"))</f>
        <v/>
      </c>
      <c r="E400" s="27"/>
      <c r="F400" s="28" t="str">
        <f aca="false">IF(E400="","",IFERROR(INDEX('Med Ball Library'!$C$6:$C$19,MATCH(E400,'Med Ball Library'!$B$6:$B$19,0)),"Unknown ID"))</f>
        <v/>
      </c>
      <c r="G400" s="27"/>
      <c r="H400" s="27"/>
      <c r="I400" s="27"/>
      <c r="J400" s="27"/>
      <c r="K400" s="28" t="str">
        <f aca="false">IF(COUNT(H400,I400,J400)&lt;3,"",H400*I400*J400)</f>
        <v/>
      </c>
      <c r="L400" s="27"/>
      <c r="M400" s="27"/>
      <c r="N400" s="27"/>
      <c r="O400" s="27"/>
      <c r="P400" s="27"/>
    </row>
    <row r="401" customFormat="false" ht="15" hidden="false" customHeight="false" outlineLevel="0" collapsed="false">
      <c r="B401" s="26"/>
      <c r="C401" s="27"/>
      <c r="D401" s="28" t="str">
        <f aca="false">IF(C401="","",IFERROR(INDEX(Players!$C$5:$C$104,MATCH(C401,Players!$B$5:$B$104,0)),"ID not found"))</f>
        <v/>
      </c>
      <c r="E401" s="27"/>
      <c r="F401" s="28" t="str">
        <f aca="false">IF(E401="","",IFERROR(INDEX('Med Ball Library'!$C$6:$C$19,MATCH(E401,'Med Ball Library'!$B$6:$B$19,0)),"Unknown ID"))</f>
        <v/>
      </c>
      <c r="G401" s="27"/>
      <c r="H401" s="27"/>
      <c r="I401" s="27"/>
      <c r="J401" s="27"/>
      <c r="K401" s="28" t="str">
        <f aca="false">IF(COUNT(H401,I401,J401)&lt;3,"",H401*I401*J401)</f>
        <v/>
      </c>
      <c r="L401" s="27"/>
      <c r="M401" s="27"/>
      <c r="N401" s="27"/>
      <c r="O401" s="27"/>
      <c r="P401" s="27"/>
    </row>
    <row r="402" customFormat="false" ht="15" hidden="false" customHeight="false" outlineLevel="0" collapsed="false">
      <c r="B402" s="26"/>
      <c r="C402" s="27"/>
      <c r="D402" s="28" t="str">
        <f aca="false">IF(C402="","",IFERROR(INDEX(Players!$C$5:$C$104,MATCH(C402,Players!$B$5:$B$104,0)),"ID not found"))</f>
        <v/>
      </c>
      <c r="E402" s="27"/>
      <c r="F402" s="28" t="str">
        <f aca="false">IF(E402="","",IFERROR(INDEX('Med Ball Library'!$C$6:$C$19,MATCH(E402,'Med Ball Library'!$B$6:$B$19,0)),"Unknown ID"))</f>
        <v/>
      </c>
      <c r="G402" s="27"/>
      <c r="H402" s="27"/>
      <c r="I402" s="27"/>
      <c r="J402" s="27"/>
      <c r="K402" s="28" t="str">
        <f aca="false">IF(COUNT(H402,I402,J402)&lt;3,"",H402*I402*J402)</f>
        <v/>
      </c>
      <c r="L402" s="27"/>
      <c r="M402" s="27"/>
      <c r="N402" s="27"/>
      <c r="O402" s="27"/>
      <c r="P402" s="27"/>
    </row>
    <row r="403" customFormat="false" ht="15" hidden="false" customHeight="false" outlineLevel="0" collapsed="false">
      <c r="B403" s="26"/>
      <c r="C403" s="27"/>
      <c r="D403" s="28" t="str">
        <f aca="false">IF(C403="","",IFERROR(INDEX(Players!$C$5:$C$104,MATCH(C403,Players!$B$5:$B$104,0)),"ID not found"))</f>
        <v/>
      </c>
      <c r="E403" s="27"/>
      <c r="F403" s="28" t="str">
        <f aca="false">IF(E403="","",IFERROR(INDEX('Med Ball Library'!$C$6:$C$19,MATCH(E403,'Med Ball Library'!$B$6:$B$19,0)),"Unknown ID"))</f>
        <v/>
      </c>
      <c r="G403" s="27"/>
      <c r="H403" s="27"/>
      <c r="I403" s="27"/>
      <c r="J403" s="27"/>
      <c r="K403" s="28" t="str">
        <f aca="false">IF(COUNT(H403,I403,J403)&lt;3,"",H403*I403*J403)</f>
        <v/>
      </c>
      <c r="L403" s="27"/>
      <c r="M403" s="27"/>
      <c r="N403" s="27"/>
      <c r="O403" s="27"/>
      <c r="P403" s="27"/>
    </row>
    <row r="404" customFormat="false" ht="15" hidden="false" customHeight="false" outlineLevel="0" collapsed="false">
      <c r="B404" s="26"/>
      <c r="C404" s="27"/>
      <c r="D404" s="28" t="str">
        <f aca="false">IF(C404="","",IFERROR(INDEX(Players!$C$5:$C$104,MATCH(C404,Players!$B$5:$B$104,0)),"ID not found"))</f>
        <v/>
      </c>
      <c r="E404" s="27"/>
      <c r="F404" s="28" t="str">
        <f aca="false">IF(E404="","",IFERROR(INDEX('Med Ball Library'!$C$6:$C$19,MATCH(E404,'Med Ball Library'!$B$6:$B$19,0)),"Unknown ID"))</f>
        <v/>
      </c>
      <c r="G404" s="27"/>
      <c r="H404" s="27"/>
      <c r="I404" s="27"/>
      <c r="J404" s="27"/>
      <c r="K404" s="28" t="str">
        <f aca="false">IF(COUNT(H404,I404,J404)&lt;3,"",H404*I404*J404)</f>
        <v/>
      </c>
      <c r="L404" s="27"/>
      <c r="M404" s="27"/>
      <c r="N404" s="27"/>
      <c r="O404" s="27"/>
      <c r="P404" s="27"/>
    </row>
    <row r="405" customFormat="false" ht="15" hidden="false" customHeight="false" outlineLevel="0" collapsed="false">
      <c r="B405" s="26"/>
      <c r="C405" s="27"/>
      <c r="D405" s="28" t="str">
        <f aca="false">IF(C405="","",IFERROR(INDEX(Players!$C$5:$C$104,MATCH(C405,Players!$B$5:$B$104,0)),"ID not found"))</f>
        <v/>
      </c>
      <c r="E405" s="27"/>
      <c r="F405" s="28" t="str">
        <f aca="false">IF(E405="","",IFERROR(INDEX('Med Ball Library'!$C$6:$C$19,MATCH(E405,'Med Ball Library'!$B$6:$B$19,0)),"Unknown ID"))</f>
        <v/>
      </c>
      <c r="G405" s="27"/>
      <c r="H405" s="27"/>
      <c r="I405" s="27"/>
      <c r="J405" s="27"/>
      <c r="K405" s="28" t="str">
        <f aca="false">IF(COUNT(H405,I405,J405)&lt;3,"",H405*I405*J405)</f>
        <v/>
      </c>
      <c r="L405" s="27"/>
      <c r="M405" s="27"/>
      <c r="N405" s="27"/>
      <c r="O405" s="27"/>
      <c r="P405" s="27"/>
    </row>
    <row r="406" customFormat="false" ht="15" hidden="false" customHeight="false" outlineLevel="0" collapsed="false">
      <c r="B406" s="26"/>
      <c r="C406" s="27"/>
      <c r="D406" s="28" t="str">
        <f aca="false">IF(C406="","",IFERROR(INDEX(Players!$C$5:$C$104,MATCH(C406,Players!$B$5:$B$104,0)),"ID not found"))</f>
        <v/>
      </c>
      <c r="E406" s="27"/>
      <c r="F406" s="28" t="str">
        <f aca="false">IF(E406="","",IFERROR(INDEX('Med Ball Library'!$C$6:$C$19,MATCH(E406,'Med Ball Library'!$B$6:$B$19,0)),"Unknown ID"))</f>
        <v/>
      </c>
      <c r="G406" s="27"/>
      <c r="H406" s="27"/>
      <c r="I406" s="27"/>
      <c r="J406" s="27"/>
      <c r="K406" s="28" t="str">
        <f aca="false">IF(COUNT(H406,I406,J406)&lt;3,"",H406*I406*J406)</f>
        <v/>
      </c>
      <c r="L406" s="27"/>
      <c r="M406" s="27"/>
      <c r="N406" s="27"/>
      <c r="O406" s="27"/>
      <c r="P406" s="27"/>
    </row>
    <row r="407" customFormat="false" ht="15" hidden="false" customHeight="false" outlineLevel="0" collapsed="false">
      <c r="B407" s="26"/>
      <c r="C407" s="27"/>
      <c r="D407" s="28" t="str">
        <f aca="false">IF(C407="","",IFERROR(INDEX(Players!$C$5:$C$104,MATCH(C407,Players!$B$5:$B$104,0)),"ID not found"))</f>
        <v/>
      </c>
      <c r="E407" s="27"/>
      <c r="F407" s="28" t="str">
        <f aca="false">IF(E407="","",IFERROR(INDEX('Med Ball Library'!$C$6:$C$19,MATCH(E407,'Med Ball Library'!$B$6:$B$19,0)),"Unknown ID"))</f>
        <v/>
      </c>
      <c r="G407" s="27"/>
      <c r="H407" s="27"/>
      <c r="I407" s="27"/>
      <c r="J407" s="27"/>
      <c r="K407" s="28" t="str">
        <f aca="false">IF(COUNT(H407,I407,J407)&lt;3,"",H407*I407*J407)</f>
        <v/>
      </c>
      <c r="L407" s="27"/>
      <c r="M407" s="27"/>
      <c r="N407" s="27"/>
      <c r="O407" s="27"/>
      <c r="P407" s="27"/>
    </row>
    <row r="408" customFormat="false" ht="15" hidden="false" customHeight="false" outlineLevel="0" collapsed="false">
      <c r="B408" s="26"/>
      <c r="C408" s="27"/>
      <c r="D408" s="28" t="str">
        <f aca="false">IF(C408="","",IFERROR(INDEX(Players!$C$5:$C$104,MATCH(C408,Players!$B$5:$B$104,0)),"ID not found"))</f>
        <v/>
      </c>
      <c r="E408" s="27"/>
      <c r="F408" s="28" t="str">
        <f aca="false">IF(E408="","",IFERROR(INDEX('Med Ball Library'!$C$6:$C$19,MATCH(E408,'Med Ball Library'!$B$6:$B$19,0)),"Unknown ID"))</f>
        <v/>
      </c>
      <c r="G408" s="27"/>
      <c r="H408" s="27"/>
      <c r="I408" s="27"/>
      <c r="J408" s="27"/>
      <c r="K408" s="28" t="str">
        <f aca="false">IF(COUNT(H408,I408,J408)&lt;3,"",H408*I408*J408)</f>
        <v/>
      </c>
      <c r="L408" s="27"/>
      <c r="M408" s="27"/>
      <c r="N408" s="27"/>
      <c r="O408" s="27"/>
      <c r="P408" s="27"/>
    </row>
    <row r="409" customFormat="false" ht="15" hidden="false" customHeight="false" outlineLevel="0" collapsed="false">
      <c r="B409" s="26"/>
      <c r="C409" s="27"/>
      <c r="D409" s="28" t="str">
        <f aca="false">IF(C409="","",IFERROR(INDEX(Players!$C$5:$C$104,MATCH(C409,Players!$B$5:$B$104,0)),"ID not found"))</f>
        <v/>
      </c>
      <c r="E409" s="27"/>
      <c r="F409" s="28" t="str">
        <f aca="false">IF(E409="","",IFERROR(INDEX('Med Ball Library'!$C$6:$C$19,MATCH(E409,'Med Ball Library'!$B$6:$B$19,0)),"Unknown ID"))</f>
        <v/>
      </c>
      <c r="G409" s="27"/>
      <c r="H409" s="27"/>
      <c r="I409" s="27"/>
      <c r="J409" s="27"/>
      <c r="K409" s="28" t="str">
        <f aca="false">IF(COUNT(H409,I409,J409)&lt;3,"",H409*I409*J409)</f>
        <v/>
      </c>
      <c r="L409" s="27"/>
      <c r="M409" s="27"/>
      <c r="N409" s="27"/>
      <c r="O409" s="27"/>
      <c r="P409" s="27"/>
    </row>
    <row r="410" customFormat="false" ht="15" hidden="false" customHeight="false" outlineLevel="0" collapsed="false">
      <c r="B410" s="26"/>
      <c r="C410" s="27"/>
      <c r="D410" s="28" t="str">
        <f aca="false">IF(C410="","",IFERROR(INDEX(Players!$C$5:$C$104,MATCH(C410,Players!$B$5:$B$104,0)),"ID not found"))</f>
        <v/>
      </c>
      <c r="E410" s="27"/>
      <c r="F410" s="28" t="str">
        <f aca="false">IF(E410="","",IFERROR(INDEX('Med Ball Library'!$C$6:$C$19,MATCH(E410,'Med Ball Library'!$B$6:$B$19,0)),"Unknown ID"))</f>
        <v/>
      </c>
      <c r="G410" s="27"/>
      <c r="H410" s="27"/>
      <c r="I410" s="27"/>
      <c r="J410" s="27"/>
      <c r="K410" s="28" t="str">
        <f aca="false">IF(COUNT(H410,I410,J410)&lt;3,"",H410*I410*J410)</f>
        <v/>
      </c>
      <c r="L410" s="27"/>
      <c r="M410" s="27"/>
      <c r="N410" s="27"/>
      <c r="O410" s="27"/>
      <c r="P410" s="27"/>
    </row>
    <row r="411" customFormat="false" ht="15" hidden="false" customHeight="false" outlineLevel="0" collapsed="false">
      <c r="B411" s="26"/>
      <c r="C411" s="27"/>
      <c r="D411" s="28" t="str">
        <f aca="false">IF(C411="","",IFERROR(INDEX(Players!$C$5:$C$104,MATCH(C411,Players!$B$5:$B$104,0)),"ID not found"))</f>
        <v/>
      </c>
      <c r="E411" s="27"/>
      <c r="F411" s="28" t="str">
        <f aca="false">IF(E411="","",IFERROR(INDEX('Med Ball Library'!$C$6:$C$19,MATCH(E411,'Med Ball Library'!$B$6:$B$19,0)),"Unknown ID"))</f>
        <v/>
      </c>
      <c r="G411" s="27"/>
      <c r="H411" s="27"/>
      <c r="I411" s="27"/>
      <c r="J411" s="27"/>
      <c r="K411" s="28" t="str">
        <f aca="false">IF(COUNT(H411,I411,J411)&lt;3,"",H411*I411*J411)</f>
        <v/>
      </c>
      <c r="L411" s="27"/>
      <c r="M411" s="27"/>
      <c r="N411" s="27"/>
      <c r="O411" s="27"/>
      <c r="P411" s="27"/>
    </row>
    <row r="412" customFormat="false" ht="15" hidden="false" customHeight="false" outlineLevel="0" collapsed="false">
      <c r="B412" s="26"/>
      <c r="C412" s="27"/>
      <c r="D412" s="28" t="str">
        <f aca="false">IF(C412="","",IFERROR(INDEX(Players!$C$5:$C$104,MATCH(C412,Players!$B$5:$B$104,0)),"ID not found"))</f>
        <v/>
      </c>
      <c r="E412" s="27"/>
      <c r="F412" s="28" t="str">
        <f aca="false">IF(E412="","",IFERROR(INDEX('Med Ball Library'!$C$6:$C$19,MATCH(E412,'Med Ball Library'!$B$6:$B$19,0)),"Unknown ID"))</f>
        <v/>
      </c>
      <c r="G412" s="27"/>
      <c r="H412" s="27"/>
      <c r="I412" s="27"/>
      <c r="J412" s="27"/>
      <c r="K412" s="28" t="str">
        <f aca="false">IF(COUNT(H412,I412,J412)&lt;3,"",H412*I412*J412)</f>
        <v/>
      </c>
      <c r="L412" s="27"/>
      <c r="M412" s="27"/>
      <c r="N412" s="27"/>
      <c r="O412" s="27"/>
      <c r="P412" s="27"/>
    </row>
    <row r="413" customFormat="false" ht="15" hidden="false" customHeight="false" outlineLevel="0" collapsed="false">
      <c r="B413" s="26"/>
      <c r="C413" s="27"/>
      <c r="D413" s="28" t="str">
        <f aca="false">IF(C413="","",IFERROR(INDEX(Players!$C$5:$C$104,MATCH(C413,Players!$B$5:$B$104,0)),"ID not found"))</f>
        <v/>
      </c>
      <c r="E413" s="27"/>
      <c r="F413" s="28" t="str">
        <f aca="false">IF(E413="","",IFERROR(INDEX('Med Ball Library'!$C$6:$C$19,MATCH(E413,'Med Ball Library'!$B$6:$B$19,0)),"Unknown ID"))</f>
        <v/>
      </c>
      <c r="G413" s="27"/>
      <c r="H413" s="27"/>
      <c r="I413" s="27"/>
      <c r="J413" s="27"/>
      <c r="K413" s="28" t="str">
        <f aca="false">IF(COUNT(H413,I413,J413)&lt;3,"",H413*I413*J413)</f>
        <v/>
      </c>
      <c r="L413" s="27"/>
      <c r="M413" s="27"/>
      <c r="N413" s="27"/>
      <c r="O413" s="27"/>
      <c r="P413" s="27"/>
    </row>
    <row r="414" customFormat="false" ht="15" hidden="false" customHeight="false" outlineLevel="0" collapsed="false">
      <c r="B414" s="26"/>
      <c r="C414" s="27"/>
      <c r="D414" s="28" t="str">
        <f aca="false">IF(C414="","",IFERROR(INDEX(Players!$C$5:$C$104,MATCH(C414,Players!$B$5:$B$104,0)),"ID not found"))</f>
        <v/>
      </c>
      <c r="E414" s="27"/>
      <c r="F414" s="28" t="str">
        <f aca="false">IF(E414="","",IFERROR(INDEX('Med Ball Library'!$C$6:$C$19,MATCH(E414,'Med Ball Library'!$B$6:$B$19,0)),"Unknown ID"))</f>
        <v/>
      </c>
      <c r="G414" s="27"/>
      <c r="H414" s="27"/>
      <c r="I414" s="27"/>
      <c r="J414" s="27"/>
      <c r="K414" s="28" t="str">
        <f aca="false">IF(COUNT(H414,I414,J414)&lt;3,"",H414*I414*J414)</f>
        <v/>
      </c>
      <c r="L414" s="27"/>
      <c r="M414" s="27"/>
      <c r="N414" s="27"/>
      <c r="O414" s="27"/>
      <c r="P414" s="27"/>
    </row>
    <row r="415" customFormat="false" ht="15" hidden="false" customHeight="false" outlineLevel="0" collapsed="false">
      <c r="B415" s="26"/>
      <c r="C415" s="27"/>
      <c r="D415" s="28" t="str">
        <f aca="false">IF(C415="","",IFERROR(INDEX(Players!$C$5:$C$104,MATCH(C415,Players!$B$5:$B$104,0)),"ID not found"))</f>
        <v/>
      </c>
      <c r="E415" s="27"/>
      <c r="F415" s="28" t="str">
        <f aca="false">IF(E415="","",IFERROR(INDEX('Med Ball Library'!$C$6:$C$19,MATCH(E415,'Med Ball Library'!$B$6:$B$19,0)),"Unknown ID"))</f>
        <v/>
      </c>
      <c r="G415" s="27"/>
      <c r="H415" s="27"/>
      <c r="I415" s="27"/>
      <c r="J415" s="27"/>
      <c r="K415" s="28" t="str">
        <f aca="false">IF(COUNT(H415,I415,J415)&lt;3,"",H415*I415*J415)</f>
        <v/>
      </c>
      <c r="L415" s="27"/>
      <c r="M415" s="27"/>
      <c r="N415" s="27"/>
      <c r="O415" s="27"/>
      <c r="P415" s="27"/>
    </row>
    <row r="416" customFormat="false" ht="15" hidden="false" customHeight="false" outlineLevel="0" collapsed="false">
      <c r="B416" s="26"/>
      <c r="C416" s="27"/>
      <c r="D416" s="28" t="str">
        <f aca="false">IF(C416="","",IFERROR(INDEX(Players!$C$5:$C$104,MATCH(C416,Players!$B$5:$B$104,0)),"ID not found"))</f>
        <v/>
      </c>
      <c r="E416" s="27"/>
      <c r="F416" s="28" t="str">
        <f aca="false">IF(E416="","",IFERROR(INDEX('Med Ball Library'!$C$6:$C$19,MATCH(E416,'Med Ball Library'!$B$6:$B$19,0)),"Unknown ID"))</f>
        <v/>
      </c>
      <c r="G416" s="27"/>
      <c r="H416" s="27"/>
      <c r="I416" s="27"/>
      <c r="J416" s="27"/>
      <c r="K416" s="28" t="str">
        <f aca="false">IF(COUNT(H416,I416,J416)&lt;3,"",H416*I416*J416)</f>
        <v/>
      </c>
      <c r="L416" s="27"/>
      <c r="M416" s="27"/>
      <c r="N416" s="27"/>
      <c r="O416" s="27"/>
      <c r="P416" s="27"/>
    </row>
    <row r="417" customFormat="false" ht="15" hidden="false" customHeight="false" outlineLevel="0" collapsed="false">
      <c r="B417" s="26"/>
      <c r="C417" s="27"/>
      <c r="D417" s="28" t="str">
        <f aca="false">IF(C417="","",IFERROR(INDEX(Players!$C$5:$C$104,MATCH(C417,Players!$B$5:$B$104,0)),"ID not found"))</f>
        <v/>
      </c>
      <c r="E417" s="27"/>
      <c r="F417" s="28" t="str">
        <f aca="false">IF(E417="","",IFERROR(INDEX('Med Ball Library'!$C$6:$C$19,MATCH(E417,'Med Ball Library'!$B$6:$B$19,0)),"Unknown ID"))</f>
        <v/>
      </c>
      <c r="G417" s="27"/>
      <c r="H417" s="27"/>
      <c r="I417" s="27"/>
      <c r="J417" s="27"/>
      <c r="K417" s="28" t="str">
        <f aca="false">IF(COUNT(H417,I417,J417)&lt;3,"",H417*I417*J417)</f>
        <v/>
      </c>
      <c r="L417" s="27"/>
      <c r="M417" s="27"/>
      <c r="N417" s="27"/>
      <c r="O417" s="27"/>
      <c r="P417" s="27"/>
    </row>
    <row r="418" customFormat="false" ht="15" hidden="false" customHeight="false" outlineLevel="0" collapsed="false">
      <c r="B418" s="26"/>
      <c r="C418" s="27"/>
      <c r="D418" s="28" t="str">
        <f aca="false">IF(C418="","",IFERROR(INDEX(Players!$C$5:$C$104,MATCH(C418,Players!$B$5:$B$104,0)),"ID not found"))</f>
        <v/>
      </c>
      <c r="E418" s="27"/>
      <c r="F418" s="28" t="str">
        <f aca="false">IF(E418="","",IFERROR(INDEX('Med Ball Library'!$C$6:$C$19,MATCH(E418,'Med Ball Library'!$B$6:$B$19,0)),"Unknown ID"))</f>
        <v/>
      </c>
      <c r="G418" s="27"/>
      <c r="H418" s="27"/>
      <c r="I418" s="27"/>
      <c r="J418" s="27"/>
      <c r="K418" s="28" t="str">
        <f aca="false">IF(COUNT(H418,I418,J418)&lt;3,"",H418*I418*J418)</f>
        <v/>
      </c>
      <c r="L418" s="27"/>
      <c r="M418" s="27"/>
      <c r="N418" s="27"/>
      <c r="O418" s="27"/>
      <c r="P418" s="27"/>
    </row>
    <row r="419" customFormat="false" ht="15" hidden="false" customHeight="false" outlineLevel="0" collapsed="false">
      <c r="B419" s="26"/>
      <c r="C419" s="27"/>
      <c r="D419" s="28" t="str">
        <f aca="false">IF(C419="","",IFERROR(INDEX(Players!$C$5:$C$104,MATCH(C419,Players!$B$5:$B$104,0)),"ID not found"))</f>
        <v/>
      </c>
      <c r="E419" s="27"/>
      <c r="F419" s="28" t="str">
        <f aca="false">IF(E419="","",IFERROR(INDEX('Med Ball Library'!$C$6:$C$19,MATCH(E419,'Med Ball Library'!$B$6:$B$19,0)),"Unknown ID"))</f>
        <v/>
      </c>
      <c r="G419" s="27"/>
      <c r="H419" s="27"/>
      <c r="I419" s="27"/>
      <c r="J419" s="27"/>
      <c r="K419" s="28" t="str">
        <f aca="false">IF(COUNT(H419,I419,J419)&lt;3,"",H419*I419*J419)</f>
        <v/>
      </c>
      <c r="L419" s="27"/>
      <c r="M419" s="27"/>
      <c r="N419" s="27"/>
      <c r="O419" s="27"/>
      <c r="P419" s="27"/>
    </row>
    <row r="420" customFormat="false" ht="15" hidden="false" customHeight="false" outlineLevel="0" collapsed="false">
      <c r="B420" s="26"/>
      <c r="C420" s="27"/>
      <c r="D420" s="28" t="str">
        <f aca="false">IF(C420="","",IFERROR(INDEX(Players!$C$5:$C$104,MATCH(C420,Players!$B$5:$B$104,0)),"ID not found"))</f>
        <v/>
      </c>
      <c r="E420" s="27"/>
      <c r="F420" s="28" t="str">
        <f aca="false">IF(E420="","",IFERROR(INDEX('Med Ball Library'!$C$6:$C$19,MATCH(E420,'Med Ball Library'!$B$6:$B$19,0)),"Unknown ID"))</f>
        <v/>
      </c>
      <c r="G420" s="27"/>
      <c r="H420" s="27"/>
      <c r="I420" s="27"/>
      <c r="J420" s="27"/>
      <c r="K420" s="28" t="str">
        <f aca="false">IF(COUNT(H420,I420,J420)&lt;3,"",H420*I420*J420)</f>
        <v/>
      </c>
      <c r="L420" s="27"/>
      <c r="M420" s="27"/>
      <c r="N420" s="27"/>
      <c r="O420" s="27"/>
      <c r="P420" s="27"/>
    </row>
    <row r="421" customFormat="false" ht="15" hidden="false" customHeight="false" outlineLevel="0" collapsed="false">
      <c r="B421" s="26"/>
      <c r="C421" s="27"/>
      <c r="D421" s="28" t="str">
        <f aca="false">IF(C421="","",IFERROR(INDEX(Players!$C$5:$C$104,MATCH(C421,Players!$B$5:$B$104,0)),"ID not found"))</f>
        <v/>
      </c>
      <c r="E421" s="27"/>
      <c r="F421" s="28" t="str">
        <f aca="false">IF(E421="","",IFERROR(INDEX('Med Ball Library'!$C$6:$C$19,MATCH(E421,'Med Ball Library'!$B$6:$B$19,0)),"Unknown ID"))</f>
        <v/>
      </c>
      <c r="G421" s="27"/>
      <c r="H421" s="27"/>
      <c r="I421" s="27"/>
      <c r="J421" s="27"/>
      <c r="K421" s="28" t="str">
        <f aca="false">IF(COUNT(H421,I421,J421)&lt;3,"",H421*I421*J421)</f>
        <v/>
      </c>
      <c r="L421" s="27"/>
      <c r="M421" s="27"/>
      <c r="N421" s="27"/>
      <c r="O421" s="27"/>
      <c r="P421" s="27"/>
    </row>
    <row r="422" customFormat="false" ht="15" hidden="false" customHeight="false" outlineLevel="0" collapsed="false">
      <c r="B422" s="26"/>
      <c r="C422" s="27"/>
      <c r="D422" s="28" t="str">
        <f aca="false">IF(C422="","",IFERROR(INDEX(Players!$C$5:$C$104,MATCH(C422,Players!$B$5:$B$104,0)),"ID not found"))</f>
        <v/>
      </c>
      <c r="E422" s="27"/>
      <c r="F422" s="28" t="str">
        <f aca="false">IF(E422="","",IFERROR(INDEX('Med Ball Library'!$C$6:$C$19,MATCH(E422,'Med Ball Library'!$B$6:$B$19,0)),"Unknown ID"))</f>
        <v/>
      </c>
      <c r="G422" s="27"/>
      <c r="H422" s="27"/>
      <c r="I422" s="27"/>
      <c r="J422" s="27"/>
      <c r="K422" s="28" t="str">
        <f aca="false">IF(COUNT(H422,I422,J422)&lt;3,"",H422*I422*J422)</f>
        <v/>
      </c>
      <c r="L422" s="27"/>
      <c r="M422" s="27"/>
      <c r="N422" s="27"/>
      <c r="O422" s="27"/>
      <c r="P422" s="27"/>
    </row>
    <row r="423" customFormat="false" ht="15" hidden="false" customHeight="false" outlineLevel="0" collapsed="false">
      <c r="B423" s="26"/>
      <c r="C423" s="27"/>
      <c r="D423" s="28" t="str">
        <f aca="false">IF(C423="","",IFERROR(INDEX(Players!$C$5:$C$104,MATCH(C423,Players!$B$5:$B$104,0)),"ID not found"))</f>
        <v/>
      </c>
      <c r="E423" s="27"/>
      <c r="F423" s="28" t="str">
        <f aca="false">IF(E423="","",IFERROR(INDEX('Med Ball Library'!$C$6:$C$19,MATCH(E423,'Med Ball Library'!$B$6:$B$19,0)),"Unknown ID"))</f>
        <v/>
      </c>
      <c r="G423" s="27"/>
      <c r="H423" s="27"/>
      <c r="I423" s="27"/>
      <c r="J423" s="27"/>
      <c r="K423" s="28" t="str">
        <f aca="false">IF(COUNT(H423,I423,J423)&lt;3,"",H423*I423*J423)</f>
        <v/>
      </c>
      <c r="L423" s="27"/>
      <c r="M423" s="27"/>
      <c r="N423" s="27"/>
      <c r="O423" s="27"/>
      <c r="P423" s="27"/>
    </row>
    <row r="424" customFormat="false" ht="15" hidden="false" customHeight="false" outlineLevel="0" collapsed="false">
      <c r="B424" s="26"/>
      <c r="C424" s="27"/>
      <c r="D424" s="28" t="str">
        <f aca="false">IF(C424="","",IFERROR(INDEX(Players!$C$5:$C$104,MATCH(C424,Players!$B$5:$B$104,0)),"ID not found"))</f>
        <v/>
      </c>
      <c r="E424" s="27"/>
      <c r="F424" s="28" t="str">
        <f aca="false">IF(E424="","",IFERROR(INDEX('Med Ball Library'!$C$6:$C$19,MATCH(E424,'Med Ball Library'!$B$6:$B$19,0)),"Unknown ID"))</f>
        <v/>
      </c>
      <c r="G424" s="27"/>
      <c r="H424" s="27"/>
      <c r="I424" s="27"/>
      <c r="J424" s="27"/>
      <c r="K424" s="28" t="str">
        <f aca="false">IF(COUNT(H424,I424,J424)&lt;3,"",H424*I424*J424)</f>
        <v/>
      </c>
      <c r="L424" s="27"/>
      <c r="M424" s="27"/>
      <c r="N424" s="27"/>
      <c r="O424" s="27"/>
      <c r="P424" s="27"/>
    </row>
    <row r="425" customFormat="false" ht="15" hidden="false" customHeight="false" outlineLevel="0" collapsed="false">
      <c r="B425" s="26"/>
      <c r="C425" s="27"/>
      <c r="D425" s="28" t="str">
        <f aca="false">IF(C425="","",IFERROR(INDEX(Players!$C$5:$C$104,MATCH(C425,Players!$B$5:$B$104,0)),"ID not found"))</f>
        <v/>
      </c>
      <c r="E425" s="27"/>
      <c r="F425" s="28" t="str">
        <f aca="false">IF(E425="","",IFERROR(INDEX('Med Ball Library'!$C$6:$C$19,MATCH(E425,'Med Ball Library'!$B$6:$B$19,0)),"Unknown ID"))</f>
        <v/>
      </c>
      <c r="G425" s="27"/>
      <c r="H425" s="27"/>
      <c r="I425" s="27"/>
      <c r="J425" s="27"/>
      <c r="K425" s="28" t="str">
        <f aca="false">IF(COUNT(H425,I425,J425)&lt;3,"",H425*I425*J425)</f>
        <v/>
      </c>
      <c r="L425" s="27"/>
      <c r="M425" s="27"/>
      <c r="N425" s="27"/>
      <c r="O425" s="27"/>
      <c r="P425" s="27"/>
    </row>
    <row r="426" customFormat="false" ht="15" hidden="false" customHeight="false" outlineLevel="0" collapsed="false">
      <c r="B426" s="26"/>
      <c r="C426" s="27"/>
      <c r="D426" s="28" t="str">
        <f aca="false">IF(C426="","",IFERROR(INDEX(Players!$C$5:$C$104,MATCH(C426,Players!$B$5:$B$104,0)),"ID not found"))</f>
        <v/>
      </c>
      <c r="E426" s="27"/>
      <c r="F426" s="28" t="str">
        <f aca="false">IF(E426="","",IFERROR(INDEX('Med Ball Library'!$C$6:$C$19,MATCH(E426,'Med Ball Library'!$B$6:$B$19,0)),"Unknown ID"))</f>
        <v/>
      </c>
      <c r="G426" s="27"/>
      <c r="H426" s="27"/>
      <c r="I426" s="27"/>
      <c r="J426" s="27"/>
      <c r="K426" s="28" t="str">
        <f aca="false">IF(COUNT(H426,I426,J426)&lt;3,"",H426*I426*J426)</f>
        <v/>
      </c>
      <c r="L426" s="27"/>
      <c r="M426" s="27"/>
      <c r="N426" s="27"/>
      <c r="O426" s="27"/>
      <c r="P426" s="27"/>
    </row>
    <row r="427" customFormat="false" ht="15" hidden="false" customHeight="false" outlineLevel="0" collapsed="false">
      <c r="B427" s="26"/>
      <c r="C427" s="27"/>
      <c r="D427" s="28" t="str">
        <f aca="false">IF(C427="","",IFERROR(INDEX(Players!$C$5:$C$104,MATCH(C427,Players!$B$5:$B$104,0)),"ID not found"))</f>
        <v/>
      </c>
      <c r="E427" s="27"/>
      <c r="F427" s="28" t="str">
        <f aca="false">IF(E427="","",IFERROR(INDEX('Med Ball Library'!$C$6:$C$19,MATCH(E427,'Med Ball Library'!$B$6:$B$19,0)),"Unknown ID"))</f>
        <v/>
      </c>
      <c r="G427" s="27"/>
      <c r="H427" s="27"/>
      <c r="I427" s="27"/>
      <c r="J427" s="27"/>
      <c r="K427" s="28" t="str">
        <f aca="false">IF(COUNT(H427,I427,J427)&lt;3,"",H427*I427*J427)</f>
        <v/>
      </c>
      <c r="L427" s="27"/>
      <c r="M427" s="27"/>
      <c r="N427" s="27"/>
      <c r="O427" s="27"/>
      <c r="P427" s="27"/>
    </row>
    <row r="428" customFormat="false" ht="15" hidden="false" customHeight="false" outlineLevel="0" collapsed="false">
      <c r="B428" s="26"/>
      <c r="C428" s="27"/>
      <c r="D428" s="28" t="str">
        <f aca="false">IF(C428="","",IFERROR(INDEX(Players!$C$5:$C$104,MATCH(C428,Players!$B$5:$B$104,0)),"ID not found"))</f>
        <v/>
      </c>
      <c r="E428" s="27"/>
      <c r="F428" s="28" t="str">
        <f aca="false">IF(E428="","",IFERROR(INDEX('Med Ball Library'!$C$6:$C$19,MATCH(E428,'Med Ball Library'!$B$6:$B$19,0)),"Unknown ID"))</f>
        <v/>
      </c>
      <c r="G428" s="27"/>
      <c r="H428" s="27"/>
      <c r="I428" s="27"/>
      <c r="J428" s="27"/>
      <c r="K428" s="28" t="str">
        <f aca="false">IF(COUNT(H428,I428,J428)&lt;3,"",H428*I428*J428)</f>
        <v/>
      </c>
      <c r="L428" s="27"/>
      <c r="M428" s="27"/>
      <c r="N428" s="27"/>
      <c r="O428" s="27"/>
      <c r="P428" s="27"/>
    </row>
    <row r="429" customFormat="false" ht="15" hidden="false" customHeight="false" outlineLevel="0" collapsed="false">
      <c r="B429" s="26"/>
      <c r="C429" s="27"/>
      <c r="D429" s="28" t="str">
        <f aca="false">IF(C429="","",IFERROR(INDEX(Players!$C$5:$C$104,MATCH(C429,Players!$B$5:$B$104,0)),"ID not found"))</f>
        <v/>
      </c>
      <c r="E429" s="27"/>
      <c r="F429" s="28" t="str">
        <f aca="false">IF(E429="","",IFERROR(INDEX('Med Ball Library'!$C$6:$C$19,MATCH(E429,'Med Ball Library'!$B$6:$B$19,0)),"Unknown ID"))</f>
        <v/>
      </c>
      <c r="G429" s="27"/>
      <c r="H429" s="27"/>
      <c r="I429" s="27"/>
      <c r="J429" s="27"/>
      <c r="K429" s="28" t="str">
        <f aca="false">IF(COUNT(H429,I429,J429)&lt;3,"",H429*I429*J429)</f>
        <v/>
      </c>
      <c r="L429" s="27"/>
      <c r="M429" s="27"/>
      <c r="N429" s="27"/>
      <c r="O429" s="27"/>
      <c r="P429" s="27"/>
    </row>
    <row r="430" customFormat="false" ht="15" hidden="false" customHeight="false" outlineLevel="0" collapsed="false">
      <c r="B430" s="26"/>
      <c r="C430" s="27"/>
      <c r="D430" s="28" t="str">
        <f aca="false">IF(C430="","",IFERROR(INDEX(Players!$C$5:$C$104,MATCH(C430,Players!$B$5:$B$104,0)),"ID not found"))</f>
        <v/>
      </c>
      <c r="E430" s="27"/>
      <c r="F430" s="28" t="str">
        <f aca="false">IF(E430="","",IFERROR(INDEX('Med Ball Library'!$C$6:$C$19,MATCH(E430,'Med Ball Library'!$B$6:$B$19,0)),"Unknown ID"))</f>
        <v/>
      </c>
      <c r="G430" s="27"/>
      <c r="H430" s="27"/>
      <c r="I430" s="27"/>
      <c r="J430" s="27"/>
      <c r="K430" s="28" t="str">
        <f aca="false">IF(COUNT(H430,I430,J430)&lt;3,"",H430*I430*J430)</f>
        <v/>
      </c>
      <c r="L430" s="27"/>
      <c r="M430" s="27"/>
      <c r="N430" s="27"/>
      <c r="O430" s="27"/>
      <c r="P430" s="27"/>
    </row>
    <row r="431" customFormat="false" ht="15" hidden="false" customHeight="false" outlineLevel="0" collapsed="false">
      <c r="B431" s="26"/>
      <c r="C431" s="27"/>
      <c r="D431" s="28" t="str">
        <f aca="false">IF(C431="","",IFERROR(INDEX(Players!$C$5:$C$104,MATCH(C431,Players!$B$5:$B$104,0)),"ID not found"))</f>
        <v/>
      </c>
      <c r="E431" s="27"/>
      <c r="F431" s="28" t="str">
        <f aca="false">IF(E431="","",IFERROR(INDEX('Med Ball Library'!$C$6:$C$19,MATCH(E431,'Med Ball Library'!$B$6:$B$19,0)),"Unknown ID"))</f>
        <v/>
      </c>
      <c r="G431" s="27"/>
      <c r="H431" s="27"/>
      <c r="I431" s="27"/>
      <c r="J431" s="27"/>
      <c r="K431" s="28" t="str">
        <f aca="false">IF(COUNT(H431,I431,J431)&lt;3,"",H431*I431*J431)</f>
        <v/>
      </c>
      <c r="L431" s="27"/>
      <c r="M431" s="27"/>
      <c r="N431" s="27"/>
      <c r="O431" s="27"/>
      <c r="P431" s="27"/>
    </row>
    <row r="432" customFormat="false" ht="15" hidden="false" customHeight="false" outlineLevel="0" collapsed="false">
      <c r="B432" s="26"/>
      <c r="C432" s="27"/>
      <c r="D432" s="28" t="str">
        <f aca="false">IF(C432="","",IFERROR(INDEX(Players!$C$5:$C$104,MATCH(C432,Players!$B$5:$B$104,0)),"ID not found"))</f>
        <v/>
      </c>
      <c r="E432" s="27"/>
      <c r="F432" s="28" t="str">
        <f aca="false">IF(E432="","",IFERROR(INDEX('Med Ball Library'!$C$6:$C$19,MATCH(E432,'Med Ball Library'!$B$6:$B$19,0)),"Unknown ID"))</f>
        <v/>
      </c>
      <c r="G432" s="27"/>
      <c r="H432" s="27"/>
      <c r="I432" s="27"/>
      <c r="J432" s="27"/>
      <c r="K432" s="28" t="str">
        <f aca="false">IF(COUNT(H432,I432,J432)&lt;3,"",H432*I432*J432)</f>
        <v/>
      </c>
      <c r="L432" s="27"/>
      <c r="M432" s="27"/>
      <c r="N432" s="27"/>
      <c r="O432" s="27"/>
      <c r="P432" s="27"/>
    </row>
    <row r="433" customFormat="false" ht="15" hidden="false" customHeight="false" outlineLevel="0" collapsed="false">
      <c r="B433" s="26"/>
      <c r="C433" s="27"/>
      <c r="D433" s="28" t="str">
        <f aca="false">IF(C433="","",IFERROR(INDEX(Players!$C$5:$C$104,MATCH(C433,Players!$B$5:$B$104,0)),"ID not found"))</f>
        <v/>
      </c>
      <c r="E433" s="27"/>
      <c r="F433" s="28" t="str">
        <f aca="false">IF(E433="","",IFERROR(INDEX('Med Ball Library'!$C$6:$C$19,MATCH(E433,'Med Ball Library'!$B$6:$B$19,0)),"Unknown ID"))</f>
        <v/>
      </c>
      <c r="G433" s="27"/>
      <c r="H433" s="27"/>
      <c r="I433" s="27"/>
      <c r="J433" s="27"/>
      <c r="K433" s="28" t="str">
        <f aca="false">IF(COUNT(H433,I433,J433)&lt;3,"",H433*I433*J433)</f>
        <v/>
      </c>
      <c r="L433" s="27"/>
      <c r="M433" s="27"/>
      <c r="N433" s="27"/>
      <c r="O433" s="27"/>
      <c r="P433" s="27"/>
    </row>
    <row r="434" customFormat="false" ht="15" hidden="false" customHeight="false" outlineLevel="0" collapsed="false">
      <c r="B434" s="26"/>
      <c r="C434" s="27"/>
      <c r="D434" s="28" t="str">
        <f aca="false">IF(C434="","",IFERROR(INDEX(Players!$C$5:$C$104,MATCH(C434,Players!$B$5:$B$104,0)),"ID not found"))</f>
        <v/>
      </c>
      <c r="E434" s="27"/>
      <c r="F434" s="28" t="str">
        <f aca="false">IF(E434="","",IFERROR(INDEX('Med Ball Library'!$C$6:$C$19,MATCH(E434,'Med Ball Library'!$B$6:$B$19,0)),"Unknown ID"))</f>
        <v/>
      </c>
      <c r="G434" s="27"/>
      <c r="H434" s="27"/>
      <c r="I434" s="27"/>
      <c r="J434" s="27"/>
      <c r="K434" s="28" t="str">
        <f aca="false">IF(COUNT(H434,I434,J434)&lt;3,"",H434*I434*J434)</f>
        <v/>
      </c>
      <c r="L434" s="27"/>
      <c r="M434" s="27"/>
      <c r="N434" s="27"/>
      <c r="O434" s="27"/>
      <c r="P434" s="27"/>
    </row>
    <row r="435" customFormat="false" ht="15" hidden="false" customHeight="false" outlineLevel="0" collapsed="false">
      <c r="B435" s="26"/>
      <c r="C435" s="27"/>
      <c r="D435" s="28" t="str">
        <f aca="false">IF(C435="","",IFERROR(INDEX(Players!$C$5:$C$104,MATCH(C435,Players!$B$5:$B$104,0)),"ID not found"))</f>
        <v/>
      </c>
      <c r="E435" s="27"/>
      <c r="F435" s="28" t="str">
        <f aca="false">IF(E435="","",IFERROR(INDEX('Med Ball Library'!$C$6:$C$19,MATCH(E435,'Med Ball Library'!$B$6:$B$19,0)),"Unknown ID"))</f>
        <v/>
      </c>
      <c r="G435" s="27"/>
      <c r="H435" s="27"/>
      <c r="I435" s="27"/>
      <c r="J435" s="27"/>
      <c r="K435" s="28" t="str">
        <f aca="false">IF(COUNT(H435,I435,J435)&lt;3,"",H435*I435*J435)</f>
        <v/>
      </c>
      <c r="L435" s="27"/>
      <c r="M435" s="27"/>
      <c r="N435" s="27"/>
      <c r="O435" s="27"/>
      <c r="P435" s="27"/>
    </row>
    <row r="436" customFormat="false" ht="15" hidden="false" customHeight="false" outlineLevel="0" collapsed="false">
      <c r="B436" s="26"/>
      <c r="C436" s="27"/>
      <c r="D436" s="28" t="str">
        <f aca="false">IF(C436="","",IFERROR(INDEX(Players!$C$5:$C$104,MATCH(C436,Players!$B$5:$B$104,0)),"ID not found"))</f>
        <v/>
      </c>
      <c r="E436" s="27"/>
      <c r="F436" s="28" t="str">
        <f aca="false">IF(E436="","",IFERROR(INDEX('Med Ball Library'!$C$6:$C$19,MATCH(E436,'Med Ball Library'!$B$6:$B$19,0)),"Unknown ID"))</f>
        <v/>
      </c>
      <c r="G436" s="27"/>
      <c r="H436" s="27"/>
      <c r="I436" s="27"/>
      <c r="J436" s="27"/>
      <c r="K436" s="28" t="str">
        <f aca="false">IF(COUNT(H436,I436,J436)&lt;3,"",H436*I436*J436)</f>
        <v/>
      </c>
      <c r="L436" s="27"/>
      <c r="M436" s="27"/>
      <c r="N436" s="27"/>
      <c r="O436" s="27"/>
      <c r="P436" s="27"/>
    </row>
    <row r="437" customFormat="false" ht="15" hidden="false" customHeight="false" outlineLevel="0" collapsed="false">
      <c r="B437" s="26"/>
      <c r="C437" s="27"/>
      <c r="D437" s="28" t="str">
        <f aca="false">IF(C437="","",IFERROR(INDEX(Players!$C$5:$C$104,MATCH(C437,Players!$B$5:$B$104,0)),"ID not found"))</f>
        <v/>
      </c>
      <c r="E437" s="27"/>
      <c r="F437" s="28" t="str">
        <f aca="false">IF(E437="","",IFERROR(INDEX('Med Ball Library'!$C$6:$C$19,MATCH(E437,'Med Ball Library'!$B$6:$B$19,0)),"Unknown ID"))</f>
        <v/>
      </c>
      <c r="G437" s="27"/>
      <c r="H437" s="27"/>
      <c r="I437" s="27"/>
      <c r="J437" s="27"/>
      <c r="K437" s="28" t="str">
        <f aca="false">IF(COUNT(H437,I437,J437)&lt;3,"",H437*I437*J437)</f>
        <v/>
      </c>
      <c r="L437" s="27"/>
      <c r="M437" s="27"/>
      <c r="N437" s="27"/>
      <c r="O437" s="27"/>
      <c r="P437" s="27"/>
    </row>
    <row r="438" customFormat="false" ht="15" hidden="false" customHeight="false" outlineLevel="0" collapsed="false">
      <c r="B438" s="26"/>
      <c r="C438" s="27"/>
      <c r="D438" s="28" t="str">
        <f aca="false">IF(C438="","",IFERROR(INDEX(Players!$C$5:$C$104,MATCH(C438,Players!$B$5:$B$104,0)),"ID not found"))</f>
        <v/>
      </c>
      <c r="E438" s="27"/>
      <c r="F438" s="28" t="str">
        <f aca="false">IF(E438="","",IFERROR(INDEX('Med Ball Library'!$C$6:$C$19,MATCH(E438,'Med Ball Library'!$B$6:$B$19,0)),"Unknown ID"))</f>
        <v/>
      </c>
      <c r="G438" s="27"/>
      <c r="H438" s="27"/>
      <c r="I438" s="27"/>
      <c r="J438" s="27"/>
      <c r="K438" s="28" t="str">
        <f aca="false">IF(COUNT(H438,I438,J438)&lt;3,"",H438*I438*J438)</f>
        <v/>
      </c>
      <c r="L438" s="27"/>
      <c r="M438" s="27"/>
      <c r="N438" s="27"/>
      <c r="O438" s="27"/>
      <c r="P438" s="27"/>
    </row>
    <row r="439" customFormat="false" ht="15" hidden="false" customHeight="false" outlineLevel="0" collapsed="false">
      <c r="B439" s="26"/>
      <c r="C439" s="27"/>
      <c r="D439" s="28" t="str">
        <f aca="false">IF(C439="","",IFERROR(INDEX(Players!$C$5:$C$104,MATCH(C439,Players!$B$5:$B$104,0)),"ID not found"))</f>
        <v/>
      </c>
      <c r="E439" s="27"/>
      <c r="F439" s="28" t="str">
        <f aca="false">IF(E439="","",IFERROR(INDEX('Med Ball Library'!$C$6:$C$19,MATCH(E439,'Med Ball Library'!$B$6:$B$19,0)),"Unknown ID"))</f>
        <v/>
      </c>
      <c r="G439" s="27"/>
      <c r="H439" s="27"/>
      <c r="I439" s="27"/>
      <c r="J439" s="27"/>
      <c r="K439" s="28" t="str">
        <f aca="false">IF(COUNT(H439,I439,J439)&lt;3,"",H439*I439*J439)</f>
        <v/>
      </c>
      <c r="L439" s="27"/>
      <c r="M439" s="27"/>
      <c r="N439" s="27"/>
      <c r="O439" s="27"/>
      <c r="P439" s="27"/>
    </row>
    <row r="440" customFormat="false" ht="15" hidden="false" customHeight="false" outlineLevel="0" collapsed="false">
      <c r="B440" s="26"/>
      <c r="C440" s="27"/>
      <c r="D440" s="28" t="str">
        <f aca="false">IF(C440="","",IFERROR(INDEX(Players!$C$5:$C$104,MATCH(C440,Players!$B$5:$B$104,0)),"ID not found"))</f>
        <v/>
      </c>
      <c r="E440" s="27"/>
      <c r="F440" s="28" t="str">
        <f aca="false">IF(E440="","",IFERROR(INDEX('Med Ball Library'!$C$6:$C$19,MATCH(E440,'Med Ball Library'!$B$6:$B$19,0)),"Unknown ID"))</f>
        <v/>
      </c>
      <c r="G440" s="27"/>
      <c r="H440" s="27"/>
      <c r="I440" s="27"/>
      <c r="J440" s="27"/>
      <c r="K440" s="28" t="str">
        <f aca="false">IF(COUNT(H440,I440,J440)&lt;3,"",H440*I440*J440)</f>
        <v/>
      </c>
      <c r="L440" s="27"/>
      <c r="M440" s="27"/>
      <c r="N440" s="27"/>
      <c r="O440" s="27"/>
      <c r="P440" s="27"/>
    </row>
    <row r="441" customFormat="false" ht="15" hidden="false" customHeight="false" outlineLevel="0" collapsed="false">
      <c r="B441" s="26"/>
      <c r="C441" s="27"/>
      <c r="D441" s="28" t="str">
        <f aca="false">IF(C441="","",IFERROR(INDEX(Players!$C$5:$C$104,MATCH(C441,Players!$B$5:$B$104,0)),"ID not found"))</f>
        <v/>
      </c>
      <c r="E441" s="27"/>
      <c r="F441" s="28" t="str">
        <f aca="false">IF(E441="","",IFERROR(INDEX('Med Ball Library'!$C$6:$C$19,MATCH(E441,'Med Ball Library'!$B$6:$B$19,0)),"Unknown ID"))</f>
        <v/>
      </c>
      <c r="G441" s="27"/>
      <c r="H441" s="27"/>
      <c r="I441" s="27"/>
      <c r="J441" s="27"/>
      <c r="K441" s="28" t="str">
        <f aca="false">IF(COUNT(H441,I441,J441)&lt;3,"",H441*I441*J441)</f>
        <v/>
      </c>
      <c r="L441" s="27"/>
      <c r="M441" s="27"/>
      <c r="N441" s="27"/>
      <c r="O441" s="27"/>
      <c r="P441" s="27"/>
    </row>
    <row r="442" customFormat="false" ht="15" hidden="false" customHeight="false" outlineLevel="0" collapsed="false">
      <c r="B442" s="26"/>
      <c r="C442" s="27"/>
      <c r="D442" s="28" t="str">
        <f aca="false">IF(C442="","",IFERROR(INDEX(Players!$C$5:$C$104,MATCH(C442,Players!$B$5:$B$104,0)),"ID not found"))</f>
        <v/>
      </c>
      <c r="E442" s="27"/>
      <c r="F442" s="28" t="str">
        <f aca="false">IF(E442="","",IFERROR(INDEX('Med Ball Library'!$C$6:$C$19,MATCH(E442,'Med Ball Library'!$B$6:$B$19,0)),"Unknown ID"))</f>
        <v/>
      </c>
      <c r="G442" s="27"/>
      <c r="H442" s="27"/>
      <c r="I442" s="27"/>
      <c r="J442" s="27"/>
      <c r="K442" s="28" t="str">
        <f aca="false">IF(COUNT(H442,I442,J442)&lt;3,"",H442*I442*J442)</f>
        <v/>
      </c>
      <c r="L442" s="27"/>
      <c r="M442" s="27"/>
      <c r="N442" s="27"/>
      <c r="O442" s="27"/>
      <c r="P442" s="27"/>
    </row>
    <row r="443" customFormat="false" ht="15" hidden="false" customHeight="false" outlineLevel="0" collapsed="false">
      <c r="B443" s="26"/>
      <c r="C443" s="27"/>
      <c r="D443" s="28" t="str">
        <f aca="false">IF(C443="","",IFERROR(INDEX(Players!$C$5:$C$104,MATCH(C443,Players!$B$5:$B$104,0)),"ID not found"))</f>
        <v/>
      </c>
      <c r="E443" s="27"/>
      <c r="F443" s="28" t="str">
        <f aca="false">IF(E443="","",IFERROR(INDEX('Med Ball Library'!$C$6:$C$19,MATCH(E443,'Med Ball Library'!$B$6:$B$19,0)),"Unknown ID"))</f>
        <v/>
      </c>
      <c r="G443" s="27"/>
      <c r="H443" s="27"/>
      <c r="I443" s="27"/>
      <c r="J443" s="27"/>
      <c r="K443" s="28" t="str">
        <f aca="false">IF(COUNT(H443,I443,J443)&lt;3,"",H443*I443*J443)</f>
        <v/>
      </c>
      <c r="L443" s="27"/>
      <c r="M443" s="27"/>
      <c r="N443" s="27"/>
      <c r="O443" s="27"/>
      <c r="P443" s="27"/>
    </row>
    <row r="444" customFormat="false" ht="15" hidden="false" customHeight="false" outlineLevel="0" collapsed="false">
      <c r="B444" s="26"/>
      <c r="C444" s="27"/>
      <c r="D444" s="28" t="str">
        <f aca="false">IF(C444="","",IFERROR(INDEX(Players!$C$5:$C$104,MATCH(C444,Players!$B$5:$B$104,0)),"ID not found"))</f>
        <v/>
      </c>
      <c r="E444" s="27"/>
      <c r="F444" s="28" t="str">
        <f aca="false">IF(E444="","",IFERROR(INDEX('Med Ball Library'!$C$6:$C$19,MATCH(E444,'Med Ball Library'!$B$6:$B$19,0)),"Unknown ID"))</f>
        <v/>
      </c>
      <c r="G444" s="27"/>
      <c r="H444" s="27"/>
      <c r="I444" s="27"/>
      <c r="J444" s="27"/>
      <c r="K444" s="28" t="str">
        <f aca="false">IF(COUNT(H444,I444,J444)&lt;3,"",H444*I444*J444)</f>
        <v/>
      </c>
      <c r="L444" s="27"/>
      <c r="M444" s="27"/>
      <c r="N444" s="27"/>
      <c r="O444" s="27"/>
      <c r="P444" s="27"/>
    </row>
    <row r="445" customFormat="false" ht="15" hidden="false" customHeight="false" outlineLevel="0" collapsed="false">
      <c r="B445" s="26"/>
      <c r="C445" s="27"/>
      <c r="D445" s="28" t="str">
        <f aca="false">IF(C445="","",IFERROR(INDEX(Players!$C$5:$C$104,MATCH(C445,Players!$B$5:$B$104,0)),"ID not found"))</f>
        <v/>
      </c>
      <c r="E445" s="27"/>
      <c r="F445" s="28" t="str">
        <f aca="false">IF(E445="","",IFERROR(INDEX('Med Ball Library'!$C$6:$C$19,MATCH(E445,'Med Ball Library'!$B$6:$B$19,0)),"Unknown ID"))</f>
        <v/>
      </c>
      <c r="G445" s="27"/>
      <c r="H445" s="27"/>
      <c r="I445" s="27"/>
      <c r="J445" s="27"/>
      <c r="K445" s="28" t="str">
        <f aca="false">IF(COUNT(H445,I445,J445)&lt;3,"",H445*I445*J445)</f>
        <v/>
      </c>
      <c r="L445" s="27"/>
      <c r="M445" s="27"/>
      <c r="N445" s="27"/>
      <c r="O445" s="27"/>
      <c r="P445" s="27"/>
    </row>
    <row r="446" customFormat="false" ht="15" hidden="false" customHeight="false" outlineLevel="0" collapsed="false">
      <c r="B446" s="26"/>
      <c r="C446" s="27"/>
      <c r="D446" s="28" t="str">
        <f aca="false">IF(C446="","",IFERROR(INDEX(Players!$C$5:$C$104,MATCH(C446,Players!$B$5:$B$104,0)),"ID not found"))</f>
        <v/>
      </c>
      <c r="E446" s="27"/>
      <c r="F446" s="28" t="str">
        <f aca="false">IF(E446="","",IFERROR(INDEX('Med Ball Library'!$C$6:$C$19,MATCH(E446,'Med Ball Library'!$B$6:$B$19,0)),"Unknown ID"))</f>
        <v/>
      </c>
      <c r="G446" s="27"/>
      <c r="H446" s="27"/>
      <c r="I446" s="27"/>
      <c r="J446" s="27"/>
      <c r="K446" s="28" t="str">
        <f aca="false">IF(COUNT(H446,I446,J446)&lt;3,"",H446*I446*J446)</f>
        <v/>
      </c>
      <c r="L446" s="27"/>
      <c r="M446" s="27"/>
      <c r="N446" s="27"/>
      <c r="O446" s="27"/>
      <c r="P446" s="27"/>
    </row>
    <row r="447" customFormat="false" ht="15" hidden="false" customHeight="false" outlineLevel="0" collapsed="false">
      <c r="B447" s="26"/>
      <c r="C447" s="27"/>
      <c r="D447" s="28" t="str">
        <f aca="false">IF(C447="","",IFERROR(INDEX(Players!$C$5:$C$104,MATCH(C447,Players!$B$5:$B$104,0)),"ID not found"))</f>
        <v/>
      </c>
      <c r="E447" s="27"/>
      <c r="F447" s="28" t="str">
        <f aca="false">IF(E447="","",IFERROR(INDEX('Med Ball Library'!$C$6:$C$19,MATCH(E447,'Med Ball Library'!$B$6:$B$19,0)),"Unknown ID"))</f>
        <v/>
      </c>
      <c r="G447" s="27"/>
      <c r="H447" s="27"/>
      <c r="I447" s="27"/>
      <c r="J447" s="27"/>
      <c r="K447" s="28" t="str">
        <f aca="false">IF(COUNT(H447,I447,J447)&lt;3,"",H447*I447*J447)</f>
        <v/>
      </c>
      <c r="L447" s="27"/>
      <c r="M447" s="27"/>
      <c r="N447" s="27"/>
      <c r="O447" s="27"/>
      <c r="P447" s="27"/>
    </row>
    <row r="448" customFormat="false" ht="15" hidden="false" customHeight="false" outlineLevel="0" collapsed="false">
      <c r="B448" s="26"/>
      <c r="C448" s="27"/>
      <c r="D448" s="28" t="str">
        <f aca="false">IF(C448="","",IFERROR(INDEX(Players!$C$5:$C$104,MATCH(C448,Players!$B$5:$B$104,0)),"ID not found"))</f>
        <v/>
      </c>
      <c r="E448" s="27"/>
      <c r="F448" s="28" t="str">
        <f aca="false">IF(E448="","",IFERROR(INDEX('Med Ball Library'!$C$6:$C$19,MATCH(E448,'Med Ball Library'!$B$6:$B$19,0)),"Unknown ID"))</f>
        <v/>
      </c>
      <c r="G448" s="27"/>
      <c r="H448" s="27"/>
      <c r="I448" s="27"/>
      <c r="J448" s="27"/>
      <c r="K448" s="28" t="str">
        <f aca="false">IF(COUNT(H448,I448,J448)&lt;3,"",H448*I448*J448)</f>
        <v/>
      </c>
      <c r="L448" s="27"/>
      <c r="M448" s="27"/>
      <c r="N448" s="27"/>
      <c r="O448" s="27"/>
      <c r="P448" s="27"/>
    </row>
    <row r="449" customFormat="false" ht="15" hidden="false" customHeight="false" outlineLevel="0" collapsed="false">
      <c r="B449" s="26"/>
      <c r="C449" s="27"/>
      <c r="D449" s="28" t="str">
        <f aca="false">IF(C449="","",IFERROR(INDEX(Players!$C$5:$C$104,MATCH(C449,Players!$B$5:$B$104,0)),"ID not found"))</f>
        <v/>
      </c>
      <c r="E449" s="27"/>
      <c r="F449" s="28" t="str">
        <f aca="false">IF(E449="","",IFERROR(INDEX('Med Ball Library'!$C$6:$C$19,MATCH(E449,'Med Ball Library'!$B$6:$B$19,0)),"Unknown ID"))</f>
        <v/>
      </c>
      <c r="G449" s="27"/>
      <c r="H449" s="27"/>
      <c r="I449" s="27"/>
      <c r="J449" s="27"/>
      <c r="K449" s="28" t="str">
        <f aca="false">IF(COUNT(H449,I449,J449)&lt;3,"",H449*I449*J449)</f>
        <v/>
      </c>
      <c r="L449" s="27"/>
      <c r="M449" s="27"/>
      <c r="N449" s="27"/>
      <c r="O449" s="27"/>
      <c r="P449" s="27"/>
    </row>
    <row r="450" customFormat="false" ht="15" hidden="false" customHeight="false" outlineLevel="0" collapsed="false">
      <c r="B450" s="26"/>
      <c r="C450" s="27"/>
      <c r="D450" s="28" t="str">
        <f aca="false">IF(C450="","",IFERROR(INDEX(Players!$C$5:$C$104,MATCH(C450,Players!$B$5:$B$104,0)),"ID not found"))</f>
        <v/>
      </c>
      <c r="E450" s="27"/>
      <c r="F450" s="28" t="str">
        <f aca="false">IF(E450="","",IFERROR(INDEX('Med Ball Library'!$C$6:$C$19,MATCH(E450,'Med Ball Library'!$B$6:$B$19,0)),"Unknown ID"))</f>
        <v/>
      </c>
      <c r="G450" s="27"/>
      <c r="H450" s="27"/>
      <c r="I450" s="27"/>
      <c r="J450" s="27"/>
      <c r="K450" s="28" t="str">
        <f aca="false">IF(COUNT(H450,I450,J450)&lt;3,"",H450*I450*J450)</f>
        <v/>
      </c>
      <c r="L450" s="27"/>
      <c r="M450" s="27"/>
      <c r="N450" s="27"/>
      <c r="O450" s="27"/>
      <c r="P450" s="27"/>
    </row>
    <row r="451" customFormat="false" ht="15" hidden="false" customHeight="false" outlineLevel="0" collapsed="false">
      <c r="B451" s="26"/>
      <c r="C451" s="27"/>
      <c r="D451" s="28" t="str">
        <f aca="false">IF(C451="","",IFERROR(INDEX(Players!$C$5:$C$104,MATCH(C451,Players!$B$5:$B$104,0)),"ID not found"))</f>
        <v/>
      </c>
      <c r="E451" s="27"/>
      <c r="F451" s="28" t="str">
        <f aca="false">IF(E451="","",IFERROR(INDEX('Med Ball Library'!$C$6:$C$19,MATCH(E451,'Med Ball Library'!$B$6:$B$19,0)),"Unknown ID"))</f>
        <v/>
      </c>
      <c r="G451" s="27"/>
      <c r="H451" s="27"/>
      <c r="I451" s="27"/>
      <c r="J451" s="27"/>
      <c r="K451" s="28" t="str">
        <f aca="false">IF(COUNT(H451,I451,J451)&lt;3,"",H451*I451*J451)</f>
        <v/>
      </c>
      <c r="L451" s="27"/>
      <c r="M451" s="27"/>
      <c r="N451" s="27"/>
      <c r="O451" s="27"/>
      <c r="P451" s="27"/>
    </row>
    <row r="452" customFormat="false" ht="15" hidden="false" customHeight="false" outlineLevel="0" collapsed="false">
      <c r="B452" s="26"/>
      <c r="C452" s="27"/>
      <c r="D452" s="28" t="str">
        <f aca="false">IF(C452="","",IFERROR(INDEX(Players!$C$5:$C$104,MATCH(C452,Players!$B$5:$B$104,0)),"ID not found"))</f>
        <v/>
      </c>
      <c r="E452" s="27"/>
      <c r="F452" s="28" t="str">
        <f aca="false">IF(E452="","",IFERROR(INDEX('Med Ball Library'!$C$6:$C$19,MATCH(E452,'Med Ball Library'!$B$6:$B$19,0)),"Unknown ID"))</f>
        <v/>
      </c>
      <c r="G452" s="27"/>
      <c r="H452" s="27"/>
      <c r="I452" s="27"/>
      <c r="J452" s="27"/>
      <c r="K452" s="28" t="str">
        <f aca="false">IF(COUNT(H452,I452,J452)&lt;3,"",H452*I452*J452)</f>
        <v/>
      </c>
      <c r="L452" s="27"/>
      <c r="M452" s="27"/>
      <c r="N452" s="27"/>
      <c r="O452" s="27"/>
      <c r="P452" s="27"/>
    </row>
    <row r="453" customFormat="false" ht="15" hidden="false" customHeight="false" outlineLevel="0" collapsed="false">
      <c r="B453" s="26"/>
      <c r="C453" s="27"/>
      <c r="D453" s="28" t="str">
        <f aca="false">IF(C453="","",IFERROR(INDEX(Players!$C$5:$C$104,MATCH(C453,Players!$B$5:$B$104,0)),"ID not found"))</f>
        <v/>
      </c>
      <c r="E453" s="27"/>
      <c r="F453" s="28" t="str">
        <f aca="false">IF(E453="","",IFERROR(INDEX('Med Ball Library'!$C$6:$C$19,MATCH(E453,'Med Ball Library'!$B$6:$B$19,0)),"Unknown ID"))</f>
        <v/>
      </c>
      <c r="G453" s="27"/>
      <c r="H453" s="27"/>
      <c r="I453" s="27"/>
      <c r="J453" s="27"/>
      <c r="K453" s="28" t="str">
        <f aca="false">IF(COUNT(H453,I453,J453)&lt;3,"",H453*I453*J453)</f>
        <v/>
      </c>
      <c r="L453" s="27"/>
      <c r="M453" s="27"/>
      <c r="N453" s="27"/>
      <c r="O453" s="27"/>
      <c r="P453" s="27"/>
    </row>
    <row r="454" customFormat="false" ht="15" hidden="false" customHeight="false" outlineLevel="0" collapsed="false">
      <c r="B454" s="26"/>
      <c r="C454" s="27"/>
      <c r="D454" s="28" t="str">
        <f aca="false">IF(C454="","",IFERROR(INDEX(Players!$C$5:$C$104,MATCH(C454,Players!$B$5:$B$104,0)),"ID not found"))</f>
        <v/>
      </c>
      <c r="E454" s="27"/>
      <c r="F454" s="28" t="str">
        <f aca="false">IF(E454="","",IFERROR(INDEX('Med Ball Library'!$C$6:$C$19,MATCH(E454,'Med Ball Library'!$B$6:$B$19,0)),"Unknown ID"))</f>
        <v/>
      </c>
      <c r="G454" s="27"/>
      <c r="H454" s="27"/>
      <c r="I454" s="27"/>
      <c r="J454" s="27"/>
      <c r="K454" s="28" t="str">
        <f aca="false">IF(COUNT(H454,I454,J454)&lt;3,"",H454*I454*J454)</f>
        <v/>
      </c>
      <c r="L454" s="27"/>
      <c r="M454" s="27"/>
      <c r="N454" s="27"/>
      <c r="O454" s="27"/>
      <c r="P454" s="27"/>
    </row>
    <row r="455" customFormat="false" ht="15" hidden="false" customHeight="false" outlineLevel="0" collapsed="false">
      <c r="B455" s="26"/>
      <c r="C455" s="27"/>
      <c r="D455" s="28" t="str">
        <f aca="false">IF(C455="","",IFERROR(INDEX(Players!$C$5:$C$104,MATCH(C455,Players!$B$5:$B$104,0)),"ID not found"))</f>
        <v/>
      </c>
      <c r="E455" s="27"/>
      <c r="F455" s="28" t="str">
        <f aca="false">IF(E455="","",IFERROR(INDEX('Med Ball Library'!$C$6:$C$19,MATCH(E455,'Med Ball Library'!$B$6:$B$19,0)),"Unknown ID"))</f>
        <v/>
      </c>
      <c r="G455" s="27"/>
      <c r="H455" s="27"/>
      <c r="I455" s="27"/>
      <c r="J455" s="27"/>
      <c r="K455" s="28" t="str">
        <f aca="false">IF(COUNT(H455,I455,J455)&lt;3,"",H455*I455*J455)</f>
        <v/>
      </c>
      <c r="L455" s="27"/>
      <c r="M455" s="27"/>
      <c r="N455" s="27"/>
      <c r="O455" s="27"/>
      <c r="P455" s="27"/>
    </row>
    <row r="456" customFormat="false" ht="15" hidden="false" customHeight="false" outlineLevel="0" collapsed="false">
      <c r="B456" s="26"/>
      <c r="C456" s="27"/>
      <c r="D456" s="28" t="str">
        <f aca="false">IF(C456="","",IFERROR(INDEX(Players!$C$5:$C$104,MATCH(C456,Players!$B$5:$B$104,0)),"ID not found"))</f>
        <v/>
      </c>
      <c r="E456" s="27"/>
      <c r="F456" s="28" t="str">
        <f aca="false">IF(E456="","",IFERROR(INDEX('Med Ball Library'!$C$6:$C$19,MATCH(E456,'Med Ball Library'!$B$6:$B$19,0)),"Unknown ID"))</f>
        <v/>
      </c>
      <c r="G456" s="27"/>
      <c r="H456" s="27"/>
      <c r="I456" s="27"/>
      <c r="J456" s="27"/>
      <c r="K456" s="28" t="str">
        <f aca="false">IF(COUNT(H456,I456,J456)&lt;3,"",H456*I456*J456)</f>
        <v/>
      </c>
      <c r="L456" s="27"/>
      <c r="M456" s="27"/>
      <c r="N456" s="27"/>
      <c r="O456" s="27"/>
      <c r="P456" s="27"/>
    </row>
    <row r="457" customFormat="false" ht="15" hidden="false" customHeight="false" outlineLevel="0" collapsed="false">
      <c r="B457" s="26"/>
      <c r="C457" s="27"/>
      <c r="D457" s="28" t="str">
        <f aca="false">IF(C457="","",IFERROR(INDEX(Players!$C$5:$C$104,MATCH(C457,Players!$B$5:$B$104,0)),"ID not found"))</f>
        <v/>
      </c>
      <c r="E457" s="27"/>
      <c r="F457" s="28" t="str">
        <f aca="false">IF(E457="","",IFERROR(INDEX('Med Ball Library'!$C$6:$C$19,MATCH(E457,'Med Ball Library'!$B$6:$B$19,0)),"Unknown ID"))</f>
        <v/>
      </c>
      <c r="G457" s="27"/>
      <c r="H457" s="27"/>
      <c r="I457" s="27"/>
      <c r="J457" s="27"/>
      <c r="K457" s="28" t="str">
        <f aca="false">IF(COUNT(H457,I457,J457)&lt;3,"",H457*I457*J457)</f>
        <v/>
      </c>
      <c r="L457" s="27"/>
      <c r="M457" s="27"/>
      <c r="N457" s="27"/>
      <c r="O457" s="27"/>
      <c r="P457" s="27"/>
    </row>
    <row r="458" customFormat="false" ht="15" hidden="false" customHeight="false" outlineLevel="0" collapsed="false">
      <c r="B458" s="26"/>
      <c r="C458" s="27"/>
      <c r="D458" s="28" t="str">
        <f aca="false">IF(C458="","",IFERROR(INDEX(Players!$C$5:$C$104,MATCH(C458,Players!$B$5:$B$104,0)),"ID not found"))</f>
        <v/>
      </c>
      <c r="E458" s="27"/>
      <c r="F458" s="28" t="str">
        <f aca="false">IF(E458="","",IFERROR(INDEX('Med Ball Library'!$C$6:$C$19,MATCH(E458,'Med Ball Library'!$B$6:$B$19,0)),"Unknown ID"))</f>
        <v/>
      </c>
      <c r="G458" s="27"/>
      <c r="H458" s="27"/>
      <c r="I458" s="27"/>
      <c r="J458" s="27"/>
      <c r="K458" s="28" t="str">
        <f aca="false">IF(COUNT(H458,I458,J458)&lt;3,"",H458*I458*J458)</f>
        <v/>
      </c>
      <c r="L458" s="27"/>
      <c r="M458" s="27"/>
      <c r="N458" s="27"/>
      <c r="O458" s="27"/>
      <c r="P458" s="27"/>
    </row>
    <row r="459" customFormat="false" ht="15" hidden="false" customHeight="false" outlineLevel="0" collapsed="false">
      <c r="B459" s="26"/>
      <c r="C459" s="27"/>
      <c r="D459" s="28" t="str">
        <f aca="false">IF(C459="","",IFERROR(INDEX(Players!$C$5:$C$104,MATCH(C459,Players!$B$5:$B$104,0)),"ID not found"))</f>
        <v/>
      </c>
      <c r="E459" s="27"/>
      <c r="F459" s="28" t="str">
        <f aca="false">IF(E459="","",IFERROR(INDEX('Med Ball Library'!$C$6:$C$19,MATCH(E459,'Med Ball Library'!$B$6:$B$19,0)),"Unknown ID"))</f>
        <v/>
      </c>
      <c r="G459" s="27"/>
      <c r="H459" s="27"/>
      <c r="I459" s="27"/>
      <c r="J459" s="27"/>
      <c r="K459" s="28" t="str">
        <f aca="false">IF(COUNT(H459,I459,J459)&lt;3,"",H459*I459*J459)</f>
        <v/>
      </c>
      <c r="L459" s="27"/>
      <c r="M459" s="27"/>
      <c r="N459" s="27"/>
      <c r="O459" s="27"/>
      <c r="P459" s="27"/>
    </row>
    <row r="460" customFormat="false" ht="15" hidden="false" customHeight="false" outlineLevel="0" collapsed="false">
      <c r="B460" s="26"/>
      <c r="C460" s="27"/>
      <c r="D460" s="28" t="str">
        <f aca="false">IF(C460="","",IFERROR(INDEX(Players!$C$5:$C$104,MATCH(C460,Players!$B$5:$B$104,0)),"ID not found"))</f>
        <v/>
      </c>
      <c r="E460" s="27"/>
      <c r="F460" s="28" t="str">
        <f aca="false">IF(E460="","",IFERROR(INDEX('Med Ball Library'!$C$6:$C$19,MATCH(E460,'Med Ball Library'!$B$6:$B$19,0)),"Unknown ID"))</f>
        <v/>
      </c>
      <c r="G460" s="27"/>
      <c r="H460" s="27"/>
      <c r="I460" s="27"/>
      <c r="J460" s="27"/>
      <c r="K460" s="28" t="str">
        <f aca="false">IF(COUNT(H460,I460,J460)&lt;3,"",H460*I460*J460)</f>
        <v/>
      </c>
      <c r="L460" s="27"/>
      <c r="M460" s="27"/>
      <c r="N460" s="27"/>
      <c r="O460" s="27"/>
      <c r="P460" s="27"/>
    </row>
    <row r="461" customFormat="false" ht="15" hidden="false" customHeight="false" outlineLevel="0" collapsed="false">
      <c r="B461" s="26"/>
      <c r="C461" s="27"/>
      <c r="D461" s="28" t="str">
        <f aca="false">IF(C461="","",IFERROR(INDEX(Players!$C$5:$C$104,MATCH(C461,Players!$B$5:$B$104,0)),"ID not found"))</f>
        <v/>
      </c>
      <c r="E461" s="27"/>
      <c r="F461" s="28" t="str">
        <f aca="false">IF(E461="","",IFERROR(INDEX('Med Ball Library'!$C$6:$C$19,MATCH(E461,'Med Ball Library'!$B$6:$B$19,0)),"Unknown ID"))</f>
        <v/>
      </c>
      <c r="G461" s="27"/>
      <c r="H461" s="27"/>
      <c r="I461" s="27"/>
      <c r="J461" s="27"/>
      <c r="K461" s="28" t="str">
        <f aca="false">IF(COUNT(H461,I461,J461)&lt;3,"",H461*I461*J461)</f>
        <v/>
      </c>
      <c r="L461" s="27"/>
      <c r="M461" s="27"/>
      <c r="N461" s="27"/>
      <c r="O461" s="27"/>
      <c r="P461" s="27"/>
    </row>
    <row r="462" customFormat="false" ht="15" hidden="false" customHeight="false" outlineLevel="0" collapsed="false">
      <c r="B462" s="26"/>
      <c r="C462" s="27"/>
      <c r="D462" s="28" t="str">
        <f aca="false">IF(C462="","",IFERROR(INDEX(Players!$C$5:$C$104,MATCH(C462,Players!$B$5:$B$104,0)),"ID not found"))</f>
        <v/>
      </c>
      <c r="E462" s="27"/>
      <c r="F462" s="28" t="str">
        <f aca="false">IF(E462="","",IFERROR(INDEX('Med Ball Library'!$C$6:$C$19,MATCH(E462,'Med Ball Library'!$B$6:$B$19,0)),"Unknown ID"))</f>
        <v/>
      </c>
      <c r="G462" s="27"/>
      <c r="H462" s="27"/>
      <c r="I462" s="27"/>
      <c r="J462" s="27"/>
      <c r="K462" s="28" t="str">
        <f aca="false">IF(COUNT(H462,I462,J462)&lt;3,"",H462*I462*J462)</f>
        <v/>
      </c>
      <c r="L462" s="27"/>
      <c r="M462" s="27"/>
      <c r="N462" s="27"/>
      <c r="O462" s="27"/>
      <c r="P462" s="27"/>
    </row>
    <row r="463" customFormat="false" ht="15" hidden="false" customHeight="false" outlineLevel="0" collapsed="false">
      <c r="B463" s="26"/>
      <c r="C463" s="27"/>
      <c r="D463" s="28" t="str">
        <f aca="false">IF(C463="","",IFERROR(INDEX(Players!$C$5:$C$104,MATCH(C463,Players!$B$5:$B$104,0)),"ID not found"))</f>
        <v/>
      </c>
      <c r="E463" s="27"/>
      <c r="F463" s="28" t="str">
        <f aca="false">IF(E463="","",IFERROR(INDEX('Med Ball Library'!$C$6:$C$19,MATCH(E463,'Med Ball Library'!$B$6:$B$19,0)),"Unknown ID"))</f>
        <v/>
      </c>
      <c r="G463" s="27"/>
      <c r="H463" s="27"/>
      <c r="I463" s="27"/>
      <c r="J463" s="27"/>
      <c r="K463" s="28" t="str">
        <f aca="false">IF(COUNT(H463,I463,J463)&lt;3,"",H463*I463*J463)</f>
        <v/>
      </c>
      <c r="L463" s="27"/>
      <c r="M463" s="27"/>
      <c r="N463" s="27"/>
      <c r="O463" s="27"/>
      <c r="P463" s="27"/>
    </row>
    <row r="464" customFormat="false" ht="15" hidden="false" customHeight="false" outlineLevel="0" collapsed="false">
      <c r="B464" s="26"/>
      <c r="C464" s="27"/>
      <c r="D464" s="28" t="str">
        <f aca="false">IF(C464="","",IFERROR(INDEX(Players!$C$5:$C$104,MATCH(C464,Players!$B$5:$B$104,0)),"ID not found"))</f>
        <v/>
      </c>
      <c r="E464" s="27"/>
      <c r="F464" s="28" t="str">
        <f aca="false">IF(E464="","",IFERROR(INDEX('Med Ball Library'!$C$6:$C$19,MATCH(E464,'Med Ball Library'!$B$6:$B$19,0)),"Unknown ID"))</f>
        <v/>
      </c>
      <c r="G464" s="27"/>
      <c r="H464" s="27"/>
      <c r="I464" s="27"/>
      <c r="J464" s="27"/>
      <c r="K464" s="28" t="str">
        <f aca="false">IF(COUNT(H464,I464,J464)&lt;3,"",H464*I464*J464)</f>
        <v/>
      </c>
      <c r="L464" s="27"/>
      <c r="M464" s="27"/>
      <c r="N464" s="27"/>
      <c r="O464" s="27"/>
      <c r="P464" s="27"/>
    </row>
    <row r="465" customFormat="false" ht="15" hidden="false" customHeight="false" outlineLevel="0" collapsed="false">
      <c r="B465" s="26"/>
      <c r="C465" s="27"/>
      <c r="D465" s="28" t="str">
        <f aca="false">IF(C465="","",IFERROR(INDEX(Players!$C$5:$C$104,MATCH(C465,Players!$B$5:$B$104,0)),"ID not found"))</f>
        <v/>
      </c>
      <c r="E465" s="27"/>
      <c r="F465" s="28" t="str">
        <f aca="false">IF(E465="","",IFERROR(INDEX('Med Ball Library'!$C$6:$C$19,MATCH(E465,'Med Ball Library'!$B$6:$B$19,0)),"Unknown ID"))</f>
        <v/>
      </c>
      <c r="G465" s="27"/>
      <c r="H465" s="27"/>
      <c r="I465" s="27"/>
      <c r="J465" s="27"/>
      <c r="K465" s="28" t="str">
        <f aca="false">IF(COUNT(H465,I465,J465)&lt;3,"",H465*I465*J465)</f>
        <v/>
      </c>
      <c r="L465" s="27"/>
      <c r="M465" s="27"/>
      <c r="N465" s="27"/>
      <c r="O465" s="27"/>
      <c r="P465" s="27"/>
    </row>
    <row r="466" customFormat="false" ht="15" hidden="false" customHeight="false" outlineLevel="0" collapsed="false">
      <c r="B466" s="26"/>
      <c r="C466" s="27"/>
      <c r="D466" s="28" t="str">
        <f aca="false">IF(C466="","",IFERROR(INDEX(Players!$C$5:$C$104,MATCH(C466,Players!$B$5:$B$104,0)),"ID not found"))</f>
        <v/>
      </c>
      <c r="E466" s="27"/>
      <c r="F466" s="28" t="str">
        <f aca="false">IF(E466="","",IFERROR(INDEX('Med Ball Library'!$C$6:$C$19,MATCH(E466,'Med Ball Library'!$B$6:$B$19,0)),"Unknown ID"))</f>
        <v/>
      </c>
      <c r="G466" s="27"/>
      <c r="H466" s="27"/>
      <c r="I466" s="27"/>
      <c r="J466" s="27"/>
      <c r="K466" s="28" t="str">
        <f aca="false">IF(COUNT(H466,I466,J466)&lt;3,"",H466*I466*J466)</f>
        <v/>
      </c>
      <c r="L466" s="27"/>
      <c r="M466" s="27"/>
      <c r="N466" s="27"/>
      <c r="O466" s="27"/>
      <c r="P466" s="27"/>
    </row>
    <row r="467" customFormat="false" ht="15" hidden="false" customHeight="false" outlineLevel="0" collapsed="false">
      <c r="B467" s="26"/>
      <c r="C467" s="27"/>
      <c r="D467" s="28" t="str">
        <f aca="false">IF(C467="","",IFERROR(INDEX(Players!$C$5:$C$104,MATCH(C467,Players!$B$5:$B$104,0)),"ID not found"))</f>
        <v/>
      </c>
      <c r="E467" s="27"/>
      <c r="F467" s="28" t="str">
        <f aca="false">IF(E467="","",IFERROR(INDEX('Med Ball Library'!$C$6:$C$19,MATCH(E467,'Med Ball Library'!$B$6:$B$19,0)),"Unknown ID"))</f>
        <v/>
      </c>
      <c r="G467" s="27"/>
      <c r="H467" s="27"/>
      <c r="I467" s="27"/>
      <c r="J467" s="27"/>
      <c r="K467" s="28" t="str">
        <f aca="false">IF(COUNT(H467,I467,J467)&lt;3,"",H467*I467*J467)</f>
        <v/>
      </c>
      <c r="L467" s="27"/>
      <c r="M467" s="27"/>
      <c r="N467" s="27"/>
      <c r="O467" s="27"/>
      <c r="P467" s="27"/>
    </row>
    <row r="468" customFormat="false" ht="15" hidden="false" customHeight="false" outlineLevel="0" collapsed="false">
      <c r="B468" s="26"/>
      <c r="C468" s="27"/>
      <c r="D468" s="28" t="str">
        <f aca="false">IF(C468="","",IFERROR(INDEX(Players!$C$5:$C$104,MATCH(C468,Players!$B$5:$B$104,0)),"ID not found"))</f>
        <v/>
      </c>
      <c r="E468" s="27"/>
      <c r="F468" s="28" t="str">
        <f aca="false">IF(E468="","",IFERROR(INDEX('Med Ball Library'!$C$6:$C$19,MATCH(E468,'Med Ball Library'!$B$6:$B$19,0)),"Unknown ID"))</f>
        <v/>
      </c>
      <c r="G468" s="27"/>
      <c r="H468" s="27"/>
      <c r="I468" s="27"/>
      <c r="J468" s="27"/>
      <c r="K468" s="28" t="str">
        <f aca="false">IF(COUNT(H468,I468,J468)&lt;3,"",H468*I468*J468)</f>
        <v/>
      </c>
      <c r="L468" s="27"/>
      <c r="M468" s="27"/>
      <c r="N468" s="27"/>
      <c r="O468" s="27"/>
      <c r="P468" s="27"/>
    </row>
    <row r="469" customFormat="false" ht="15" hidden="false" customHeight="false" outlineLevel="0" collapsed="false">
      <c r="B469" s="26"/>
      <c r="C469" s="27"/>
      <c r="D469" s="28" t="str">
        <f aca="false">IF(C469="","",IFERROR(INDEX(Players!$C$5:$C$104,MATCH(C469,Players!$B$5:$B$104,0)),"ID not found"))</f>
        <v/>
      </c>
      <c r="E469" s="27"/>
      <c r="F469" s="28" t="str">
        <f aca="false">IF(E469="","",IFERROR(INDEX('Med Ball Library'!$C$6:$C$19,MATCH(E469,'Med Ball Library'!$B$6:$B$19,0)),"Unknown ID"))</f>
        <v/>
      </c>
      <c r="G469" s="27"/>
      <c r="H469" s="27"/>
      <c r="I469" s="27"/>
      <c r="J469" s="27"/>
      <c r="K469" s="28" t="str">
        <f aca="false">IF(COUNT(H469,I469,J469)&lt;3,"",H469*I469*J469)</f>
        <v/>
      </c>
      <c r="L469" s="27"/>
      <c r="M469" s="27"/>
      <c r="N469" s="27"/>
      <c r="O469" s="27"/>
      <c r="P469" s="27"/>
    </row>
    <row r="470" customFormat="false" ht="15" hidden="false" customHeight="false" outlineLevel="0" collapsed="false">
      <c r="B470" s="26"/>
      <c r="C470" s="27"/>
      <c r="D470" s="28" t="str">
        <f aca="false">IF(C470="","",IFERROR(INDEX(Players!$C$5:$C$104,MATCH(C470,Players!$B$5:$B$104,0)),"ID not found"))</f>
        <v/>
      </c>
      <c r="E470" s="27"/>
      <c r="F470" s="28" t="str">
        <f aca="false">IF(E470="","",IFERROR(INDEX('Med Ball Library'!$C$6:$C$19,MATCH(E470,'Med Ball Library'!$B$6:$B$19,0)),"Unknown ID"))</f>
        <v/>
      </c>
      <c r="G470" s="27"/>
      <c r="H470" s="27"/>
      <c r="I470" s="27"/>
      <c r="J470" s="27"/>
      <c r="K470" s="28" t="str">
        <f aca="false">IF(COUNT(H470,I470,J470)&lt;3,"",H470*I470*J470)</f>
        <v/>
      </c>
      <c r="L470" s="27"/>
      <c r="M470" s="27"/>
      <c r="N470" s="27"/>
      <c r="O470" s="27"/>
      <c r="P470" s="27"/>
    </row>
    <row r="471" customFormat="false" ht="15" hidden="false" customHeight="false" outlineLevel="0" collapsed="false">
      <c r="B471" s="26"/>
      <c r="C471" s="27"/>
      <c r="D471" s="28" t="str">
        <f aca="false">IF(C471="","",IFERROR(INDEX(Players!$C$5:$C$104,MATCH(C471,Players!$B$5:$B$104,0)),"ID not found"))</f>
        <v/>
      </c>
      <c r="E471" s="27"/>
      <c r="F471" s="28" t="str">
        <f aca="false">IF(E471="","",IFERROR(INDEX('Med Ball Library'!$C$6:$C$19,MATCH(E471,'Med Ball Library'!$B$6:$B$19,0)),"Unknown ID"))</f>
        <v/>
      </c>
      <c r="G471" s="27"/>
      <c r="H471" s="27"/>
      <c r="I471" s="27"/>
      <c r="J471" s="27"/>
      <c r="K471" s="28" t="str">
        <f aca="false">IF(COUNT(H471,I471,J471)&lt;3,"",H471*I471*J471)</f>
        <v/>
      </c>
      <c r="L471" s="27"/>
      <c r="M471" s="27"/>
      <c r="N471" s="27"/>
      <c r="O471" s="27"/>
      <c r="P471" s="27"/>
    </row>
    <row r="472" customFormat="false" ht="15" hidden="false" customHeight="false" outlineLevel="0" collapsed="false">
      <c r="B472" s="26"/>
      <c r="C472" s="27"/>
      <c r="D472" s="28" t="str">
        <f aca="false">IF(C472="","",IFERROR(INDEX(Players!$C$5:$C$104,MATCH(C472,Players!$B$5:$B$104,0)),"ID not found"))</f>
        <v/>
      </c>
      <c r="E472" s="27"/>
      <c r="F472" s="28" t="str">
        <f aca="false">IF(E472="","",IFERROR(INDEX('Med Ball Library'!$C$6:$C$19,MATCH(E472,'Med Ball Library'!$B$6:$B$19,0)),"Unknown ID"))</f>
        <v/>
      </c>
      <c r="G472" s="27"/>
      <c r="H472" s="27"/>
      <c r="I472" s="27"/>
      <c r="J472" s="27"/>
      <c r="K472" s="28" t="str">
        <f aca="false">IF(COUNT(H472,I472,J472)&lt;3,"",H472*I472*J472)</f>
        <v/>
      </c>
      <c r="L472" s="27"/>
      <c r="M472" s="27"/>
      <c r="N472" s="27"/>
      <c r="O472" s="27"/>
      <c r="P472" s="27"/>
    </row>
    <row r="473" customFormat="false" ht="15" hidden="false" customHeight="false" outlineLevel="0" collapsed="false">
      <c r="B473" s="26"/>
      <c r="C473" s="27"/>
      <c r="D473" s="28" t="str">
        <f aca="false">IF(C473="","",IFERROR(INDEX(Players!$C$5:$C$104,MATCH(C473,Players!$B$5:$B$104,0)),"ID not found"))</f>
        <v/>
      </c>
      <c r="E473" s="27"/>
      <c r="F473" s="28" t="str">
        <f aca="false">IF(E473="","",IFERROR(INDEX('Med Ball Library'!$C$6:$C$19,MATCH(E473,'Med Ball Library'!$B$6:$B$19,0)),"Unknown ID"))</f>
        <v/>
      </c>
      <c r="G473" s="27"/>
      <c r="H473" s="27"/>
      <c r="I473" s="27"/>
      <c r="J473" s="27"/>
      <c r="K473" s="28" t="str">
        <f aca="false">IF(COUNT(H473,I473,J473)&lt;3,"",H473*I473*J473)</f>
        <v/>
      </c>
      <c r="L473" s="27"/>
      <c r="M473" s="27"/>
      <c r="N473" s="27"/>
      <c r="O473" s="27"/>
      <c r="P473" s="27"/>
    </row>
    <row r="474" customFormat="false" ht="15" hidden="false" customHeight="false" outlineLevel="0" collapsed="false">
      <c r="B474" s="26"/>
      <c r="C474" s="27"/>
      <c r="D474" s="28" t="str">
        <f aca="false">IF(C474="","",IFERROR(INDEX(Players!$C$5:$C$104,MATCH(C474,Players!$B$5:$B$104,0)),"ID not found"))</f>
        <v/>
      </c>
      <c r="E474" s="27"/>
      <c r="F474" s="28" t="str">
        <f aca="false">IF(E474="","",IFERROR(INDEX('Med Ball Library'!$C$6:$C$19,MATCH(E474,'Med Ball Library'!$B$6:$B$19,0)),"Unknown ID"))</f>
        <v/>
      </c>
      <c r="G474" s="27"/>
      <c r="H474" s="27"/>
      <c r="I474" s="27"/>
      <c r="J474" s="27"/>
      <c r="K474" s="28" t="str">
        <f aca="false">IF(COUNT(H474,I474,J474)&lt;3,"",H474*I474*J474)</f>
        <v/>
      </c>
      <c r="L474" s="27"/>
      <c r="M474" s="27"/>
      <c r="N474" s="27"/>
      <c r="O474" s="27"/>
      <c r="P474" s="27"/>
    </row>
    <row r="475" customFormat="false" ht="15" hidden="false" customHeight="false" outlineLevel="0" collapsed="false">
      <c r="B475" s="26"/>
      <c r="C475" s="27"/>
      <c r="D475" s="28" t="str">
        <f aca="false">IF(C475="","",IFERROR(INDEX(Players!$C$5:$C$104,MATCH(C475,Players!$B$5:$B$104,0)),"ID not found"))</f>
        <v/>
      </c>
      <c r="E475" s="27"/>
      <c r="F475" s="28" t="str">
        <f aca="false">IF(E475="","",IFERROR(INDEX('Med Ball Library'!$C$6:$C$19,MATCH(E475,'Med Ball Library'!$B$6:$B$19,0)),"Unknown ID"))</f>
        <v/>
      </c>
      <c r="G475" s="27"/>
      <c r="H475" s="27"/>
      <c r="I475" s="27"/>
      <c r="J475" s="27"/>
      <c r="K475" s="28" t="str">
        <f aca="false">IF(COUNT(H475,I475,J475)&lt;3,"",H475*I475*J475)</f>
        <v/>
      </c>
      <c r="L475" s="27"/>
      <c r="M475" s="27"/>
      <c r="N475" s="27"/>
      <c r="O475" s="27"/>
      <c r="P475" s="27"/>
    </row>
    <row r="476" customFormat="false" ht="15" hidden="false" customHeight="false" outlineLevel="0" collapsed="false">
      <c r="B476" s="26"/>
      <c r="C476" s="27"/>
      <c r="D476" s="28" t="str">
        <f aca="false">IF(C476="","",IFERROR(INDEX(Players!$C$5:$C$104,MATCH(C476,Players!$B$5:$B$104,0)),"ID not found"))</f>
        <v/>
      </c>
      <c r="E476" s="27"/>
      <c r="F476" s="28" t="str">
        <f aca="false">IF(E476="","",IFERROR(INDEX('Med Ball Library'!$C$6:$C$19,MATCH(E476,'Med Ball Library'!$B$6:$B$19,0)),"Unknown ID"))</f>
        <v/>
      </c>
      <c r="G476" s="27"/>
      <c r="H476" s="27"/>
      <c r="I476" s="27"/>
      <c r="J476" s="27"/>
      <c r="K476" s="28" t="str">
        <f aca="false">IF(COUNT(H476,I476,J476)&lt;3,"",H476*I476*J476)</f>
        <v/>
      </c>
      <c r="L476" s="27"/>
      <c r="M476" s="27"/>
      <c r="N476" s="27"/>
      <c r="O476" s="27"/>
      <c r="P476" s="27"/>
    </row>
    <row r="477" customFormat="false" ht="15" hidden="false" customHeight="false" outlineLevel="0" collapsed="false">
      <c r="B477" s="26"/>
      <c r="C477" s="27"/>
      <c r="D477" s="28" t="str">
        <f aca="false">IF(C477="","",IFERROR(INDEX(Players!$C$5:$C$104,MATCH(C477,Players!$B$5:$B$104,0)),"ID not found"))</f>
        <v/>
      </c>
      <c r="E477" s="27"/>
      <c r="F477" s="28" t="str">
        <f aca="false">IF(E477="","",IFERROR(INDEX('Med Ball Library'!$C$6:$C$19,MATCH(E477,'Med Ball Library'!$B$6:$B$19,0)),"Unknown ID"))</f>
        <v/>
      </c>
      <c r="G477" s="27"/>
      <c r="H477" s="27"/>
      <c r="I477" s="27"/>
      <c r="J477" s="27"/>
      <c r="K477" s="28" t="str">
        <f aca="false">IF(COUNT(H477,I477,J477)&lt;3,"",H477*I477*J477)</f>
        <v/>
      </c>
      <c r="L477" s="27"/>
      <c r="M477" s="27"/>
      <c r="N477" s="27"/>
      <c r="O477" s="27"/>
      <c r="P477" s="27"/>
    </row>
    <row r="478" customFormat="false" ht="15" hidden="false" customHeight="false" outlineLevel="0" collapsed="false">
      <c r="B478" s="26"/>
      <c r="C478" s="27"/>
      <c r="D478" s="28" t="str">
        <f aca="false">IF(C478="","",IFERROR(INDEX(Players!$C$5:$C$104,MATCH(C478,Players!$B$5:$B$104,0)),"ID not found"))</f>
        <v/>
      </c>
      <c r="E478" s="27"/>
      <c r="F478" s="28" t="str">
        <f aca="false">IF(E478="","",IFERROR(INDEX('Med Ball Library'!$C$6:$C$19,MATCH(E478,'Med Ball Library'!$B$6:$B$19,0)),"Unknown ID"))</f>
        <v/>
      </c>
      <c r="G478" s="27"/>
      <c r="H478" s="27"/>
      <c r="I478" s="27"/>
      <c r="J478" s="27"/>
      <c r="K478" s="28" t="str">
        <f aca="false">IF(COUNT(H478,I478,J478)&lt;3,"",H478*I478*J478)</f>
        <v/>
      </c>
      <c r="L478" s="27"/>
      <c r="M478" s="27"/>
      <c r="N478" s="27"/>
      <c r="O478" s="27"/>
      <c r="P478" s="27"/>
    </row>
    <row r="479" customFormat="false" ht="15" hidden="false" customHeight="false" outlineLevel="0" collapsed="false">
      <c r="B479" s="26"/>
      <c r="C479" s="27"/>
      <c r="D479" s="28" t="str">
        <f aca="false">IF(C479="","",IFERROR(INDEX(Players!$C$5:$C$104,MATCH(C479,Players!$B$5:$B$104,0)),"ID not found"))</f>
        <v/>
      </c>
      <c r="E479" s="27"/>
      <c r="F479" s="28" t="str">
        <f aca="false">IF(E479="","",IFERROR(INDEX('Med Ball Library'!$C$6:$C$19,MATCH(E479,'Med Ball Library'!$B$6:$B$19,0)),"Unknown ID"))</f>
        <v/>
      </c>
      <c r="G479" s="27"/>
      <c r="H479" s="27"/>
      <c r="I479" s="27"/>
      <c r="J479" s="27"/>
      <c r="K479" s="28" t="str">
        <f aca="false">IF(COUNT(H479,I479,J479)&lt;3,"",H479*I479*J479)</f>
        <v/>
      </c>
      <c r="L479" s="27"/>
      <c r="M479" s="27"/>
      <c r="N479" s="27"/>
      <c r="O479" s="27"/>
      <c r="P479" s="27"/>
    </row>
    <row r="480" customFormat="false" ht="15" hidden="false" customHeight="false" outlineLevel="0" collapsed="false">
      <c r="B480" s="26"/>
      <c r="C480" s="27"/>
      <c r="D480" s="28" t="str">
        <f aca="false">IF(C480="","",IFERROR(INDEX(Players!$C$5:$C$104,MATCH(C480,Players!$B$5:$B$104,0)),"ID not found"))</f>
        <v/>
      </c>
      <c r="E480" s="27"/>
      <c r="F480" s="28" t="str">
        <f aca="false">IF(E480="","",IFERROR(INDEX('Med Ball Library'!$C$6:$C$19,MATCH(E480,'Med Ball Library'!$B$6:$B$19,0)),"Unknown ID"))</f>
        <v/>
      </c>
      <c r="G480" s="27"/>
      <c r="H480" s="27"/>
      <c r="I480" s="27"/>
      <c r="J480" s="27"/>
      <c r="K480" s="28" t="str">
        <f aca="false">IF(COUNT(H480,I480,J480)&lt;3,"",H480*I480*J480)</f>
        <v/>
      </c>
      <c r="L480" s="27"/>
      <c r="M480" s="27"/>
      <c r="N480" s="27"/>
      <c r="O480" s="27"/>
      <c r="P480" s="27"/>
    </row>
    <row r="481" customFormat="false" ht="15" hidden="false" customHeight="false" outlineLevel="0" collapsed="false">
      <c r="B481" s="26"/>
      <c r="C481" s="27"/>
      <c r="D481" s="28" t="str">
        <f aca="false">IF(C481="","",IFERROR(INDEX(Players!$C$5:$C$104,MATCH(C481,Players!$B$5:$B$104,0)),"ID not found"))</f>
        <v/>
      </c>
      <c r="E481" s="27"/>
      <c r="F481" s="28" t="str">
        <f aca="false">IF(E481="","",IFERROR(INDEX('Med Ball Library'!$C$6:$C$19,MATCH(E481,'Med Ball Library'!$B$6:$B$19,0)),"Unknown ID"))</f>
        <v/>
      </c>
      <c r="G481" s="27"/>
      <c r="H481" s="27"/>
      <c r="I481" s="27"/>
      <c r="J481" s="27"/>
      <c r="K481" s="28" t="str">
        <f aca="false">IF(COUNT(H481,I481,J481)&lt;3,"",H481*I481*J481)</f>
        <v/>
      </c>
      <c r="L481" s="27"/>
      <c r="M481" s="27"/>
      <c r="N481" s="27"/>
      <c r="O481" s="27"/>
      <c r="P481" s="27"/>
    </row>
    <row r="482" customFormat="false" ht="15" hidden="false" customHeight="false" outlineLevel="0" collapsed="false">
      <c r="B482" s="26"/>
      <c r="C482" s="27"/>
      <c r="D482" s="28" t="str">
        <f aca="false">IF(C482="","",IFERROR(INDEX(Players!$C$5:$C$104,MATCH(C482,Players!$B$5:$B$104,0)),"ID not found"))</f>
        <v/>
      </c>
      <c r="E482" s="27"/>
      <c r="F482" s="28" t="str">
        <f aca="false">IF(E482="","",IFERROR(INDEX('Med Ball Library'!$C$6:$C$19,MATCH(E482,'Med Ball Library'!$B$6:$B$19,0)),"Unknown ID"))</f>
        <v/>
      </c>
      <c r="G482" s="27"/>
      <c r="H482" s="27"/>
      <c r="I482" s="27"/>
      <c r="J482" s="27"/>
      <c r="K482" s="28" t="str">
        <f aca="false">IF(COUNT(H482,I482,J482)&lt;3,"",H482*I482*J482)</f>
        <v/>
      </c>
      <c r="L482" s="27"/>
      <c r="M482" s="27"/>
      <c r="N482" s="27"/>
      <c r="O482" s="27"/>
      <c r="P482" s="27"/>
    </row>
    <row r="483" customFormat="false" ht="15" hidden="false" customHeight="false" outlineLevel="0" collapsed="false">
      <c r="B483" s="26"/>
      <c r="C483" s="27"/>
      <c r="D483" s="28" t="str">
        <f aca="false">IF(C483="","",IFERROR(INDEX(Players!$C$5:$C$104,MATCH(C483,Players!$B$5:$B$104,0)),"ID not found"))</f>
        <v/>
      </c>
      <c r="E483" s="27"/>
      <c r="F483" s="28" t="str">
        <f aca="false">IF(E483="","",IFERROR(INDEX('Med Ball Library'!$C$6:$C$19,MATCH(E483,'Med Ball Library'!$B$6:$B$19,0)),"Unknown ID"))</f>
        <v/>
      </c>
      <c r="G483" s="27"/>
      <c r="H483" s="27"/>
      <c r="I483" s="27"/>
      <c r="J483" s="27"/>
      <c r="K483" s="28" t="str">
        <f aca="false">IF(COUNT(H483,I483,J483)&lt;3,"",H483*I483*J483)</f>
        <v/>
      </c>
      <c r="L483" s="27"/>
      <c r="M483" s="27"/>
      <c r="N483" s="27"/>
      <c r="O483" s="27"/>
      <c r="P483" s="27"/>
    </row>
    <row r="484" customFormat="false" ht="15" hidden="false" customHeight="false" outlineLevel="0" collapsed="false">
      <c r="B484" s="26"/>
      <c r="C484" s="27"/>
      <c r="D484" s="28" t="str">
        <f aca="false">IF(C484="","",IFERROR(INDEX(Players!$C$5:$C$104,MATCH(C484,Players!$B$5:$B$104,0)),"ID not found"))</f>
        <v/>
      </c>
      <c r="E484" s="27"/>
      <c r="F484" s="28" t="str">
        <f aca="false">IF(E484="","",IFERROR(INDEX('Med Ball Library'!$C$6:$C$19,MATCH(E484,'Med Ball Library'!$B$6:$B$19,0)),"Unknown ID"))</f>
        <v/>
      </c>
      <c r="G484" s="27"/>
      <c r="H484" s="27"/>
      <c r="I484" s="27"/>
      <c r="J484" s="27"/>
      <c r="K484" s="28" t="str">
        <f aca="false">IF(COUNT(H484,I484,J484)&lt;3,"",H484*I484*J484)</f>
        <v/>
      </c>
      <c r="L484" s="27"/>
      <c r="M484" s="27"/>
      <c r="N484" s="27"/>
      <c r="O484" s="27"/>
      <c r="P484" s="27"/>
    </row>
    <row r="485" customFormat="false" ht="15" hidden="false" customHeight="false" outlineLevel="0" collapsed="false">
      <c r="B485" s="26"/>
      <c r="C485" s="27"/>
      <c r="D485" s="28" t="str">
        <f aca="false">IF(C485="","",IFERROR(INDEX(Players!$C$5:$C$104,MATCH(C485,Players!$B$5:$B$104,0)),"ID not found"))</f>
        <v/>
      </c>
      <c r="E485" s="27"/>
      <c r="F485" s="28" t="str">
        <f aca="false">IF(E485="","",IFERROR(INDEX('Med Ball Library'!$C$6:$C$19,MATCH(E485,'Med Ball Library'!$B$6:$B$19,0)),"Unknown ID"))</f>
        <v/>
      </c>
      <c r="G485" s="27"/>
      <c r="H485" s="27"/>
      <c r="I485" s="27"/>
      <c r="J485" s="27"/>
      <c r="K485" s="28" t="str">
        <f aca="false">IF(COUNT(H485,I485,J485)&lt;3,"",H485*I485*J485)</f>
        <v/>
      </c>
      <c r="L485" s="27"/>
      <c r="M485" s="27"/>
      <c r="N485" s="27"/>
      <c r="O485" s="27"/>
      <c r="P485" s="27"/>
    </row>
    <row r="486" customFormat="false" ht="15" hidden="false" customHeight="false" outlineLevel="0" collapsed="false">
      <c r="B486" s="26"/>
      <c r="C486" s="27"/>
      <c r="D486" s="28" t="str">
        <f aca="false">IF(C486="","",IFERROR(INDEX(Players!$C$5:$C$104,MATCH(C486,Players!$B$5:$B$104,0)),"ID not found"))</f>
        <v/>
      </c>
      <c r="E486" s="27"/>
      <c r="F486" s="28" t="str">
        <f aca="false">IF(E486="","",IFERROR(INDEX('Med Ball Library'!$C$6:$C$19,MATCH(E486,'Med Ball Library'!$B$6:$B$19,0)),"Unknown ID"))</f>
        <v/>
      </c>
      <c r="G486" s="27"/>
      <c r="H486" s="27"/>
      <c r="I486" s="27"/>
      <c r="J486" s="27"/>
      <c r="K486" s="28" t="str">
        <f aca="false">IF(COUNT(H486,I486,J486)&lt;3,"",H486*I486*J486)</f>
        <v/>
      </c>
      <c r="L486" s="27"/>
      <c r="M486" s="27"/>
      <c r="N486" s="27"/>
      <c r="O486" s="27"/>
      <c r="P486" s="27"/>
    </row>
    <row r="487" customFormat="false" ht="15" hidden="false" customHeight="false" outlineLevel="0" collapsed="false">
      <c r="B487" s="26"/>
      <c r="C487" s="27"/>
      <c r="D487" s="28" t="str">
        <f aca="false">IF(C487="","",IFERROR(INDEX(Players!$C$5:$C$104,MATCH(C487,Players!$B$5:$B$104,0)),"ID not found"))</f>
        <v/>
      </c>
      <c r="E487" s="27"/>
      <c r="F487" s="28" t="str">
        <f aca="false">IF(E487="","",IFERROR(INDEX('Med Ball Library'!$C$6:$C$19,MATCH(E487,'Med Ball Library'!$B$6:$B$19,0)),"Unknown ID"))</f>
        <v/>
      </c>
      <c r="G487" s="27"/>
      <c r="H487" s="27"/>
      <c r="I487" s="27"/>
      <c r="J487" s="27"/>
      <c r="K487" s="28" t="str">
        <f aca="false">IF(COUNT(H487,I487,J487)&lt;3,"",H487*I487*J487)</f>
        <v/>
      </c>
      <c r="L487" s="27"/>
      <c r="M487" s="27"/>
      <c r="N487" s="27"/>
      <c r="O487" s="27"/>
      <c r="P487" s="27"/>
    </row>
    <row r="488" customFormat="false" ht="15" hidden="false" customHeight="false" outlineLevel="0" collapsed="false">
      <c r="B488" s="26"/>
      <c r="C488" s="27"/>
      <c r="D488" s="28" t="str">
        <f aca="false">IF(C488="","",IFERROR(INDEX(Players!$C$5:$C$104,MATCH(C488,Players!$B$5:$B$104,0)),"ID not found"))</f>
        <v/>
      </c>
      <c r="E488" s="27"/>
      <c r="F488" s="28" t="str">
        <f aca="false">IF(E488="","",IFERROR(INDEX('Med Ball Library'!$C$6:$C$19,MATCH(E488,'Med Ball Library'!$B$6:$B$19,0)),"Unknown ID"))</f>
        <v/>
      </c>
      <c r="G488" s="27"/>
      <c r="H488" s="27"/>
      <c r="I488" s="27"/>
      <c r="J488" s="27"/>
      <c r="K488" s="28" t="str">
        <f aca="false">IF(COUNT(H488,I488,J488)&lt;3,"",H488*I488*J488)</f>
        <v/>
      </c>
      <c r="L488" s="27"/>
      <c r="M488" s="27"/>
      <c r="N488" s="27"/>
      <c r="O488" s="27"/>
      <c r="P488" s="27"/>
    </row>
    <row r="489" customFormat="false" ht="15" hidden="false" customHeight="false" outlineLevel="0" collapsed="false">
      <c r="B489" s="26"/>
      <c r="C489" s="27"/>
      <c r="D489" s="28" t="str">
        <f aca="false">IF(C489="","",IFERROR(INDEX(Players!$C$5:$C$104,MATCH(C489,Players!$B$5:$B$104,0)),"ID not found"))</f>
        <v/>
      </c>
      <c r="E489" s="27"/>
      <c r="F489" s="28" t="str">
        <f aca="false">IF(E489="","",IFERROR(INDEX('Med Ball Library'!$C$6:$C$19,MATCH(E489,'Med Ball Library'!$B$6:$B$19,0)),"Unknown ID"))</f>
        <v/>
      </c>
      <c r="G489" s="27"/>
      <c r="H489" s="27"/>
      <c r="I489" s="27"/>
      <c r="J489" s="27"/>
      <c r="K489" s="28" t="str">
        <f aca="false">IF(COUNT(H489,I489,J489)&lt;3,"",H489*I489*J489)</f>
        <v/>
      </c>
      <c r="L489" s="27"/>
      <c r="M489" s="27"/>
      <c r="N489" s="27"/>
      <c r="O489" s="27"/>
      <c r="P489" s="27"/>
    </row>
    <row r="490" customFormat="false" ht="15" hidden="false" customHeight="false" outlineLevel="0" collapsed="false">
      <c r="B490" s="26"/>
      <c r="C490" s="27"/>
      <c r="D490" s="28" t="str">
        <f aca="false">IF(C490="","",IFERROR(INDEX(Players!$C$5:$C$104,MATCH(C490,Players!$B$5:$B$104,0)),"ID not found"))</f>
        <v/>
      </c>
      <c r="E490" s="27"/>
      <c r="F490" s="28" t="str">
        <f aca="false">IF(E490="","",IFERROR(INDEX('Med Ball Library'!$C$6:$C$19,MATCH(E490,'Med Ball Library'!$B$6:$B$19,0)),"Unknown ID"))</f>
        <v/>
      </c>
      <c r="G490" s="27"/>
      <c r="H490" s="27"/>
      <c r="I490" s="27"/>
      <c r="J490" s="27"/>
      <c r="K490" s="28" t="str">
        <f aca="false">IF(COUNT(H490,I490,J490)&lt;3,"",H490*I490*J490)</f>
        <v/>
      </c>
      <c r="L490" s="27"/>
      <c r="M490" s="27"/>
      <c r="N490" s="27"/>
      <c r="O490" s="27"/>
      <c r="P490" s="27"/>
    </row>
    <row r="491" customFormat="false" ht="15" hidden="false" customHeight="false" outlineLevel="0" collapsed="false">
      <c r="B491" s="26"/>
      <c r="C491" s="27"/>
      <c r="D491" s="28" t="str">
        <f aca="false">IF(C491="","",IFERROR(INDEX(Players!$C$5:$C$104,MATCH(C491,Players!$B$5:$B$104,0)),"ID not found"))</f>
        <v/>
      </c>
      <c r="E491" s="27"/>
      <c r="F491" s="28" t="str">
        <f aca="false">IF(E491="","",IFERROR(INDEX('Med Ball Library'!$C$6:$C$19,MATCH(E491,'Med Ball Library'!$B$6:$B$19,0)),"Unknown ID"))</f>
        <v/>
      </c>
      <c r="G491" s="27"/>
      <c r="H491" s="27"/>
      <c r="I491" s="27"/>
      <c r="J491" s="27"/>
      <c r="K491" s="28" t="str">
        <f aca="false">IF(COUNT(H491,I491,J491)&lt;3,"",H491*I491*J491)</f>
        <v/>
      </c>
      <c r="L491" s="27"/>
      <c r="M491" s="27"/>
      <c r="N491" s="27"/>
      <c r="O491" s="27"/>
      <c r="P491" s="27"/>
    </row>
    <row r="492" customFormat="false" ht="15" hidden="false" customHeight="false" outlineLevel="0" collapsed="false">
      <c r="B492" s="26"/>
      <c r="C492" s="27"/>
      <c r="D492" s="28" t="str">
        <f aca="false">IF(C492="","",IFERROR(INDEX(Players!$C$5:$C$104,MATCH(C492,Players!$B$5:$B$104,0)),"ID not found"))</f>
        <v/>
      </c>
      <c r="E492" s="27"/>
      <c r="F492" s="28" t="str">
        <f aca="false">IF(E492="","",IFERROR(INDEX('Med Ball Library'!$C$6:$C$19,MATCH(E492,'Med Ball Library'!$B$6:$B$19,0)),"Unknown ID"))</f>
        <v/>
      </c>
      <c r="G492" s="27"/>
      <c r="H492" s="27"/>
      <c r="I492" s="27"/>
      <c r="J492" s="27"/>
      <c r="K492" s="28" t="str">
        <f aca="false">IF(COUNT(H492,I492,J492)&lt;3,"",H492*I492*J492)</f>
        <v/>
      </c>
      <c r="L492" s="27"/>
      <c r="M492" s="27"/>
      <c r="N492" s="27"/>
      <c r="O492" s="27"/>
      <c r="P492" s="27"/>
    </row>
    <row r="493" customFormat="false" ht="15" hidden="false" customHeight="false" outlineLevel="0" collapsed="false">
      <c r="B493" s="26"/>
      <c r="C493" s="27"/>
      <c r="D493" s="28" t="str">
        <f aca="false">IF(C493="","",IFERROR(INDEX(Players!$C$5:$C$104,MATCH(C493,Players!$B$5:$B$104,0)),"ID not found"))</f>
        <v/>
      </c>
      <c r="E493" s="27"/>
      <c r="F493" s="28" t="str">
        <f aca="false">IF(E493="","",IFERROR(INDEX('Med Ball Library'!$C$6:$C$19,MATCH(E493,'Med Ball Library'!$B$6:$B$19,0)),"Unknown ID"))</f>
        <v/>
      </c>
      <c r="G493" s="27"/>
      <c r="H493" s="27"/>
      <c r="I493" s="27"/>
      <c r="J493" s="27"/>
      <c r="K493" s="28" t="str">
        <f aca="false">IF(COUNT(H493,I493,J493)&lt;3,"",H493*I493*J493)</f>
        <v/>
      </c>
      <c r="L493" s="27"/>
      <c r="M493" s="27"/>
      <c r="N493" s="27"/>
      <c r="O493" s="27"/>
      <c r="P493" s="27"/>
    </row>
    <row r="494" customFormat="false" ht="15" hidden="false" customHeight="false" outlineLevel="0" collapsed="false">
      <c r="B494" s="26"/>
      <c r="C494" s="27"/>
      <c r="D494" s="28" t="str">
        <f aca="false">IF(C494="","",IFERROR(INDEX(Players!$C$5:$C$104,MATCH(C494,Players!$B$5:$B$104,0)),"ID not found"))</f>
        <v/>
      </c>
      <c r="E494" s="27"/>
      <c r="F494" s="28" t="str">
        <f aca="false">IF(E494="","",IFERROR(INDEX('Med Ball Library'!$C$6:$C$19,MATCH(E494,'Med Ball Library'!$B$6:$B$19,0)),"Unknown ID"))</f>
        <v/>
      </c>
      <c r="G494" s="27"/>
      <c r="H494" s="27"/>
      <c r="I494" s="27"/>
      <c r="J494" s="27"/>
      <c r="K494" s="28" t="str">
        <f aca="false">IF(COUNT(H494,I494,J494)&lt;3,"",H494*I494*J494)</f>
        <v/>
      </c>
      <c r="L494" s="27"/>
      <c r="M494" s="27"/>
      <c r="N494" s="27"/>
      <c r="O494" s="27"/>
      <c r="P494" s="27"/>
    </row>
    <row r="495" customFormat="false" ht="15" hidden="false" customHeight="false" outlineLevel="0" collapsed="false">
      <c r="B495" s="26"/>
      <c r="C495" s="27"/>
      <c r="D495" s="28" t="str">
        <f aca="false">IF(C495="","",IFERROR(INDEX(Players!$C$5:$C$104,MATCH(C495,Players!$B$5:$B$104,0)),"ID not found"))</f>
        <v/>
      </c>
      <c r="E495" s="27"/>
      <c r="F495" s="28" t="str">
        <f aca="false">IF(E495="","",IFERROR(INDEX('Med Ball Library'!$C$6:$C$19,MATCH(E495,'Med Ball Library'!$B$6:$B$19,0)),"Unknown ID"))</f>
        <v/>
      </c>
      <c r="G495" s="27"/>
      <c r="H495" s="27"/>
      <c r="I495" s="27"/>
      <c r="J495" s="27"/>
      <c r="K495" s="28" t="str">
        <f aca="false">IF(COUNT(H495,I495,J495)&lt;3,"",H495*I495*J495)</f>
        <v/>
      </c>
      <c r="L495" s="27"/>
      <c r="M495" s="27"/>
      <c r="N495" s="27"/>
      <c r="O495" s="27"/>
      <c r="P495" s="27"/>
    </row>
    <row r="496" customFormat="false" ht="15" hidden="false" customHeight="false" outlineLevel="0" collapsed="false">
      <c r="B496" s="26"/>
      <c r="C496" s="27"/>
      <c r="D496" s="28" t="str">
        <f aca="false">IF(C496="","",IFERROR(INDEX(Players!$C$5:$C$104,MATCH(C496,Players!$B$5:$B$104,0)),"ID not found"))</f>
        <v/>
      </c>
      <c r="E496" s="27"/>
      <c r="F496" s="28" t="str">
        <f aca="false">IF(E496="","",IFERROR(INDEX('Med Ball Library'!$C$6:$C$19,MATCH(E496,'Med Ball Library'!$B$6:$B$19,0)),"Unknown ID"))</f>
        <v/>
      </c>
      <c r="G496" s="27"/>
      <c r="H496" s="27"/>
      <c r="I496" s="27"/>
      <c r="J496" s="27"/>
      <c r="K496" s="28" t="str">
        <f aca="false">IF(COUNT(H496,I496,J496)&lt;3,"",H496*I496*J496)</f>
        <v/>
      </c>
      <c r="L496" s="27"/>
      <c r="M496" s="27"/>
      <c r="N496" s="27"/>
      <c r="O496" s="27"/>
      <c r="P496" s="27"/>
    </row>
    <row r="497" customFormat="false" ht="15" hidden="false" customHeight="false" outlineLevel="0" collapsed="false">
      <c r="B497" s="26"/>
      <c r="C497" s="27"/>
      <c r="D497" s="28" t="str">
        <f aca="false">IF(C497="","",IFERROR(INDEX(Players!$C$5:$C$104,MATCH(C497,Players!$B$5:$B$104,0)),"ID not found"))</f>
        <v/>
      </c>
      <c r="E497" s="27"/>
      <c r="F497" s="28" t="str">
        <f aca="false">IF(E497="","",IFERROR(INDEX('Med Ball Library'!$C$6:$C$19,MATCH(E497,'Med Ball Library'!$B$6:$B$19,0)),"Unknown ID"))</f>
        <v/>
      </c>
      <c r="G497" s="27"/>
      <c r="H497" s="27"/>
      <c r="I497" s="27"/>
      <c r="J497" s="27"/>
      <c r="K497" s="28" t="str">
        <f aca="false">IF(COUNT(H497,I497,J497)&lt;3,"",H497*I497*J497)</f>
        <v/>
      </c>
      <c r="L497" s="27"/>
      <c r="M497" s="27"/>
      <c r="N497" s="27"/>
      <c r="O497" s="27"/>
      <c r="P497" s="27"/>
    </row>
    <row r="498" customFormat="false" ht="15" hidden="false" customHeight="false" outlineLevel="0" collapsed="false">
      <c r="B498" s="26"/>
      <c r="C498" s="27"/>
      <c r="D498" s="28" t="str">
        <f aca="false">IF(C498="","",IFERROR(INDEX(Players!$C$5:$C$104,MATCH(C498,Players!$B$5:$B$104,0)),"ID not found"))</f>
        <v/>
      </c>
      <c r="E498" s="27"/>
      <c r="F498" s="28" t="str">
        <f aca="false">IF(E498="","",IFERROR(INDEX('Med Ball Library'!$C$6:$C$19,MATCH(E498,'Med Ball Library'!$B$6:$B$19,0)),"Unknown ID"))</f>
        <v/>
      </c>
      <c r="G498" s="27"/>
      <c r="H498" s="27"/>
      <c r="I498" s="27"/>
      <c r="J498" s="27"/>
      <c r="K498" s="28" t="str">
        <f aca="false">IF(COUNT(H498,I498,J498)&lt;3,"",H498*I498*J498)</f>
        <v/>
      </c>
      <c r="L498" s="27"/>
      <c r="M498" s="27"/>
      <c r="N498" s="27"/>
      <c r="O498" s="27"/>
      <c r="P498" s="27"/>
    </row>
    <row r="499" customFormat="false" ht="15" hidden="false" customHeight="false" outlineLevel="0" collapsed="false">
      <c r="B499" s="26"/>
      <c r="C499" s="27"/>
      <c r="D499" s="28" t="str">
        <f aca="false">IF(C499="","",IFERROR(INDEX(Players!$C$5:$C$104,MATCH(C499,Players!$B$5:$B$104,0)),"ID not found"))</f>
        <v/>
      </c>
      <c r="E499" s="27"/>
      <c r="F499" s="28" t="str">
        <f aca="false">IF(E499="","",IFERROR(INDEX('Med Ball Library'!$C$6:$C$19,MATCH(E499,'Med Ball Library'!$B$6:$B$19,0)),"Unknown ID"))</f>
        <v/>
      </c>
      <c r="G499" s="27"/>
      <c r="H499" s="27"/>
      <c r="I499" s="27"/>
      <c r="J499" s="27"/>
      <c r="K499" s="28" t="str">
        <f aca="false">IF(COUNT(H499,I499,J499)&lt;3,"",H499*I499*J499)</f>
        <v/>
      </c>
      <c r="L499" s="27"/>
      <c r="M499" s="27"/>
      <c r="N499" s="27"/>
      <c r="O499" s="27"/>
      <c r="P499" s="27"/>
    </row>
    <row r="500" customFormat="false" ht="15" hidden="false" customHeight="false" outlineLevel="0" collapsed="false">
      <c r="B500" s="26"/>
      <c r="C500" s="27"/>
      <c r="D500" s="28" t="str">
        <f aca="false">IF(C500="","",IFERROR(INDEX(Players!$C$5:$C$104,MATCH(C500,Players!$B$5:$B$104,0)),"ID not found"))</f>
        <v/>
      </c>
      <c r="E500" s="27"/>
      <c r="F500" s="28" t="str">
        <f aca="false">IF(E500="","",IFERROR(INDEX('Med Ball Library'!$C$6:$C$19,MATCH(E500,'Med Ball Library'!$B$6:$B$19,0)),"Unknown ID"))</f>
        <v/>
      </c>
      <c r="G500" s="27"/>
      <c r="H500" s="27"/>
      <c r="I500" s="27"/>
      <c r="J500" s="27"/>
      <c r="K500" s="28" t="str">
        <f aca="false">IF(COUNT(H500,I500,J500)&lt;3,"",H500*I500*J500)</f>
        <v/>
      </c>
      <c r="L500" s="27"/>
      <c r="M500" s="27"/>
      <c r="N500" s="27"/>
      <c r="O500" s="27"/>
      <c r="P500" s="27"/>
    </row>
    <row r="501" customFormat="false" ht="15" hidden="false" customHeight="false" outlineLevel="0" collapsed="false">
      <c r="B501" s="26"/>
      <c r="C501" s="27"/>
      <c r="D501" s="28" t="str">
        <f aca="false">IF(C501="","",IFERROR(INDEX(Players!$C$5:$C$104,MATCH(C501,Players!$B$5:$B$104,0)),"ID not found"))</f>
        <v/>
      </c>
      <c r="E501" s="27"/>
      <c r="F501" s="28" t="str">
        <f aca="false">IF(E501="","",IFERROR(INDEX('Med Ball Library'!$C$6:$C$19,MATCH(E501,'Med Ball Library'!$B$6:$B$19,0)),"Unknown ID"))</f>
        <v/>
      </c>
      <c r="G501" s="27"/>
      <c r="H501" s="27"/>
      <c r="I501" s="27"/>
      <c r="J501" s="27"/>
      <c r="K501" s="28" t="str">
        <f aca="false">IF(COUNT(H501,I501,J501)&lt;3,"",H501*I501*J501)</f>
        <v/>
      </c>
      <c r="L501" s="27"/>
      <c r="M501" s="27"/>
      <c r="N501" s="27"/>
      <c r="O501" s="27"/>
      <c r="P501" s="27"/>
    </row>
    <row r="502" customFormat="false" ht="15" hidden="false" customHeight="false" outlineLevel="0" collapsed="false">
      <c r="B502" s="26"/>
      <c r="C502" s="27"/>
      <c r="D502" s="28" t="str">
        <f aca="false">IF(C502="","",IFERROR(INDEX(Players!$C$5:$C$104,MATCH(C502,Players!$B$5:$B$104,0)),"ID not found"))</f>
        <v/>
      </c>
      <c r="E502" s="27"/>
      <c r="F502" s="28" t="str">
        <f aca="false">IF(E502="","",IFERROR(INDEX('Med Ball Library'!$C$6:$C$19,MATCH(E502,'Med Ball Library'!$B$6:$B$19,0)),"Unknown ID"))</f>
        <v/>
      </c>
      <c r="G502" s="27"/>
      <c r="H502" s="27"/>
      <c r="I502" s="27"/>
      <c r="J502" s="27"/>
      <c r="K502" s="28" t="str">
        <f aca="false">IF(COUNT(H502,I502,J502)&lt;3,"",H502*I502*J502)</f>
        <v/>
      </c>
      <c r="L502" s="27"/>
      <c r="M502" s="27"/>
      <c r="N502" s="27"/>
      <c r="O502" s="27"/>
      <c r="P502" s="27"/>
    </row>
    <row r="503" customFormat="false" ht="15" hidden="false" customHeight="false" outlineLevel="0" collapsed="false">
      <c r="B503" s="26"/>
      <c r="C503" s="27"/>
      <c r="D503" s="28" t="str">
        <f aca="false">IF(C503="","",IFERROR(INDEX(Players!$C$5:$C$104,MATCH(C503,Players!$B$5:$B$104,0)),"ID not found"))</f>
        <v/>
      </c>
      <c r="E503" s="27"/>
      <c r="F503" s="28" t="str">
        <f aca="false">IF(E503="","",IFERROR(INDEX('Med Ball Library'!$C$6:$C$19,MATCH(E503,'Med Ball Library'!$B$6:$B$19,0)),"Unknown ID"))</f>
        <v/>
      </c>
      <c r="G503" s="27"/>
      <c r="H503" s="27"/>
      <c r="I503" s="27"/>
      <c r="J503" s="27"/>
      <c r="K503" s="28" t="str">
        <f aca="false">IF(COUNT(H503,I503,J503)&lt;3,"",H503*I503*J503)</f>
        <v/>
      </c>
      <c r="L503" s="27"/>
      <c r="M503" s="27"/>
      <c r="N503" s="27"/>
      <c r="O503" s="27"/>
      <c r="P503" s="27"/>
    </row>
    <row r="504" customFormat="false" ht="15" hidden="false" customHeight="false" outlineLevel="0" collapsed="false">
      <c r="B504" s="26"/>
      <c r="C504" s="27"/>
      <c r="D504" s="28" t="str">
        <f aca="false">IF(C504="","",IFERROR(INDEX(Players!$C$5:$C$104,MATCH(C504,Players!$B$5:$B$104,0)),"ID not found"))</f>
        <v/>
      </c>
      <c r="E504" s="27"/>
      <c r="F504" s="28" t="str">
        <f aca="false">IF(E504="","",IFERROR(INDEX('Med Ball Library'!$C$6:$C$19,MATCH(E504,'Med Ball Library'!$B$6:$B$19,0)),"Unknown ID"))</f>
        <v/>
      </c>
      <c r="G504" s="27"/>
      <c r="H504" s="27"/>
      <c r="I504" s="27"/>
      <c r="J504" s="27"/>
      <c r="K504" s="28" t="str">
        <f aca="false">IF(COUNT(H504,I504,J504)&lt;3,"",H504*I504*J504)</f>
        <v/>
      </c>
      <c r="L504" s="27"/>
      <c r="M504" s="27"/>
      <c r="N504" s="27"/>
      <c r="O504" s="27"/>
      <c r="P504" s="27"/>
    </row>
  </sheetData>
  <dataValidations count="6">
    <dataValidation allowBlank="true" errorStyle="stop" operator="between" showDropDown="false" showErrorMessage="false" showInputMessage="false" sqref="C5:C504" type="list">
      <formula1>Players!$B$5:$B$104</formula1>
      <formula2>0</formula2>
    </dataValidation>
    <dataValidation allowBlank="true" errorStyle="stop" operator="between" showDropDown="false" showErrorMessage="false" showInputMessage="false" sqref="E5:E504" type="list">
      <formula1>'Med Ball Library'!$B$6:$B$19</formula1>
      <formula2>0</formula2>
    </dataValidation>
    <dataValidation allowBlank="true" errorStyle="stop" operator="between" showDropDown="false" showErrorMessage="false" showInputMessage="false" sqref="J5:J504" type="list">
      <formula1>"1,2"</formula1>
      <formula2>0</formula2>
    </dataValidation>
    <dataValidation allowBlank="true" errorStyle="stop" operator="between" showDropDown="false" showErrorMessage="false" showInputMessage="false" sqref="M5:M504" type="list">
      <formula1>"Good,Fair,Stop"</formula1>
      <formula2>0</formula2>
    </dataValidation>
    <dataValidation allowBlank="true" errorStyle="stop" operator="between" showDropDown="false" showErrorMessage="false" showInputMessage="false" sqref="N5:N504" type="list">
      <formula1>"Y,N"</formula1>
      <formula2>0</formula2>
    </dataValidation>
    <dataValidation allowBlank="true" errorStyle="stop" operator="between" showDropDown="false" showErrorMessage="false" showInputMessage="false" sqref="O5:O504" type="list">
      <formula1>'Hitting Drills'!$B$6:$B$45</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1:L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4" min="4" style="0" width="20"/>
    <col collapsed="false" customWidth="true" hidden="false" outlineLevel="0" max="6" min="5" style="0" width="11"/>
    <col collapsed="false" customWidth="true" hidden="false" outlineLevel="0" max="7" min="7" style="0" width="9"/>
    <col collapsed="false" customWidth="true" hidden="false" outlineLevel="0" max="8" min="8" style="0" width="10"/>
    <col collapsed="false" customWidth="true" hidden="false" outlineLevel="0" max="9" min="9" style="0" width="11"/>
    <col collapsed="false" customWidth="true" hidden="false" outlineLevel="0" max="10" min="10" style="0" width="18"/>
    <col collapsed="false" customWidth="true" hidden="false" outlineLevel="0" max="11" min="11" style="0" width="14"/>
    <col collapsed="false" customWidth="true" hidden="false" outlineLevel="0" max="12" min="12" style="0" width="36"/>
  </cols>
  <sheetData>
    <row r="1" customFormat="false" ht="15" hidden="false" customHeight="false" outlineLevel="0" collapsed="false">
      <c r="B1" s="12" t="s">
        <v>24</v>
      </c>
    </row>
    <row r="2" customFormat="false" ht="22.05" hidden="false" customHeight="false" outlineLevel="0" collapsed="false">
      <c r="B2" s="13" t="s">
        <v>78</v>
      </c>
    </row>
    <row r="3" customFormat="false" ht="15" hidden="false" customHeight="false" outlineLevel="0" collapsed="false">
      <c r="B3" s="14" t="s">
        <v>1648</v>
      </c>
    </row>
    <row r="4" customFormat="false" ht="30" hidden="false" customHeight="true" outlineLevel="0" collapsed="false">
      <c r="B4" s="15" t="s">
        <v>1622</v>
      </c>
      <c r="C4" s="15" t="s">
        <v>151</v>
      </c>
      <c r="D4" s="15" t="s">
        <v>152</v>
      </c>
      <c r="E4" s="15" t="s">
        <v>1649</v>
      </c>
      <c r="F4" s="15" t="s">
        <v>1650</v>
      </c>
      <c r="G4" s="15" t="s">
        <v>1632</v>
      </c>
      <c r="H4" s="15" t="s">
        <v>1651</v>
      </c>
      <c r="I4" s="15" t="s">
        <v>1652</v>
      </c>
      <c r="J4" s="15" t="s">
        <v>1653</v>
      </c>
      <c r="K4" s="15" t="s">
        <v>1654</v>
      </c>
      <c r="L4" s="15" t="s">
        <v>160</v>
      </c>
    </row>
    <row r="5" customFormat="false" ht="15" hidden="false" customHeight="false" outlineLevel="0" collapsed="false">
      <c r="B5" s="26"/>
      <c r="C5" s="27"/>
      <c r="D5" s="28" t="str">
        <f aca="false">IF(C5="","",IFERROR(INDEX(Players!$C$5:$C$104,MATCH(C5,Players!$B$5:$B$104,0)),"ID not found"))</f>
        <v/>
      </c>
      <c r="E5" s="27"/>
      <c r="F5" s="27"/>
      <c r="G5" s="27"/>
      <c r="H5" s="27"/>
      <c r="I5" s="27"/>
      <c r="J5" s="27"/>
      <c r="K5" s="27"/>
      <c r="L5" s="27"/>
    </row>
    <row r="6" customFormat="false" ht="15" hidden="false" customHeight="false" outlineLevel="0" collapsed="false">
      <c r="B6" s="26"/>
      <c r="C6" s="27"/>
      <c r="D6" s="28" t="str">
        <f aca="false">IF(C6="","",IFERROR(INDEX(Players!$C$5:$C$104,MATCH(C6,Players!$B$5:$B$104,0)),"ID not found"))</f>
        <v/>
      </c>
      <c r="E6" s="27"/>
      <c r="F6" s="27"/>
      <c r="G6" s="27"/>
      <c r="H6" s="27"/>
      <c r="I6" s="27"/>
      <c r="J6" s="27"/>
      <c r="K6" s="27"/>
      <c r="L6" s="27"/>
    </row>
    <row r="7" customFormat="false" ht="15" hidden="false" customHeight="false" outlineLevel="0" collapsed="false">
      <c r="B7" s="26"/>
      <c r="C7" s="27"/>
      <c r="D7" s="28" t="str">
        <f aca="false">IF(C7="","",IFERROR(INDEX(Players!$C$5:$C$104,MATCH(C7,Players!$B$5:$B$104,0)),"ID not found"))</f>
        <v/>
      </c>
      <c r="E7" s="27"/>
      <c r="F7" s="27"/>
      <c r="G7" s="27"/>
      <c r="H7" s="27"/>
      <c r="I7" s="27"/>
      <c r="J7" s="27"/>
      <c r="K7" s="27"/>
      <c r="L7" s="27"/>
    </row>
    <row r="8" customFormat="false" ht="15" hidden="false" customHeight="false" outlineLevel="0" collapsed="false">
      <c r="B8" s="26"/>
      <c r="C8" s="27"/>
      <c r="D8" s="28" t="str">
        <f aca="false">IF(C8="","",IFERROR(INDEX(Players!$C$5:$C$104,MATCH(C8,Players!$B$5:$B$104,0)),"ID not found"))</f>
        <v/>
      </c>
      <c r="E8" s="27"/>
      <c r="F8" s="27"/>
      <c r="G8" s="27"/>
      <c r="H8" s="27"/>
      <c r="I8" s="27"/>
      <c r="J8" s="27"/>
      <c r="K8" s="27"/>
      <c r="L8" s="27"/>
    </row>
    <row r="9" customFormat="false" ht="15" hidden="false" customHeight="false" outlineLevel="0" collapsed="false">
      <c r="B9" s="26"/>
      <c r="C9" s="27"/>
      <c r="D9" s="28" t="str">
        <f aca="false">IF(C9="","",IFERROR(INDEX(Players!$C$5:$C$104,MATCH(C9,Players!$B$5:$B$104,0)),"ID not found"))</f>
        <v/>
      </c>
      <c r="E9" s="27"/>
      <c r="F9" s="27"/>
      <c r="G9" s="27"/>
      <c r="H9" s="27"/>
      <c r="I9" s="27"/>
      <c r="J9" s="27"/>
      <c r="K9" s="27"/>
      <c r="L9" s="27"/>
    </row>
    <row r="10" customFormat="false" ht="15" hidden="false" customHeight="false" outlineLevel="0" collapsed="false">
      <c r="B10" s="26"/>
      <c r="C10" s="27"/>
      <c r="D10" s="28" t="str">
        <f aca="false">IF(C10="","",IFERROR(INDEX(Players!$C$5:$C$104,MATCH(C10,Players!$B$5:$B$104,0)),"ID not found"))</f>
        <v/>
      </c>
      <c r="E10" s="27"/>
      <c r="F10" s="27"/>
      <c r="G10" s="27"/>
      <c r="H10" s="27"/>
      <c r="I10" s="27"/>
      <c r="J10" s="27"/>
      <c r="K10" s="27"/>
      <c r="L10" s="27"/>
    </row>
    <row r="11" customFormat="false" ht="15" hidden="false" customHeight="false" outlineLevel="0" collapsed="false">
      <c r="B11" s="26"/>
      <c r="C11" s="27"/>
      <c r="D11" s="28" t="str">
        <f aca="false">IF(C11="","",IFERROR(INDEX(Players!$C$5:$C$104,MATCH(C11,Players!$B$5:$B$104,0)),"ID not found"))</f>
        <v/>
      </c>
      <c r="E11" s="27"/>
      <c r="F11" s="27"/>
      <c r="G11" s="27"/>
      <c r="H11" s="27"/>
      <c r="I11" s="27"/>
      <c r="J11" s="27"/>
      <c r="K11" s="27"/>
      <c r="L11" s="27"/>
    </row>
    <row r="12" customFormat="false" ht="15" hidden="false" customHeight="false" outlineLevel="0" collapsed="false">
      <c r="B12" s="26"/>
      <c r="C12" s="27"/>
      <c r="D12" s="28" t="str">
        <f aca="false">IF(C12="","",IFERROR(INDEX(Players!$C$5:$C$104,MATCH(C12,Players!$B$5:$B$104,0)),"ID not found"))</f>
        <v/>
      </c>
      <c r="E12" s="27"/>
      <c r="F12" s="27"/>
      <c r="G12" s="27"/>
      <c r="H12" s="27"/>
      <c r="I12" s="27"/>
      <c r="J12" s="27"/>
      <c r="K12" s="27"/>
      <c r="L12" s="27"/>
    </row>
    <row r="13" customFormat="false" ht="15" hidden="false" customHeight="false" outlineLevel="0" collapsed="false">
      <c r="B13" s="26"/>
      <c r="C13" s="27"/>
      <c r="D13" s="28" t="str">
        <f aca="false">IF(C13="","",IFERROR(INDEX(Players!$C$5:$C$104,MATCH(C13,Players!$B$5:$B$104,0)),"ID not found"))</f>
        <v/>
      </c>
      <c r="E13" s="27"/>
      <c r="F13" s="27"/>
      <c r="G13" s="27"/>
      <c r="H13" s="27"/>
      <c r="I13" s="27"/>
      <c r="J13" s="27"/>
      <c r="K13" s="27"/>
      <c r="L13" s="27"/>
    </row>
    <row r="14" customFormat="false" ht="15" hidden="false" customHeight="false" outlineLevel="0" collapsed="false">
      <c r="B14" s="26"/>
      <c r="C14" s="27"/>
      <c r="D14" s="28" t="str">
        <f aca="false">IF(C14="","",IFERROR(INDEX(Players!$C$5:$C$104,MATCH(C14,Players!$B$5:$B$104,0)),"ID not found"))</f>
        <v/>
      </c>
      <c r="E14" s="27"/>
      <c r="F14" s="27"/>
      <c r="G14" s="27"/>
      <c r="H14" s="27"/>
      <c r="I14" s="27"/>
      <c r="J14" s="27"/>
      <c r="K14" s="27"/>
      <c r="L14" s="27"/>
    </row>
    <row r="15" customFormat="false" ht="15" hidden="false" customHeight="false" outlineLevel="0" collapsed="false">
      <c r="B15" s="26"/>
      <c r="C15" s="27"/>
      <c r="D15" s="28" t="str">
        <f aca="false">IF(C15="","",IFERROR(INDEX(Players!$C$5:$C$104,MATCH(C15,Players!$B$5:$B$104,0)),"ID not found"))</f>
        <v/>
      </c>
      <c r="E15" s="27"/>
      <c r="F15" s="27"/>
      <c r="G15" s="27"/>
      <c r="H15" s="27"/>
      <c r="I15" s="27"/>
      <c r="J15" s="27"/>
      <c r="K15" s="27"/>
      <c r="L15" s="27"/>
    </row>
    <row r="16" customFormat="false" ht="15" hidden="false" customHeight="false" outlineLevel="0" collapsed="false">
      <c r="B16" s="26"/>
      <c r="C16" s="27"/>
      <c r="D16" s="28" t="str">
        <f aca="false">IF(C16="","",IFERROR(INDEX(Players!$C$5:$C$104,MATCH(C16,Players!$B$5:$B$104,0)),"ID not found"))</f>
        <v/>
      </c>
      <c r="E16" s="27"/>
      <c r="F16" s="27"/>
      <c r="G16" s="27"/>
      <c r="H16" s="27"/>
      <c r="I16" s="27"/>
      <c r="J16" s="27"/>
      <c r="K16" s="27"/>
      <c r="L16" s="27"/>
    </row>
    <row r="17" customFormat="false" ht="15" hidden="false" customHeight="false" outlineLevel="0" collapsed="false">
      <c r="B17" s="26"/>
      <c r="C17" s="27"/>
      <c r="D17" s="28" t="str">
        <f aca="false">IF(C17="","",IFERROR(INDEX(Players!$C$5:$C$104,MATCH(C17,Players!$B$5:$B$104,0)),"ID not found"))</f>
        <v/>
      </c>
      <c r="E17" s="27"/>
      <c r="F17" s="27"/>
      <c r="G17" s="27"/>
      <c r="H17" s="27"/>
      <c r="I17" s="27"/>
      <c r="J17" s="27"/>
      <c r="K17" s="27"/>
      <c r="L17" s="27"/>
    </row>
    <row r="18" customFormat="false" ht="15" hidden="false" customHeight="false" outlineLevel="0" collapsed="false">
      <c r="B18" s="26"/>
      <c r="C18" s="27"/>
      <c r="D18" s="28" t="str">
        <f aca="false">IF(C18="","",IFERROR(INDEX(Players!$C$5:$C$104,MATCH(C18,Players!$B$5:$B$104,0)),"ID not found"))</f>
        <v/>
      </c>
      <c r="E18" s="27"/>
      <c r="F18" s="27"/>
      <c r="G18" s="27"/>
      <c r="H18" s="27"/>
      <c r="I18" s="27"/>
      <c r="J18" s="27"/>
      <c r="K18" s="27"/>
      <c r="L18" s="27"/>
    </row>
    <row r="19" customFormat="false" ht="15" hidden="false" customHeight="false" outlineLevel="0" collapsed="false">
      <c r="B19" s="26"/>
      <c r="C19" s="27"/>
      <c r="D19" s="28" t="str">
        <f aca="false">IF(C19="","",IFERROR(INDEX(Players!$C$5:$C$104,MATCH(C19,Players!$B$5:$B$104,0)),"ID not found"))</f>
        <v/>
      </c>
      <c r="E19" s="27"/>
      <c r="F19" s="27"/>
      <c r="G19" s="27"/>
      <c r="H19" s="27"/>
      <c r="I19" s="27"/>
      <c r="J19" s="27"/>
      <c r="K19" s="27"/>
      <c r="L19" s="27"/>
    </row>
    <row r="20" customFormat="false" ht="15" hidden="false" customHeight="false" outlineLevel="0" collapsed="false">
      <c r="B20" s="26"/>
      <c r="C20" s="27"/>
      <c r="D20" s="28" t="str">
        <f aca="false">IF(C20="","",IFERROR(INDEX(Players!$C$5:$C$104,MATCH(C20,Players!$B$5:$B$104,0)),"ID not found"))</f>
        <v/>
      </c>
      <c r="E20" s="27"/>
      <c r="F20" s="27"/>
      <c r="G20" s="27"/>
      <c r="H20" s="27"/>
      <c r="I20" s="27"/>
      <c r="J20" s="27"/>
      <c r="K20" s="27"/>
      <c r="L20" s="27"/>
    </row>
    <row r="21" customFormat="false" ht="15" hidden="false" customHeight="false" outlineLevel="0" collapsed="false">
      <c r="B21" s="26"/>
      <c r="C21" s="27"/>
      <c r="D21" s="28" t="str">
        <f aca="false">IF(C21="","",IFERROR(INDEX(Players!$C$5:$C$104,MATCH(C21,Players!$B$5:$B$104,0)),"ID not found"))</f>
        <v/>
      </c>
      <c r="E21" s="27"/>
      <c r="F21" s="27"/>
      <c r="G21" s="27"/>
      <c r="H21" s="27"/>
      <c r="I21" s="27"/>
      <c r="J21" s="27"/>
      <c r="K21" s="27"/>
      <c r="L21" s="27"/>
    </row>
    <row r="22" customFormat="false" ht="15" hidden="false" customHeight="false" outlineLevel="0" collapsed="false">
      <c r="B22" s="26"/>
      <c r="C22" s="27"/>
      <c r="D22" s="28" t="str">
        <f aca="false">IF(C22="","",IFERROR(INDEX(Players!$C$5:$C$104,MATCH(C22,Players!$B$5:$B$104,0)),"ID not found"))</f>
        <v/>
      </c>
      <c r="E22" s="27"/>
      <c r="F22" s="27"/>
      <c r="G22" s="27"/>
      <c r="H22" s="27"/>
      <c r="I22" s="27"/>
      <c r="J22" s="27"/>
      <c r="K22" s="27"/>
      <c r="L22" s="27"/>
    </row>
    <row r="23" customFormat="false" ht="15" hidden="false" customHeight="false" outlineLevel="0" collapsed="false">
      <c r="B23" s="26"/>
      <c r="C23" s="27"/>
      <c r="D23" s="28" t="str">
        <f aca="false">IF(C23="","",IFERROR(INDEX(Players!$C$5:$C$104,MATCH(C23,Players!$B$5:$B$104,0)),"ID not found"))</f>
        <v/>
      </c>
      <c r="E23" s="27"/>
      <c r="F23" s="27"/>
      <c r="G23" s="27"/>
      <c r="H23" s="27"/>
      <c r="I23" s="27"/>
      <c r="J23" s="27"/>
      <c r="K23" s="27"/>
      <c r="L23" s="27"/>
    </row>
    <row r="24" customFormat="false" ht="15" hidden="false" customHeight="false" outlineLevel="0" collapsed="false">
      <c r="B24" s="26"/>
      <c r="C24" s="27"/>
      <c r="D24" s="28" t="str">
        <f aca="false">IF(C24="","",IFERROR(INDEX(Players!$C$5:$C$104,MATCH(C24,Players!$B$5:$B$104,0)),"ID not found"))</f>
        <v/>
      </c>
      <c r="E24" s="27"/>
      <c r="F24" s="27"/>
      <c r="G24" s="27"/>
      <c r="H24" s="27"/>
      <c r="I24" s="27"/>
      <c r="J24" s="27"/>
      <c r="K24" s="27"/>
      <c r="L24" s="27"/>
    </row>
    <row r="25" customFormat="false" ht="15" hidden="false" customHeight="false" outlineLevel="0" collapsed="false">
      <c r="B25" s="26"/>
      <c r="C25" s="27"/>
      <c r="D25" s="28" t="str">
        <f aca="false">IF(C25="","",IFERROR(INDEX(Players!$C$5:$C$104,MATCH(C25,Players!$B$5:$B$104,0)),"ID not found"))</f>
        <v/>
      </c>
      <c r="E25" s="27"/>
      <c r="F25" s="27"/>
      <c r="G25" s="27"/>
      <c r="H25" s="27"/>
      <c r="I25" s="27"/>
      <c r="J25" s="27"/>
      <c r="K25" s="27"/>
      <c r="L25" s="27"/>
    </row>
    <row r="26" customFormat="false" ht="15" hidden="false" customHeight="false" outlineLevel="0" collapsed="false">
      <c r="B26" s="26"/>
      <c r="C26" s="27"/>
      <c r="D26" s="28" t="str">
        <f aca="false">IF(C26="","",IFERROR(INDEX(Players!$C$5:$C$104,MATCH(C26,Players!$B$5:$B$104,0)),"ID not found"))</f>
        <v/>
      </c>
      <c r="E26" s="27"/>
      <c r="F26" s="27"/>
      <c r="G26" s="27"/>
      <c r="H26" s="27"/>
      <c r="I26" s="27"/>
      <c r="J26" s="27"/>
      <c r="K26" s="27"/>
      <c r="L26" s="27"/>
    </row>
    <row r="27" customFormat="false" ht="15" hidden="false" customHeight="false" outlineLevel="0" collapsed="false">
      <c r="B27" s="26"/>
      <c r="C27" s="27"/>
      <c r="D27" s="28" t="str">
        <f aca="false">IF(C27="","",IFERROR(INDEX(Players!$C$5:$C$104,MATCH(C27,Players!$B$5:$B$104,0)),"ID not found"))</f>
        <v/>
      </c>
      <c r="E27" s="27"/>
      <c r="F27" s="27"/>
      <c r="G27" s="27"/>
      <c r="H27" s="27"/>
      <c r="I27" s="27"/>
      <c r="J27" s="27"/>
      <c r="K27" s="27"/>
      <c r="L27" s="27"/>
    </row>
    <row r="28" customFormat="false" ht="15" hidden="false" customHeight="false" outlineLevel="0" collapsed="false">
      <c r="B28" s="26"/>
      <c r="C28" s="27"/>
      <c r="D28" s="28" t="str">
        <f aca="false">IF(C28="","",IFERROR(INDEX(Players!$C$5:$C$104,MATCH(C28,Players!$B$5:$B$104,0)),"ID not found"))</f>
        <v/>
      </c>
      <c r="E28" s="27"/>
      <c r="F28" s="27"/>
      <c r="G28" s="27"/>
      <c r="H28" s="27"/>
      <c r="I28" s="27"/>
      <c r="J28" s="27"/>
      <c r="K28" s="27"/>
      <c r="L28" s="27"/>
    </row>
    <row r="29" customFormat="false" ht="15" hidden="false" customHeight="false" outlineLevel="0" collapsed="false">
      <c r="B29" s="26"/>
      <c r="C29" s="27"/>
      <c r="D29" s="28" t="str">
        <f aca="false">IF(C29="","",IFERROR(INDEX(Players!$C$5:$C$104,MATCH(C29,Players!$B$5:$B$104,0)),"ID not found"))</f>
        <v/>
      </c>
      <c r="E29" s="27"/>
      <c r="F29" s="27"/>
      <c r="G29" s="27"/>
      <c r="H29" s="27"/>
      <c r="I29" s="27"/>
      <c r="J29" s="27"/>
      <c r="K29" s="27"/>
      <c r="L29" s="27"/>
    </row>
    <row r="30" customFormat="false" ht="15" hidden="false" customHeight="false" outlineLevel="0" collapsed="false">
      <c r="B30" s="26"/>
      <c r="C30" s="27"/>
      <c r="D30" s="28" t="str">
        <f aca="false">IF(C30="","",IFERROR(INDEX(Players!$C$5:$C$104,MATCH(C30,Players!$B$5:$B$104,0)),"ID not found"))</f>
        <v/>
      </c>
      <c r="E30" s="27"/>
      <c r="F30" s="27"/>
      <c r="G30" s="27"/>
      <c r="H30" s="27"/>
      <c r="I30" s="27"/>
      <c r="J30" s="27"/>
      <c r="K30" s="27"/>
      <c r="L30" s="27"/>
    </row>
    <row r="31" customFormat="false" ht="15" hidden="false" customHeight="false" outlineLevel="0" collapsed="false">
      <c r="B31" s="26"/>
      <c r="C31" s="27"/>
      <c r="D31" s="28" t="str">
        <f aca="false">IF(C31="","",IFERROR(INDEX(Players!$C$5:$C$104,MATCH(C31,Players!$B$5:$B$104,0)),"ID not found"))</f>
        <v/>
      </c>
      <c r="E31" s="27"/>
      <c r="F31" s="27"/>
      <c r="G31" s="27"/>
      <c r="H31" s="27"/>
      <c r="I31" s="27"/>
      <c r="J31" s="27"/>
      <c r="K31" s="27"/>
      <c r="L31" s="27"/>
    </row>
    <row r="32" customFormat="false" ht="15" hidden="false" customHeight="false" outlineLevel="0" collapsed="false">
      <c r="B32" s="26"/>
      <c r="C32" s="27"/>
      <c r="D32" s="28" t="str">
        <f aca="false">IF(C32="","",IFERROR(INDEX(Players!$C$5:$C$104,MATCH(C32,Players!$B$5:$B$104,0)),"ID not found"))</f>
        <v/>
      </c>
      <c r="E32" s="27"/>
      <c r="F32" s="27"/>
      <c r="G32" s="27"/>
      <c r="H32" s="27"/>
      <c r="I32" s="27"/>
      <c r="J32" s="27"/>
      <c r="K32" s="27"/>
      <c r="L32" s="27"/>
    </row>
    <row r="33" customFormat="false" ht="15" hidden="false" customHeight="false" outlineLevel="0" collapsed="false">
      <c r="B33" s="26"/>
      <c r="C33" s="27"/>
      <c r="D33" s="28" t="str">
        <f aca="false">IF(C33="","",IFERROR(INDEX(Players!$C$5:$C$104,MATCH(C33,Players!$B$5:$B$104,0)),"ID not found"))</f>
        <v/>
      </c>
      <c r="E33" s="27"/>
      <c r="F33" s="27"/>
      <c r="G33" s="27"/>
      <c r="H33" s="27"/>
      <c r="I33" s="27"/>
      <c r="J33" s="27"/>
      <c r="K33" s="27"/>
      <c r="L33" s="27"/>
    </row>
    <row r="34" customFormat="false" ht="15" hidden="false" customHeight="false" outlineLevel="0" collapsed="false">
      <c r="B34" s="26"/>
      <c r="C34" s="27"/>
      <c r="D34" s="28" t="str">
        <f aca="false">IF(C34="","",IFERROR(INDEX(Players!$C$5:$C$104,MATCH(C34,Players!$B$5:$B$104,0)),"ID not found"))</f>
        <v/>
      </c>
      <c r="E34" s="27"/>
      <c r="F34" s="27"/>
      <c r="G34" s="27"/>
      <c r="H34" s="27"/>
      <c r="I34" s="27"/>
      <c r="J34" s="27"/>
      <c r="K34" s="27"/>
      <c r="L34" s="27"/>
    </row>
    <row r="35" customFormat="false" ht="15" hidden="false" customHeight="false" outlineLevel="0" collapsed="false">
      <c r="B35" s="26"/>
      <c r="C35" s="27"/>
      <c r="D35" s="28" t="str">
        <f aca="false">IF(C35="","",IFERROR(INDEX(Players!$C$5:$C$104,MATCH(C35,Players!$B$5:$B$104,0)),"ID not found"))</f>
        <v/>
      </c>
      <c r="E35" s="27"/>
      <c r="F35" s="27"/>
      <c r="G35" s="27"/>
      <c r="H35" s="27"/>
      <c r="I35" s="27"/>
      <c r="J35" s="27"/>
      <c r="K35" s="27"/>
      <c r="L35" s="27"/>
    </row>
    <row r="36" customFormat="false" ht="15" hidden="false" customHeight="false" outlineLevel="0" collapsed="false">
      <c r="B36" s="26"/>
      <c r="C36" s="27"/>
      <c r="D36" s="28" t="str">
        <f aca="false">IF(C36="","",IFERROR(INDEX(Players!$C$5:$C$104,MATCH(C36,Players!$B$5:$B$104,0)),"ID not found"))</f>
        <v/>
      </c>
      <c r="E36" s="27"/>
      <c r="F36" s="27"/>
      <c r="G36" s="27"/>
      <c r="H36" s="27"/>
      <c r="I36" s="27"/>
      <c r="J36" s="27"/>
      <c r="K36" s="27"/>
      <c r="L36" s="27"/>
    </row>
    <row r="37" customFormat="false" ht="15" hidden="false" customHeight="false" outlineLevel="0" collapsed="false">
      <c r="B37" s="26"/>
      <c r="C37" s="27"/>
      <c r="D37" s="28" t="str">
        <f aca="false">IF(C37="","",IFERROR(INDEX(Players!$C$5:$C$104,MATCH(C37,Players!$B$5:$B$104,0)),"ID not found"))</f>
        <v/>
      </c>
      <c r="E37" s="27"/>
      <c r="F37" s="27"/>
      <c r="G37" s="27"/>
      <c r="H37" s="27"/>
      <c r="I37" s="27"/>
      <c r="J37" s="27"/>
      <c r="K37" s="27"/>
      <c r="L37" s="27"/>
    </row>
    <row r="38" customFormat="false" ht="15" hidden="false" customHeight="false" outlineLevel="0" collapsed="false">
      <c r="B38" s="26"/>
      <c r="C38" s="27"/>
      <c r="D38" s="28" t="str">
        <f aca="false">IF(C38="","",IFERROR(INDEX(Players!$C$5:$C$104,MATCH(C38,Players!$B$5:$B$104,0)),"ID not found"))</f>
        <v/>
      </c>
      <c r="E38" s="27"/>
      <c r="F38" s="27"/>
      <c r="G38" s="27"/>
      <c r="H38" s="27"/>
      <c r="I38" s="27"/>
      <c r="J38" s="27"/>
      <c r="K38" s="27"/>
      <c r="L38" s="27"/>
    </row>
    <row r="39" customFormat="false" ht="15" hidden="false" customHeight="false" outlineLevel="0" collapsed="false">
      <c r="B39" s="26"/>
      <c r="C39" s="27"/>
      <c r="D39" s="28" t="str">
        <f aca="false">IF(C39="","",IFERROR(INDEX(Players!$C$5:$C$104,MATCH(C39,Players!$B$5:$B$104,0)),"ID not found"))</f>
        <v/>
      </c>
      <c r="E39" s="27"/>
      <c r="F39" s="27"/>
      <c r="G39" s="27"/>
      <c r="H39" s="27"/>
      <c r="I39" s="27"/>
      <c r="J39" s="27"/>
      <c r="K39" s="27"/>
      <c r="L39" s="27"/>
    </row>
    <row r="40" customFormat="false" ht="15" hidden="false" customHeight="false" outlineLevel="0" collapsed="false">
      <c r="B40" s="26"/>
      <c r="C40" s="27"/>
      <c r="D40" s="28" t="str">
        <f aca="false">IF(C40="","",IFERROR(INDEX(Players!$C$5:$C$104,MATCH(C40,Players!$B$5:$B$104,0)),"ID not found"))</f>
        <v/>
      </c>
      <c r="E40" s="27"/>
      <c r="F40" s="27"/>
      <c r="G40" s="27"/>
      <c r="H40" s="27"/>
      <c r="I40" s="27"/>
      <c r="J40" s="27"/>
      <c r="K40" s="27"/>
      <c r="L40" s="27"/>
    </row>
    <row r="41" customFormat="false" ht="15" hidden="false" customHeight="false" outlineLevel="0" collapsed="false">
      <c r="B41" s="26"/>
      <c r="C41" s="27"/>
      <c r="D41" s="28" t="str">
        <f aca="false">IF(C41="","",IFERROR(INDEX(Players!$C$5:$C$104,MATCH(C41,Players!$B$5:$B$104,0)),"ID not found"))</f>
        <v/>
      </c>
      <c r="E41" s="27"/>
      <c r="F41" s="27"/>
      <c r="G41" s="27"/>
      <c r="H41" s="27"/>
      <c r="I41" s="27"/>
      <c r="J41" s="27"/>
      <c r="K41" s="27"/>
      <c r="L41" s="27"/>
    </row>
    <row r="42" customFormat="false" ht="15" hidden="false" customHeight="false" outlineLevel="0" collapsed="false">
      <c r="B42" s="26"/>
      <c r="C42" s="27"/>
      <c r="D42" s="28" t="str">
        <f aca="false">IF(C42="","",IFERROR(INDEX(Players!$C$5:$C$104,MATCH(C42,Players!$B$5:$B$104,0)),"ID not found"))</f>
        <v/>
      </c>
      <c r="E42" s="27"/>
      <c r="F42" s="27"/>
      <c r="G42" s="27"/>
      <c r="H42" s="27"/>
      <c r="I42" s="27"/>
      <c r="J42" s="27"/>
      <c r="K42" s="27"/>
      <c r="L42" s="27"/>
    </row>
    <row r="43" customFormat="false" ht="15" hidden="false" customHeight="false" outlineLevel="0" collapsed="false">
      <c r="B43" s="26"/>
      <c r="C43" s="27"/>
      <c r="D43" s="28" t="str">
        <f aca="false">IF(C43="","",IFERROR(INDEX(Players!$C$5:$C$104,MATCH(C43,Players!$B$5:$B$104,0)),"ID not found"))</f>
        <v/>
      </c>
      <c r="E43" s="27"/>
      <c r="F43" s="27"/>
      <c r="G43" s="27"/>
      <c r="H43" s="27"/>
      <c r="I43" s="27"/>
      <c r="J43" s="27"/>
      <c r="K43" s="27"/>
      <c r="L43" s="27"/>
    </row>
    <row r="44" customFormat="false" ht="15" hidden="false" customHeight="false" outlineLevel="0" collapsed="false">
      <c r="B44" s="26"/>
      <c r="C44" s="27"/>
      <c r="D44" s="28" t="str">
        <f aca="false">IF(C44="","",IFERROR(INDEX(Players!$C$5:$C$104,MATCH(C44,Players!$B$5:$B$104,0)),"ID not found"))</f>
        <v/>
      </c>
      <c r="E44" s="27"/>
      <c r="F44" s="27"/>
      <c r="G44" s="27"/>
      <c r="H44" s="27"/>
      <c r="I44" s="27"/>
      <c r="J44" s="27"/>
      <c r="K44" s="27"/>
      <c r="L44" s="27"/>
    </row>
    <row r="45" customFormat="false" ht="15" hidden="false" customHeight="false" outlineLevel="0" collapsed="false">
      <c r="B45" s="26"/>
      <c r="C45" s="27"/>
      <c r="D45" s="28" t="str">
        <f aca="false">IF(C45="","",IFERROR(INDEX(Players!$C$5:$C$104,MATCH(C45,Players!$B$5:$B$104,0)),"ID not found"))</f>
        <v/>
      </c>
      <c r="E45" s="27"/>
      <c r="F45" s="27"/>
      <c r="G45" s="27"/>
      <c r="H45" s="27"/>
      <c r="I45" s="27"/>
      <c r="J45" s="27"/>
      <c r="K45" s="27"/>
      <c r="L45" s="27"/>
    </row>
    <row r="46" customFormat="false" ht="15" hidden="false" customHeight="false" outlineLevel="0" collapsed="false">
      <c r="B46" s="26"/>
      <c r="C46" s="27"/>
      <c r="D46" s="28" t="str">
        <f aca="false">IF(C46="","",IFERROR(INDEX(Players!$C$5:$C$104,MATCH(C46,Players!$B$5:$B$104,0)),"ID not found"))</f>
        <v/>
      </c>
      <c r="E46" s="27"/>
      <c r="F46" s="27"/>
      <c r="G46" s="27"/>
      <c r="H46" s="27"/>
      <c r="I46" s="27"/>
      <c r="J46" s="27"/>
      <c r="K46" s="27"/>
      <c r="L46" s="27"/>
    </row>
    <row r="47" customFormat="false" ht="15" hidden="false" customHeight="false" outlineLevel="0" collapsed="false">
      <c r="B47" s="26"/>
      <c r="C47" s="27"/>
      <c r="D47" s="28" t="str">
        <f aca="false">IF(C47="","",IFERROR(INDEX(Players!$C$5:$C$104,MATCH(C47,Players!$B$5:$B$104,0)),"ID not found"))</f>
        <v/>
      </c>
      <c r="E47" s="27"/>
      <c r="F47" s="27"/>
      <c r="G47" s="27"/>
      <c r="H47" s="27"/>
      <c r="I47" s="27"/>
      <c r="J47" s="27"/>
      <c r="K47" s="27"/>
      <c r="L47" s="27"/>
    </row>
    <row r="48" customFormat="false" ht="15" hidden="false" customHeight="false" outlineLevel="0" collapsed="false">
      <c r="B48" s="26"/>
      <c r="C48" s="27"/>
      <c r="D48" s="28" t="str">
        <f aca="false">IF(C48="","",IFERROR(INDEX(Players!$C$5:$C$104,MATCH(C48,Players!$B$5:$B$104,0)),"ID not found"))</f>
        <v/>
      </c>
      <c r="E48" s="27"/>
      <c r="F48" s="27"/>
      <c r="G48" s="27"/>
      <c r="H48" s="27"/>
      <c r="I48" s="27"/>
      <c r="J48" s="27"/>
      <c r="K48" s="27"/>
      <c r="L48" s="27"/>
    </row>
    <row r="49" customFormat="false" ht="15" hidden="false" customHeight="false" outlineLevel="0" collapsed="false">
      <c r="B49" s="26"/>
      <c r="C49" s="27"/>
      <c r="D49" s="28" t="str">
        <f aca="false">IF(C49="","",IFERROR(INDEX(Players!$C$5:$C$104,MATCH(C49,Players!$B$5:$B$104,0)),"ID not found"))</f>
        <v/>
      </c>
      <c r="E49" s="27"/>
      <c r="F49" s="27"/>
      <c r="G49" s="27"/>
      <c r="H49" s="27"/>
      <c r="I49" s="27"/>
      <c r="J49" s="27"/>
      <c r="K49" s="27"/>
      <c r="L49" s="27"/>
    </row>
    <row r="50" customFormat="false" ht="15" hidden="false" customHeight="false" outlineLevel="0" collapsed="false">
      <c r="B50" s="26"/>
      <c r="C50" s="27"/>
      <c r="D50" s="28" t="str">
        <f aca="false">IF(C50="","",IFERROR(INDEX(Players!$C$5:$C$104,MATCH(C50,Players!$B$5:$B$104,0)),"ID not found"))</f>
        <v/>
      </c>
      <c r="E50" s="27"/>
      <c r="F50" s="27"/>
      <c r="G50" s="27"/>
      <c r="H50" s="27"/>
      <c r="I50" s="27"/>
      <c r="J50" s="27"/>
      <c r="K50" s="27"/>
      <c r="L50" s="27"/>
    </row>
    <row r="51" customFormat="false" ht="15" hidden="false" customHeight="false" outlineLevel="0" collapsed="false">
      <c r="B51" s="26"/>
      <c r="C51" s="27"/>
      <c r="D51" s="28" t="str">
        <f aca="false">IF(C51="","",IFERROR(INDEX(Players!$C$5:$C$104,MATCH(C51,Players!$B$5:$B$104,0)),"ID not found"))</f>
        <v/>
      </c>
      <c r="E51" s="27"/>
      <c r="F51" s="27"/>
      <c r="G51" s="27"/>
      <c r="H51" s="27"/>
      <c r="I51" s="27"/>
      <c r="J51" s="27"/>
      <c r="K51" s="27"/>
      <c r="L51" s="27"/>
    </row>
    <row r="52" customFormat="false" ht="15" hidden="false" customHeight="false" outlineLevel="0" collapsed="false">
      <c r="B52" s="26"/>
      <c r="C52" s="27"/>
      <c r="D52" s="28" t="str">
        <f aca="false">IF(C52="","",IFERROR(INDEX(Players!$C$5:$C$104,MATCH(C52,Players!$B$5:$B$104,0)),"ID not found"))</f>
        <v/>
      </c>
      <c r="E52" s="27"/>
      <c r="F52" s="27"/>
      <c r="G52" s="27"/>
      <c r="H52" s="27"/>
      <c r="I52" s="27"/>
      <c r="J52" s="27"/>
      <c r="K52" s="27"/>
      <c r="L52" s="27"/>
    </row>
    <row r="53" customFormat="false" ht="15" hidden="false" customHeight="false" outlineLevel="0" collapsed="false">
      <c r="B53" s="26"/>
      <c r="C53" s="27"/>
      <c r="D53" s="28" t="str">
        <f aca="false">IF(C53="","",IFERROR(INDEX(Players!$C$5:$C$104,MATCH(C53,Players!$B$5:$B$104,0)),"ID not found"))</f>
        <v/>
      </c>
      <c r="E53" s="27"/>
      <c r="F53" s="27"/>
      <c r="G53" s="27"/>
      <c r="H53" s="27"/>
      <c r="I53" s="27"/>
      <c r="J53" s="27"/>
      <c r="K53" s="27"/>
      <c r="L53" s="27"/>
    </row>
    <row r="54" customFormat="false" ht="15" hidden="false" customHeight="false" outlineLevel="0" collapsed="false">
      <c r="B54" s="26"/>
      <c r="C54" s="27"/>
      <c r="D54" s="28" t="str">
        <f aca="false">IF(C54="","",IFERROR(INDEX(Players!$C$5:$C$104,MATCH(C54,Players!$B$5:$B$104,0)),"ID not found"))</f>
        <v/>
      </c>
      <c r="E54" s="27"/>
      <c r="F54" s="27"/>
      <c r="G54" s="27"/>
      <c r="H54" s="27"/>
      <c r="I54" s="27"/>
      <c r="J54" s="27"/>
      <c r="K54" s="27"/>
      <c r="L54" s="27"/>
    </row>
    <row r="55" customFormat="false" ht="15" hidden="false" customHeight="false" outlineLevel="0" collapsed="false">
      <c r="B55" s="26"/>
      <c r="C55" s="27"/>
      <c r="D55" s="28" t="str">
        <f aca="false">IF(C55="","",IFERROR(INDEX(Players!$C$5:$C$104,MATCH(C55,Players!$B$5:$B$104,0)),"ID not found"))</f>
        <v/>
      </c>
      <c r="E55" s="27"/>
      <c r="F55" s="27"/>
      <c r="G55" s="27"/>
      <c r="H55" s="27"/>
      <c r="I55" s="27"/>
      <c r="J55" s="27"/>
      <c r="K55" s="27"/>
      <c r="L55" s="27"/>
    </row>
    <row r="56" customFormat="false" ht="15" hidden="false" customHeight="false" outlineLevel="0" collapsed="false">
      <c r="B56" s="26"/>
      <c r="C56" s="27"/>
      <c r="D56" s="28" t="str">
        <f aca="false">IF(C56="","",IFERROR(INDEX(Players!$C$5:$C$104,MATCH(C56,Players!$B$5:$B$104,0)),"ID not found"))</f>
        <v/>
      </c>
      <c r="E56" s="27"/>
      <c r="F56" s="27"/>
      <c r="G56" s="27"/>
      <c r="H56" s="27"/>
      <c r="I56" s="27"/>
      <c r="J56" s="27"/>
      <c r="K56" s="27"/>
      <c r="L56" s="27"/>
    </row>
    <row r="57" customFormat="false" ht="15" hidden="false" customHeight="false" outlineLevel="0" collapsed="false">
      <c r="B57" s="26"/>
      <c r="C57" s="27"/>
      <c r="D57" s="28" t="str">
        <f aca="false">IF(C57="","",IFERROR(INDEX(Players!$C$5:$C$104,MATCH(C57,Players!$B$5:$B$104,0)),"ID not found"))</f>
        <v/>
      </c>
      <c r="E57" s="27"/>
      <c r="F57" s="27"/>
      <c r="G57" s="27"/>
      <c r="H57" s="27"/>
      <c r="I57" s="27"/>
      <c r="J57" s="27"/>
      <c r="K57" s="27"/>
      <c r="L57" s="27"/>
    </row>
    <row r="58" customFormat="false" ht="15" hidden="false" customHeight="false" outlineLevel="0" collapsed="false">
      <c r="B58" s="26"/>
      <c r="C58" s="27"/>
      <c r="D58" s="28" t="str">
        <f aca="false">IF(C58="","",IFERROR(INDEX(Players!$C$5:$C$104,MATCH(C58,Players!$B$5:$B$104,0)),"ID not found"))</f>
        <v/>
      </c>
      <c r="E58" s="27"/>
      <c r="F58" s="27"/>
      <c r="G58" s="27"/>
      <c r="H58" s="27"/>
      <c r="I58" s="27"/>
      <c r="J58" s="27"/>
      <c r="K58" s="27"/>
      <c r="L58" s="27"/>
    </row>
    <row r="59" customFormat="false" ht="15" hidden="false" customHeight="false" outlineLevel="0" collapsed="false">
      <c r="B59" s="26"/>
      <c r="C59" s="27"/>
      <c r="D59" s="28" t="str">
        <f aca="false">IF(C59="","",IFERROR(INDEX(Players!$C$5:$C$104,MATCH(C59,Players!$B$5:$B$104,0)),"ID not found"))</f>
        <v/>
      </c>
      <c r="E59" s="27"/>
      <c r="F59" s="27"/>
      <c r="G59" s="27"/>
      <c r="H59" s="27"/>
      <c r="I59" s="27"/>
      <c r="J59" s="27"/>
      <c r="K59" s="27"/>
      <c r="L59" s="27"/>
    </row>
    <row r="60" customFormat="false" ht="15" hidden="false" customHeight="false" outlineLevel="0" collapsed="false">
      <c r="B60" s="26"/>
      <c r="C60" s="27"/>
      <c r="D60" s="28" t="str">
        <f aca="false">IF(C60="","",IFERROR(INDEX(Players!$C$5:$C$104,MATCH(C60,Players!$B$5:$B$104,0)),"ID not found"))</f>
        <v/>
      </c>
      <c r="E60" s="27"/>
      <c r="F60" s="27"/>
      <c r="G60" s="27"/>
      <c r="H60" s="27"/>
      <c r="I60" s="27"/>
      <c r="J60" s="27"/>
      <c r="K60" s="27"/>
      <c r="L60" s="27"/>
    </row>
    <row r="61" customFormat="false" ht="15" hidden="false" customHeight="false" outlineLevel="0" collapsed="false">
      <c r="B61" s="26"/>
      <c r="C61" s="27"/>
      <c r="D61" s="28" t="str">
        <f aca="false">IF(C61="","",IFERROR(INDEX(Players!$C$5:$C$104,MATCH(C61,Players!$B$5:$B$104,0)),"ID not found"))</f>
        <v/>
      </c>
      <c r="E61" s="27"/>
      <c r="F61" s="27"/>
      <c r="G61" s="27"/>
      <c r="H61" s="27"/>
      <c r="I61" s="27"/>
      <c r="J61" s="27"/>
      <c r="K61" s="27"/>
      <c r="L61" s="27"/>
    </row>
    <row r="62" customFormat="false" ht="15" hidden="false" customHeight="false" outlineLevel="0" collapsed="false">
      <c r="B62" s="26"/>
      <c r="C62" s="27"/>
      <c r="D62" s="28" t="str">
        <f aca="false">IF(C62="","",IFERROR(INDEX(Players!$C$5:$C$104,MATCH(C62,Players!$B$5:$B$104,0)),"ID not found"))</f>
        <v/>
      </c>
      <c r="E62" s="27"/>
      <c r="F62" s="27"/>
      <c r="G62" s="27"/>
      <c r="H62" s="27"/>
      <c r="I62" s="27"/>
      <c r="J62" s="27"/>
      <c r="K62" s="27"/>
      <c r="L62" s="27"/>
    </row>
    <row r="63" customFormat="false" ht="15" hidden="false" customHeight="false" outlineLevel="0" collapsed="false">
      <c r="B63" s="26"/>
      <c r="C63" s="27"/>
      <c r="D63" s="28" t="str">
        <f aca="false">IF(C63="","",IFERROR(INDEX(Players!$C$5:$C$104,MATCH(C63,Players!$B$5:$B$104,0)),"ID not found"))</f>
        <v/>
      </c>
      <c r="E63" s="27"/>
      <c r="F63" s="27"/>
      <c r="G63" s="27"/>
      <c r="H63" s="27"/>
      <c r="I63" s="27"/>
      <c r="J63" s="27"/>
      <c r="K63" s="27"/>
      <c r="L63" s="27"/>
    </row>
    <row r="64" customFormat="false" ht="15" hidden="false" customHeight="false" outlineLevel="0" collapsed="false">
      <c r="B64" s="26"/>
      <c r="C64" s="27"/>
      <c r="D64" s="28" t="str">
        <f aca="false">IF(C64="","",IFERROR(INDEX(Players!$C$5:$C$104,MATCH(C64,Players!$B$5:$B$104,0)),"ID not found"))</f>
        <v/>
      </c>
      <c r="E64" s="27"/>
      <c r="F64" s="27"/>
      <c r="G64" s="27"/>
      <c r="H64" s="27"/>
      <c r="I64" s="27"/>
      <c r="J64" s="27"/>
      <c r="K64" s="27"/>
      <c r="L64" s="27"/>
    </row>
    <row r="65" customFormat="false" ht="15" hidden="false" customHeight="false" outlineLevel="0" collapsed="false">
      <c r="B65" s="26"/>
      <c r="C65" s="27"/>
      <c r="D65" s="28" t="str">
        <f aca="false">IF(C65="","",IFERROR(INDEX(Players!$C$5:$C$104,MATCH(C65,Players!$B$5:$B$104,0)),"ID not found"))</f>
        <v/>
      </c>
      <c r="E65" s="27"/>
      <c r="F65" s="27"/>
      <c r="G65" s="27"/>
      <c r="H65" s="27"/>
      <c r="I65" s="27"/>
      <c r="J65" s="27"/>
      <c r="K65" s="27"/>
      <c r="L65" s="27"/>
    </row>
    <row r="66" customFormat="false" ht="15" hidden="false" customHeight="false" outlineLevel="0" collapsed="false">
      <c r="B66" s="26"/>
      <c r="C66" s="27"/>
      <c r="D66" s="28" t="str">
        <f aca="false">IF(C66="","",IFERROR(INDEX(Players!$C$5:$C$104,MATCH(C66,Players!$B$5:$B$104,0)),"ID not found"))</f>
        <v/>
      </c>
      <c r="E66" s="27"/>
      <c r="F66" s="27"/>
      <c r="G66" s="27"/>
      <c r="H66" s="27"/>
      <c r="I66" s="27"/>
      <c r="J66" s="27"/>
      <c r="K66" s="27"/>
      <c r="L66" s="27"/>
    </row>
    <row r="67" customFormat="false" ht="15" hidden="false" customHeight="false" outlineLevel="0" collapsed="false">
      <c r="B67" s="26"/>
      <c r="C67" s="27"/>
      <c r="D67" s="28" t="str">
        <f aca="false">IF(C67="","",IFERROR(INDEX(Players!$C$5:$C$104,MATCH(C67,Players!$B$5:$B$104,0)),"ID not found"))</f>
        <v/>
      </c>
      <c r="E67" s="27"/>
      <c r="F67" s="27"/>
      <c r="G67" s="27"/>
      <c r="H67" s="27"/>
      <c r="I67" s="27"/>
      <c r="J67" s="27"/>
      <c r="K67" s="27"/>
      <c r="L67" s="27"/>
    </row>
    <row r="68" customFormat="false" ht="15" hidden="false" customHeight="false" outlineLevel="0" collapsed="false">
      <c r="B68" s="26"/>
      <c r="C68" s="27"/>
      <c r="D68" s="28" t="str">
        <f aca="false">IF(C68="","",IFERROR(INDEX(Players!$C$5:$C$104,MATCH(C68,Players!$B$5:$B$104,0)),"ID not found"))</f>
        <v/>
      </c>
      <c r="E68" s="27"/>
      <c r="F68" s="27"/>
      <c r="G68" s="27"/>
      <c r="H68" s="27"/>
      <c r="I68" s="27"/>
      <c r="J68" s="27"/>
      <c r="K68" s="27"/>
      <c r="L68" s="27"/>
    </row>
    <row r="69" customFormat="false" ht="15" hidden="false" customHeight="false" outlineLevel="0" collapsed="false">
      <c r="B69" s="26"/>
      <c r="C69" s="27"/>
      <c r="D69" s="28" t="str">
        <f aca="false">IF(C69="","",IFERROR(INDEX(Players!$C$5:$C$104,MATCH(C69,Players!$B$5:$B$104,0)),"ID not found"))</f>
        <v/>
      </c>
      <c r="E69" s="27"/>
      <c r="F69" s="27"/>
      <c r="G69" s="27"/>
      <c r="H69" s="27"/>
      <c r="I69" s="27"/>
      <c r="J69" s="27"/>
      <c r="K69" s="27"/>
      <c r="L69" s="27"/>
    </row>
    <row r="70" customFormat="false" ht="15" hidden="false" customHeight="false" outlineLevel="0" collapsed="false">
      <c r="B70" s="26"/>
      <c r="C70" s="27"/>
      <c r="D70" s="28" t="str">
        <f aca="false">IF(C70="","",IFERROR(INDEX(Players!$C$5:$C$104,MATCH(C70,Players!$B$5:$B$104,0)),"ID not found"))</f>
        <v/>
      </c>
      <c r="E70" s="27"/>
      <c r="F70" s="27"/>
      <c r="G70" s="27"/>
      <c r="H70" s="27"/>
      <c r="I70" s="27"/>
      <c r="J70" s="27"/>
      <c r="K70" s="27"/>
      <c r="L70" s="27"/>
    </row>
    <row r="71" customFormat="false" ht="15" hidden="false" customHeight="false" outlineLevel="0" collapsed="false">
      <c r="B71" s="26"/>
      <c r="C71" s="27"/>
      <c r="D71" s="28" t="str">
        <f aca="false">IF(C71="","",IFERROR(INDEX(Players!$C$5:$C$104,MATCH(C71,Players!$B$5:$B$104,0)),"ID not found"))</f>
        <v/>
      </c>
      <c r="E71" s="27"/>
      <c r="F71" s="27"/>
      <c r="G71" s="27"/>
      <c r="H71" s="27"/>
      <c r="I71" s="27"/>
      <c r="J71" s="27"/>
      <c r="K71" s="27"/>
      <c r="L71" s="27"/>
    </row>
    <row r="72" customFormat="false" ht="15" hidden="false" customHeight="false" outlineLevel="0" collapsed="false">
      <c r="B72" s="26"/>
      <c r="C72" s="27"/>
      <c r="D72" s="28" t="str">
        <f aca="false">IF(C72="","",IFERROR(INDEX(Players!$C$5:$C$104,MATCH(C72,Players!$B$5:$B$104,0)),"ID not found"))</f>
        <v/>
      </c>
      <c r="E72" s="27"/>
      <c r="F72" s="27"/>
      <c r="G72" s="27"/>
      <c r="H72" s="27"/>
      <c r="I72" s="27"/>
      <c r="J72" s="27"/>
      <c r="K72" s="27"/>
      <c r="L72" s="27"/>
    </row>
    <row r="73" customFormat="false" ht="15" hidden="false" customHeight="false" outlineLevel="0" collapsed="false">
      <c r="B73" s="26"/>
      <c r="C73" s="27"/>
      <c r="D73" s="28" t="str">
        <f aca="false">IF(C73="","",IFERROR(INDEX(Players!$C$5:$C$104,MATCH(C73,Players!$B$5:$B$104,0)),"ID not found"))</f>
        <v/>
      </c>
      <c r="E73" s="27"/>
      <c r="F73" s="27"/>
      <c r="G73" s="27"/>
      <c r="H73" s="27"/>
      <c r="I73" s="27"/>
      <c r="J73" s="27"/>
      <c r="K73" s="27"/>
      <c r="L73" s="27"/>
    </row>
    <row r="74" customFormat="false" ht="15" hidden="false" customHeight="false" outlineLevel="0" collapsed="false">
      <c r="B74" s="26"/>
      <c r="C74" s="27"/>
      <c r="D74" s="28" t="str">
        <f aca="false">IF(C74="","",IFERROR(INDEX(Players!$C$5:$C$104,MATCH(C74,Players!$B$5:$B$104,0)),"ID not found"))</f>
        <v/>
      </c>
      <c r="E74" s="27"/>
      <c r="F74" s="27"/>
      <c r="G74" s="27"/>
      <c r="H74" s="27"/>
      <c r="I74" s="27"/>
      <c r="J74" s="27"/>
      <c r="K74" s="27"/>
      <c r="L74" s="27"/>
    </row>
    <row r="75" customFormat="false" ht="15" hidden="false" customHeight="false" outlineLevel="0" collapsed="false">
      <c r="B75" s="26"/>
      <c r="C75" s="27"/>
      <c r="D75" s="28" t="str">
        <f aca="false">IF(C75="","",IFERROR(INDEX(Players!$C$5:$C$104,MATCH(C75,Players!$B$5:$B$104,0)),"ID not found"))</f>
        <v/>
      </c>
      <c r="E75" s="27"/>
      <c r="F75" s="27"/>
      <c r="G75" s="27"/>
      <c r="H75" s="27"/>
      <c r="I75" s="27"/>
      <c r="J75" s="27"/>
      <c r="K75" s="27"/>
      <c r="L75" s="27"/>
    </row>
    <row r="76" customFormat="false" ht="15" hidden="false" customHeight="false" outlineLevel="0" collapsed="false">
      <c r="B76" s="26"/>
      <c r="C76" s="27"/>
      <c r="D76" s="28" t="str">
        <f aca="false">IF(C76="","",IFERROR(INDEX(Players!$C$5:$C$104,MATCH(C76,Players!$B$5:$B$104,0)),"ID not found"))</f>
        <v/>
      </c>
      <c r="E76" s="27"/>
      <c r="F76" s="27"/>
      <c r="G76" s="27"/>
      <c r="H76" s="27"/>
      <c r="I76" s="27"/>
      <c r="J76" s="27"/>
      <c r="K76" s="27"/>
      <c r="L76" s="27"/>
    </row>
    <row r="77" customFormat="false" ht="15" hidden="false" customHeight="false" outlineLevel="0" collapsed="false">
      <c r="B77" s="26"/>
      <c r="C77" s="27"/>
      <c r="D77" s="28" t="str">
        <f aca="false">IF(C77="","",IFERROR(INDEX(Players!$C$5:$C$104,MATCH(C77,Players!$B$5:$B$104,0)),"ID not found"))</f>
        <v/>
      </c>
      <c r="E77" s="27"/>
      <c r="F77" s="27"/>
      <c r="G77" s="27"/>
      <c r="H77" s="27"/>
      <c r="I77" s="27"/>
      <c r="J77" s="27"/>
      <c r="K77" s="27"/>
      <c r="L77" s="27"/>
    </row>
    <row r="78" customFormat="false" ht="15" hidden="false" customHeight="false" outlineLevel="0" collapsed="false">
      <c r="B78" s="26"/>
      <c r="C78" s="27"/>
      <c r="D78" s="28" t="str">
        <f aca="false">IF(C78="","",IFERROR(INDEX(Players!$C$5:$C$104,MATCH(C78,Players!$B$5:$B$104,0)),"ID not found"))</f>
        <v/>
      </c>
      <c r="E78" s="27"/>
      <c r="F78" s="27"/>
      <c r="G78" s="27"/>
      <c r="H78" s="27"/>
      <c r="I78" s="27"/>
      <c r="J78" s="27"/>
      <c r="K78" s="27"/>
      <c r="L78" s="27"/>
    </row>
    <row r="79" customFormat="false" ht="15" hidden="false" customHeight="false" outlineLevel="0" collapsed="false">
      <c r="B79" s="26"/>
      <c r="C79" s="27"/>
      <c r="D79" s="28" t="str">
        <f aca="false">IF(C79="","",IFERROR(INDEX(Players!$C$5:$C$104,MATCH(C79,Players!$B$5:$B$104,0)),"ID not found"))</f>
        <v/>
      </c>
      <c r="E79" s="27"/>
      <c r="F79" s="27"/>
      <c r="G79" s="27"/>
      <c r="H79" s="27"/>
      <c r="I79" s="27"/>
      <c r="J79" s="27"/>
      <c r="K79" s="27"/>
      <c r="L79" s="27"/>
    </row>
    <row r="80" customFormat="false" ht="15" hidden="false" customHeight="false" outlineLevel="0" collapsed="false">
      <c r="B80" s="26"/>
      <c r="C80" s="27"/>
      <c r="D80" s="28" t="str">
        <f aca="false">IF(C80="","",IFERROR(INDEX(Players!$C$5:$C$104,MATCH(C80,Players!$B$5:$B$104,0)),"ID not found"))</f>
        <v/>
      </c>
      <c r="E80" s="27"/>
      <c r="F80" s="27"/>
      <c r="G80" s="27"/>
      <c r="H80" s="27"/>
      <c r="I80" s="27"/>
      <c r="J80" s="27"/>
      <c r="K80" s="27"/>
      <c r="L80" s="27"/>
    </row>
    <row r="81" customFormat="false" ht="15" hidden="false" customHeight="false" outlineLevel="0" collapsed="false">
      <c r="B81" s="26"/>
      <c r="C81" s="27"/>
      <c r="D81" s="28" t="str">
        <f aca="false">IF(C81="","",IFERROR(INDEX(Players!$C$5:$C$104,MATCH(C81,Players!$B$5:$B$104,0)),"ID not found"))</f>
        <v/>
      </c>
      <c r="E81" s="27"/>
      <c r="F81" s="27"/>
      <c r="G81" s="27"/>
      <c r="H81" s="27"/>
      <c r="I81" s="27"/>
      <c r="J81" s="27"/>
      <c r="K81" s="27"/>
      <c r="L81" s="27"/>
    </row>
    <row r="82" customFormat="false" ht="15" hidden="false" customHeight="false" outlineLevel="0" collapsed="false">
      <c r="B82" s="26"/>
      <c r="C82" s="27"/>
      <c r="D82" s="28" t="str">
        <f aca="false">IF(C82="","",IFERROR(INDEX(Players!$C$5:$C$104,MATCH(C82,Players!$B$5:$B$104,0)),"ID not found"))</f>
        <v/>
      </c>
      <c r="E82" s="27"/>
      <c r="F82" s="27"/>
      <c r="G82" s="27"/>
      <c r="H82" s="27"/>
      <c r="I82" s="27"/>
      <c r="J82" s="27"/>
      <c r="K82" s="27"/>
      <c r="L82" s="27"/>
    </row>
    <row r="83" customFormat="false" ht="15" hidden="false" customHeight="false" outlineLevel="0" collapsed="false">
      <c r="B83" s="26"/>
      <c r="C83" s="27"/>
      <c r="D83" s="28" t="str">
        <f aca="false">IF(C83="","",IFERROR(INDEX(Players!$C$5:$C$104,MATCH(C83,Players!$B$5:$B$104,0)),"ID not found"))</f>
        <v/>
      </c>
      <c r="E83" s="27"/>
      <c r="F83" s="27"/>
      <c r="G83" s="27"/>
      <c r="H83" s="27"/>
      <c r="I83" s="27"/>
      <c r="J83" s="27"/>
      <c r="K83" s="27"/>
      <c r="L83" s="27"/>
    </row>
    <row r="84" customFormat="false" ht="15" hidden="false" customHeight="false" outlineLevel="0" collapsed="false">
      <c r="B84" s="26"/>
      <c r="C84" s="27"/>
      <c r="D84" s="28" t="str">
        <f aca="false">IF(C84="","",IFERROR(INDEX(Players!$C$5:$C$104,MATCH(C84,Players!$B$5:$B$104,0)),"ID not found"))</f>
        <v/>
      </c>
      <c r="E84" s="27"/>
      <c r="F84" s="27"/>
      <c r="G84" s="27"/>
      <c r="H84" s="27"/>
      <c r="I84" s="27"/>
      <c r="J84" s="27"/>
      <c r="K84" s="27"/>
      <c r="L84" s="27"/>
    </row>
    <row r="85" customFormat="false" ht="15" hidden="false" customHeight="false" outlineLevel="0" collapsed="false">
      <c r="B85" s="26"/>
      <c r="C85" s="27"/>
      <c r="D85" s="28" t="str">
        <f aca="false">IF(C85="","",IFERROR(INDEX(Players!$C$5:$C$104,MATCH(C85,Players!$B$5:$B$104,0)),"ID not found"))</f>
        <v/>
      </c>
      <c r="E85" s="27"/>
      <c r="F85" s="27"/>
      <c r="G85" s="27"/>
      <c r="H85" s="27"/>
      <c r="I85" s="27"/>
      <c r="J85" s="27"/>
      <c r="K85" s="27"/>
      <c r="L85" s="27"/>
    </row>
    <row r="86" customFormat="false" ht="15" hidden="false" customHeight="false" outlineLevel="0" collapsed="false">
      <c r="B86" s="26"/>
      <c r="C86" s="27"/>
      <c r="D86" s="28" t="str">
        <f aca="false">IF(C86="","",IFERROR(INDEX(Players!$C$5:$C$104,MATCH(C86,Players!$B$5:$B$104,0)),"ID not found"))</f>
        <v/>
      </c>
      <c r="E86" s="27"/>
      <c r="F86" s="27"/>
      <c r="G86" s="27"/>
      <c r="H86" s="27"/>
      <c r="I86" s="27"/>
      <c r="J86" s="27"/>
      <c r="K86" s="27"/>
      <c r="L86" s="27"/>
    </row>
    <row r="87" customFormat="false" ht="15" hidden="false" customHeight="false" outlineLevel="0" collapsed="false">
      <c r="B87" s="26"/>
      <c r="C87" s="27"/>
      <c r="D87" s="28" t="str">
        <f aca="false">IF(C87="","",IFERROR(INDEX(Players!$C$5:$C$104,MATCH(C87,Players!$B$5:$B$104,0)),"ID not found"))</f>
        <v/>
      </c>
      <c r="E87" s="27"/>
      <c r="F87" s="27"/>
      <c r="G87" s="27"/>
      <c r="H87" s="27"/>
      <c r="I87" s="27"/>
      <c r="J87" s="27"/>
      <c r="K87" s="27"/>
      <c r="L87" s="27"/>
    </row>
    <row r="88" customFormat="false" ht="15" hidden="false" customHeight="false" outlineLevel="0" collapsed="false">
      <c r="B88" s="26"/>
      <c r="C88" s="27"/>
      <c r="D88" s="28" t="str">
        <f aca="false">IF(C88="","",IFERROR(INDEX(Players!$C$5:$C$104,MATCH(C88,Players!$B$5:$B$104,0)),"ID not found"))</f>
        <v/>
      </c>
      <c r="E88" s="27"/>
      <c r="F88" s="27"/>
      <c r="G88" s="27"/>
      <c r="H88" s="27"/>
      <c r="I88" s="27"/>
      <c r="J88" s="27"/>
      <c r="K88" s="27"/>
      <c r="L88" s="27"/>
    </row>
    <row r="89" customFormat="false" ht="15" hidden="false" customHeight="false" outlineLevel="0" collapsed="false">
      <c r="B89" s="26"/>
      <c r="C89" s="27"/>
      <c r="D89" s="28" t="str">
        <f aca="false">IF(C89="","",IFERROR(INDEX(Players!$C$5:$C$104,MATCH(C89,Players!$B$5:$B$104,0)),"ID not found"))</f>
        <v/>
      </c>
      <c r="E89" s="27"/>
      <c r="F89" s="27"/>
      <c r="G89" s="27"/>
      <c r="H89" s="27"/>
      <c r="I89" s="27"/>
      <c r="J89" s="27"/>
      <c r="K89" s="27"/>
      <c r="L89" s="27"/>
    </row>
    <row r="90" customFormat="false" ht="15" hidden="false" customHeight="false" outlineLevel="0" collapsed="false">
      <c r="B90" s="26"/>
      <c r="C90" s="27"/>
      <c r="D90" s="28" t="str">
        <f aca="false">IF(C90="","",IFERROR(INDEX(Players!$C$5:$C$104,MATCH(C90,Players!$B$5:$B$104,0)),"ID not found"))</f>
        <v/>
      </c>
      <c r="E90" s="27"/>
      <c r="F90" s="27"/>
      <c r="G90" s="27"/>
      <c r="H90" s="27"/>
      <c r="I90" s="27"/>
      <c r="J90" s="27"/>
      <c r="K90" s="27"/>
      <c r="L90" s="27"/>
    </row>
    <row r="91" customFormat="false" ht="15" hidden="false" customHeight="false" outlineLevel="0" collapsed="false">
      <c r="B91" s="26"/>
      <c r="C91" s="27"/>
      <c r="D91" s="28" t="str">
        <f aca="false">IF(C91="","",IFERROR(INDEX(Players!$C$5:$C$104,MATCH(C91,Players!$B$5:$B$104,0)),"ID not found"))</f>
        <v/>
      </c>
      <c r="E91" s="27"/>
      <c r="F91" s="27"/>
      <c r="G91" s="27"/>
      <c r="H91" s="27"/>
      <c r="I91" s="27"/>
      <c r="J91" s="27"/>
      <c r="K91" s="27"/>
      <c r="L91" s="27"/>
    </row>
    <row r="92" customFormat="false" ht="15" hidden="false" customHeight="false" outlineLevel="0" collapsed="false">
      <c r="B92" s="26"/>
      <c r="C92" s="27"/>
      <c r="D92" s="28" t="str">
        <f aca="false">IF(C92="","",IFERROR(INDEX(Players!$C$5:$C$104,MATCH(C92,Players!$B$5:$B$104,0)),"ID not found"))</f>
        <v/>
      </c>
      <c r="E92" s="27"/>
      <c r="F92" s="27"/>
      <c r="G92" s="27"/>
      <c r="H92" s="27"/>
      <c r="I92" s="27"/>
      <c r="J92" s="27"/>
      <c r="K92" s="27"/>
      <c r="L92" s="27"/>
    </row>
    <row r="93" customFormat="false" ht="15" hidden="false" customHeight="false" outlineLevel="0" collapsed="false">
      <c r="B93" s="26"/>
      <c r="C93" s="27"/>
      <c r="D93" s="28" t="str">
        <f aca="false">IF(C93="","",IFERROR(INDEX(Players!$C$5:$C$104,MATCH(C93,Players!$B$5:$B$104,0)),"ID not found"))</f>
        <v/>
      </c>
      <c r="E93" s="27"/>
      <c r="F93" s="27"/>
      <c r="G93" s="27"/>
      <c r="H93" s="27"/>
      <c r="I93" s="27"/>
      <c r="J93" s="27"/>
      <c r="K93" s="27"/>
      <c r="L93" s="27"/>
    </row>
    <row r="94" customFormat="false" ht="15" hidden="false" customHeight="false" outlineLevel="0" collapsed="false">
      <c r="B94" s="26"/>
      <c r="C94" s="27"/>
      <c r="D94" s="28" t="str">
        <f aca="false">IF(C94="","",IFERROR(INDEX(Players!$C$5:$C$104,MATCH(C94,Players!$B$5:$B$104,0)),"ID not found"))</f>
        <v/>
      </c>
      <c r="E94" s="27"/>
      <c r="F94" s="27"/>
      <c r="G94" s="27"/>
      <c r="H94" s="27"/>
      <c r="I94" s="27"/>
      <c r="J94" s="27"/>
      <c r="K94" s="27"/>
      <c r="L94" s="27"/>
    </row>
    <row r="95" customFormat="false" ht="15" hidden="false" customHeight="false" outlineLevel="0" collapsed="false">
      <c r="B95" s="26"/>
      <c r="C95" s="27"/>
      <c r="D95" s="28" t="str">
        <f aca="false">IF(C95="","",IFERROR(INDEX(Players!$C$5:$C$104,MATCH(C95,Players!$B$5:$B$104,0)),"ID not found"))</f>
        <v/>
      </c>
      <c r="E95" s="27"/>
      <c r="F95" s="27"/>
      <c r="G95" s="27"/>
      <c r="H95" s="27"/>
      <c r="I95" s="27"/>
      <c r="J95" s="27"/>
      <c r="K95" s="27"/>
      <c r="L95" s="27"/>
    </row>
    <row r="96" customFormat="false" ht="15" hidden="false" customHeight="false" outlineLevel="0" collapsed="false">
      <c r="B96" s="26"/>
      <c r="C96" s="27"/>
      <c r="D96" s="28" t="str">
        <f aca="false">IF(C96="","",IFERROR(INDEX(Players!$C$5:$C$104,MATCH(C96,Players!$B$5:$B$104,0)),"ID not found"))</f>
        <v/>
      </c>
      <c r="E96" s="27"/>
      <c r="F96" s="27"/>
      <c r="G96" s="27"/>
      <c r="H96" s="27"/>
      <c r="I96" s="27"/>
      <c r="J96" s="27"/>
      <c r="K96" s="27"/>
      <c r="L96" s="27"/>
    </row>
    <row r="97" customFormat="false" ht="15" hidden="false" customHeight="false" outlineLevel="0" collapsed="false">
      <c r="B97" s="26"/>
      <c r="C97" s="27"/>
      <c r="D97" s="28" t="str">
        <f aca="false">IF(C97="","",IFERROR(INDEX(Players!$C$5:$C$104,MATCH(C97,Players!$B$5:$B$104,0)),"ID not found"))</f>
        <v/>
      </c>
      <c r="E97" s="27"/>
      <c r="F97" s="27"/>
      <c r="G97" s="27"/>
      <c r="H97" s="27"/>
      <c r="I97" s="27"/>
      <c r="J97" s="27"/>
      <c r="K97" s="27"/>
      <c r="L97" s="27"/>
    </row>
    <row r="98" customFormat="false" ht="15" hidden="false" customHeight="false" outlineLevel="0" collapsed="false">
      <c r="B98" s="26"/>
      <c r="C98" s="27"/>
      <c r="D98" s="28" t="str">
        <f aca="false">IF(C98="","",IFERROR(INDEX(Players!$C$5:$C$104,MATCH(C98,Players!$B$5:$B$104,0)),"ID not found"))</f>
        <v/>
      </c>
      <c r="E98" s="27"/>
      <c r="F98" s="27"/>
      <c r="G98" s="27"/>
      <c r="H98" s="27"/>
      <c r="I98" s="27"/>
      <c r="J98" s="27"/>
      <c r="K98" s="27"/>
      <c r="L98" s="27"/>
    </row>
    <row r="99" customFormat="false" ht="15" hidden="false" customHeight="false" outlineLevel="0" collapsed="false">
      <c r="B99" s="26"/>
      <c r="C99" s="27"/>
      <c r="D99" s="28" t="str">
        <f aca="false">IF(C99="","",IFERROR(INDEX(Players!$C$5:$C$104,MATCH(C99,Players!$B$5:$B$104,0)),"ID not found"))</f>
        <v/>
      </c>
      <c r="E99" s="27"/>
      <c r="F99" s="27"/>
      <c r="G99" s="27"/>
      <c r="H99" s="27"/>
      <c r="I99" s="27"/>
      <c r="J99" s="27"/>
      <c r="K99" s="27"/>
      <c r="L99" s="27"/>
    </row>
    <row r="100" customFormat="false" ht="15" hidden="false" customHeight="false" outlineLevel="0" collapsed="false">
      <c r="B100" s="26"/>
      <c r="C100" s="27"/>
      <c r="D100" s="28" t="str">
        <f aca="false">IF(C100="","",IFERROR(INDEX(Players!$C$5:$C$104,MATCH(C100,Players!$B$5:$B$104,0)),"ID not found"))</f>
        <v/>
      </c>
      <c r="E100" s="27"/>
      <c r="F100" s="27"/>
      <c r="G100" s="27"/>
      <c r="H100" s="27"/>
      <c r="I100" s="27"/>
      <c r="J100" s="27"/>
      <c r="K100" s="27"/>
      <c r="L100" s="27"/>
    </row>
    <row r="101" customFormat="false" ht="15" hidden="false" customHeight="false" outlineLevel="0" collapsed="false">
      <c r="B101" s="26"/>
      <c r="C101" s="27"/>
      <c r="D101" s="28" t="str">
        <f aca="false">IF(C101="","",IFERROR(INDEX(Players!$C$5:$C$104,MATCH(C101,Players!$B$5:$B$104,0)),"ID not found"))</f>
        <v/>
      </c>
      <c r="E101" s="27"/>
      <c r="F101" s="27"/>
      <c r="G101" s="27"/>
      <c r="H101" s="27"/>
      <c r="I101" s="27"/>
      <c r="J101" s="27"/>
      <c r="K101" s="27"/>
      <c r="L101" s="27"/>
    </row>
    <row r="102" customFormat="false" ht="15" hidden="false" customHeight="false" outlineLevel="0" collapsed="false">
      <c r="B102" s="26"/>
      <c r="C102" s="27"/>
      <c r="D102" s="28" t="str">
        <f aca="false">IF(C102="","",IFERROR(INDEX(Players!$C$5:$C$104,MATCH(C102,Players!$B$5:$B$104,0)),"ID not found"))</f>
        <v/>
      </c>
      <c r="E102" s="27"/>
      <c r="F102" s="27"/>
      <c r="G102" s="27"/>
      <c r="H102" s="27"/>
      <c r="I102" s="27"/>
      <c r="J102" s="27"/>
      <c r="K102" s="27"/>
      <c r="L102" s="27"/>
    </row>
    <row r="103" customFormat="false" ht="15" hidden="false" customHeight="false" outlineLevel="0" collapsed="false">
      <c r="B103" s="26"/>
      <c r="C103" s="27"/>
      <c r="D103" s="28" t="str">
        <f aca="false">IF(C103="","",IFERROR(INDEX(Players!$C$5:$C$104,MATCH(C103,Players!$B$5:$B$104,0)),"ID not found"))</f>
        <v/>
      </c>
      <c r="E103" s="27"/>
      <c r="F103" s="27"/>
      <c r="G103" s="27"/>
      <c r="H103" s="27"/>
      <c r="I103" s="27"/>
      <c r="J103" s="27"/>
      <c r="K103" s="27"/>
      <c r="L103" s="27"/>
    </row>
    <row r="104" customFormat="false" ht="15" hidden="false" customHeight="false" outlineLevel="0" collapsed="false">
      <c r="B104" s="26"/>
      <c r="C104" s="27"/>
      <c r="D104" s="28" t="str">
        <f aca="false">IF(C104="","",IFERROR(INDEX(Players!$C$5:$C$104,MATCH(C104,Players!$B$5:$B$104,0)),"ID not found"))</f>
        <v/>
      </c>
      <c r="E104" s="27"/>
      <c r="F104" s="27"/>
      <c r="G104" s="27"/>
      <c r="H104" s="27"/>
      <c r="I104" s="27"/>
      <c r="J104" s="27"/>
      <c r="K104" s="27"/>
      <c r="L104" s="27"/>
    </row>
    <row r="105" customFormat="false" ht="15" hidden="false" customHeight="false" outlineLevel="0" collapsed="false">
      <c r="B105" s="26"/>
      <c r="C105" s="27"/>
      <c r="D105" s="28" t="str">
        <f aca="false">IF(C105="","",IFERROR(INDEX(Players!$C$5:$C$104,MATCH(C105,Players!$B$5:$B$104,0)),"ID not found"))</f>
        <v/>
      </c>
      <c r="E105" s="27"/>
      <c r="F105" s="27"/>
      <c r="G105" s="27"/>
      <c r="H105" s="27"/>
      <c r="I105" s="27"/>
      <c r="J105" s="27"/>
      <c r="K105" s="27"/>
      <c r="L105" s="27"/>
    </row>
    <row r="106" customFormat="false" ht="15" hidden="false" customHeight="false" outlineLevel="0" collapsed="false">
      <c r="B106" s="26"/>
      <c r="C106" s="27"/>
      <c r="D106" s="28" t="str">
        <f aca="false">IF(C106="","",IFERROR(INDEX(Players!$C$5:$C$104,MATCH(C106,Players!$B$5:$B$104,0)),"ID not found"))</f>
        <v/>
      </c>
      <c r="E106" s="27"/>
      <c r="F106" s="27"/>
      <c r="G106" s="27"/>
      <c r="H106" s="27"/>
      <c r="I106" s="27"/>
      <c r="J106" s="27"/>
      <c r="K106" s="27"/>
      <c r="L106" s="27"/>
    </row>
    <row r="107" customFormat="false" ht="15" hidden="false" customHeight="false" outlineLevel="0" collapsed="false">
      <c r="B107" s="26"/>
      <c r="C107" s="27"/>
      <c r="D107" s="28" t="str">
        <f aca="false">IF(C107="","",IFERROR(INDEX(Players!$C$5:$C$104,MATCH(C107,Players!$B$5:$B$104,0)),"ID not found"))</f>
        <v/>
      </c>
      <c r="E107" s="27"/>
      <c r="F107" s="27"/>
      <c r="G107" s="27"/>
      <c r="H107" s="27"/>
      <c r="I107" s="27"/>
      <c r="J107" s="27"/>
      <c r="K107" s="27"/>
      <c r="L107" s="27"/>
    </row>
    <row r="108" customFormat="false" ht="15" hidden="false" customHeight="false" outlineLevel="0" collapsed="false">
      <c r="B108" s="26"/>
      <c r="C108" s="27"/>
      <c r="D108" s="28" t="str">
        <f aca="false">IF(C108="","",IFERROR(INDEX(Players!$C$5:$C$104,MATCH(C108,Players!$B$5:$B$104,0)),"ID not found"))</f>
        <v/>
      </c>
      <c r="E108" s="27"/>
      <c r="F108" s="27"/>
      <c r="G108" s="27"/>
      <c r="H108" s="27"/>
      <c r="I108" s="27"/>
      <c r="J108" s="27"/>
      <c r="K108" s="27"/>
      <c r="L108" s="27"/>
    </row>
    <row r="109" customFormat="false" ht="15" hidden="false" customHeight="false" outlineLevel="0" collapsed="false">
      <c r="B109" s="26"/>
      <c r="C109" s="27"/>
      <c r="D109" s="28" t="str">
        <f aca="false">IF(C109="","",IFERROR(INDEX(Players!$C$5:$C$104,MATCH(C109,Players!$B$5:$B$104,0)),"ID not found"))</f>
        <v/>
      </c>
      <c r="E109" s="27"/>
      <c r="F109" s="27"/>
      <c r="G109" s="27"/>
      <c r="H109" s="27"/>
      <c r="I109" s="27"/>
      <c r="J109" s="27"/>
      <c r="K109" s="27"/>
      <c r="L109" s="27"/>
    </row>
    <row r="110" customFormat="false" ht="15" hidden="false" customHeight="false" outlineLevel="0" collapsed="false">
      <c r="B110" s="26"/>
      <c r="C110" s="27"/>
      <c r="D110" s="28" t="str">
        <f aca="false">IF(C110="","",IFERROR(INDEX(Players!$C$5:$C$104,MATCH(C110,Players!$B$5:$B$104,0)),"ID not found"))</f>
        <v/>
      </c>
      <c r="E110" s="27"/>
      <c r="F110" s="27"/>
      <c r="G110" s="27"/>
      <c r="H110" s="27"/>
      <c r="I110" s="27"/>
      <c r="J110" s="27"/>
      <c r="K110" s="27"/>
      <c r="L110" s="27"/>
    </row>
    <row r="111" customFormat="false" ht="15" hidden="false" customHeight="false" outlineLevel="0" collapsed="false">
      <c r="B111" s="26"/>
      <c r="C111" s="27"/>
      <c r="D111" s="28" t="str">
        <f aca="false">IF(C111="","",IFERROR(INDEX(Players!$C$5:$C$104,MATCH(C111,Players!$B$5:$B$104,0)),"ID not found"))</f>
        <v/>
      </c>
      <c r="E111" s="27"/>
      <c r="F111" s="27"/>
      <c r="G111" s="27"/>
      <c r="H111" s="27"/>
      <c r="I111" s="27"/>
      <c r="J111" s="27"/>
      <c r="K111" s="27"/>
      <c r="L111" s="27"/>
    </row>
    <row r="112" customFormat="false" ht="15" hidden="false" customHeight="false" outlineLevel="0" collapsed="false">
      <c r="B112" s="26"/>
      <c r="C112" s="27"/>
      <c r="D112" s="28" t="str">
        <f aca="false">IF(C112="","",IFERROR(INDEX(Players!$C$5:$C$104,MATCH(C112,Players!$B$5:$B$104,0)),"ID not found"))</f>
        <v/>
      </c>
      <c r="E112" s="27"/>
      <c r="F112" s="27"/>
      <c r="G112" s="27"/>
      <c r="H112" s="27"/>
      <c r="I112" s="27"/>
      <c r="J112" s="27"/>
      <c r="K112" s="27"/>
      <c r="L112" s="27"/>
    </row>
    <row r="113" customFormat="false" ht="15" hidden="false" customHeight="false" outlineLevel="0" collapsed="false">
      <c r="B113" s="26"/>
      <c r="C113" s="27"/>
      <c r="D113" s="28" t="str">
        <f aca="false">IF(C113="","",IFERROR(INDEX(Players!$C$5:$C$104,MATCH(C113,Players!$B$5:$B$104,0)),"ID not found"))</f>
        <v/>
      </c>
      <c r="E113" s="27"/>
      <c r="F113" s="27"/>
      <c r="G113" s="27"/>
      <c r="H113" s="27"/>
      <c r="I113" s="27"/>
      <c r="J113" s="27"/>
      <c r="K113" s="27"/>
      <c r="L113" s="27"/>
    </row>
    <row r="114" customFormat="false" ht="15" hidden="false" customHeight="false" outlineLevel="0" collapsed="false">
      <c r="B114" s="26"/>
      <c r="C114" s="27"/>
      <c r="D114" s="28" t="str">
        <f aca="false">IF(C114="","",IFERROR(INDEX(Players!$C$5:$C$104,MATCH(C114,Players!$B$5:$B$104,0)),"ID not found"))</f>
        <v/>
      </c>
      <c r="E114" s="27"/>
      <c r="F114" s="27"/>
      <c r="G114" s="27"/>
      <c r="H114" s="27"/>
      <c r="I114" s="27"/>
      <c r="J114" s="27"/>
      <c r="K114" s="27"/>
      <c r="L114" s="27"/>
    </row>
    <row r="115" customFormat="false" ht="15" hidden="false" customHeight="false" outlineLevel="0" collapsed="false">
      <c r="B115" s="26"/>
      <c r="C115" s="27"/>
      <c r="D115" s="28" t="str">
        <f aca="false">IF(C115="","",IFERROR(INDEX(Players!$C$5:$C$104,MATCH(C115,Players!$B$5:$B$104,0)),"ID not found"))</f>
        <v/>
      </c>
      <c r="E115" s="27"/>
      <c r="F115" s="27"/>
      <c r="G115" s="27"/>
      <c r="H115" s="27"/>
      <c r="I115" s="27"/>
      <c r="J115" s="27"/>
      <c r="K115" s="27"/>
      <c r="L115" s="27"/>
    </row>
    <row r="116" customFormat="false" ht="15" hidden="false" customHeight="false" outlineLevel="0" collapsed="false">
      <c r="B116" s="26"/>
      <c r="C116" s="27"/>
      <c r="D116" s="28" t="str">
        <f aca="false">IF(C116="","",IFERROR(INDEX(Players!$C$5:$C$104,MATCH(C116,Players!$B$5:$B$104,0)),"ID not found"))</f>
        <v/>
      </c>
      <c r="E116" s="27"/>
      <c r="F116" s="27"/>
      <c r="G116" s="27"/>
      <c r="H116" s="27"/>
      <c r="I116" s="27"/>
      <c r="J116" s="27"/>
      <c r="K116" s="27"/>
      <c r="L116" s="27"/>
    </row>
    <row r="117" customFormat="false" ht="15" hidden="false" customHeight="false" outlineLevel="0" collapsed="false">
      <c r="B117" s="26"/>
      <c r="C117" s="27"/>
      <c r="D117" s="28" t="str">
        <f aca="false">IF(C117="","",IFERROR(INDEX(Players!$C$5:$C$104,MATCH(C117,Players!$B$5:$B$104,0)),"ID not found"))</f>
        <v/>
      </c>
      <c r="E117" s="27"/>
      <c r="F117" s="27"/>
      <c r="G117" s="27"/>
      <c r="H117" s="27"/>
      <c r="I117" s="27"/>
      <c r="J117" s="27"/>
      <c r="K117" s="27"/>
      <c r="L117" s="27"/>
    </row>
    <row r="118" customFormat="false" ht="15" hidden="false" customHeight="false" outlineLevel="0" collapsed="false">
      <c r="B118" s="26"/>
      <c r="C118" s="27"/>
      <c r="D118" s="28" t="str">
        <f aca="false">IF(C118="","",IFERROR(INDEX(Players!$C$5:$C$104,MATCH(C118,Players!$B$5:$B$104,0)),"ID not found"))</f>
        <v/>
      </c>
      <c r="E118" s="27"/>
      <c r="F118" s="27"/>
      <c r="G118" s="27"/>
      <c r="H118" s="27"/>
      <c r="I118" s="27"/>
      <c r="J118" s="27"/>
      <c r="K118" s="27"/>
      <c r="L118" s="27"/>
    </row>
    <row r="119" customFormat="false" ht="15" hidden="false" customHeight="false" outlineLevel="0" collapsed="false">
      <c r="B119" s="26"/>
      <c r="C119" s="27"/>
      <c r="D119" s="28" t="str">
        <f aca="false">IF(C119="","",IFERROR(INDEX(Players!$C$5:$C$104,MATCH(C119,Players!$B$5:$B$104,0)),"ID not found"))</f>
        <v/>
      </c>
      <c r="E119" s="27"/>
      <c r="F119" s="27"/>
      <c r="G119" s="27"/>
      <c r="H119" s="27"/>
      <c r="I119" s="27"/>
      <c r="J119" s="27"/>
      <c r="K119" s="27"/>
      <c r="L119" s="27"/>
    </row>
    <row r="120" customFormat="false" ht="15" hidden="false" customHeight="false" outlineLevel="0" collapsed="false">
      <c r="B120" s="26"/>
      <c r="C120" s="27"/>
      <c r="D120" s="28" t="str">
        <f aca="false">IF(C120="","",IFERROR(INDEX(Players!$C$5:$C$104,MATCH(C120,Players!$B$5:$B$104,0)),"ID not found"))</f>
        <v/>
      </c>
      <c r="E120" s="27"/>
      <c r="F120" s="27"/>
      <c r="G120" s="27"/>
      <c r="H120" s="27"/>
      <c r="I120" s="27"/>
      <c r="J120" s="27"/>
      <c r="K120" s="27"/>
      <c r="L120" s="27"/>
    </row>
    <row r="121" customFormat="false" ht="15" hidden="false" customHeight="false" outlineLevel="0" collapsed="false">
      <c r="B121" s="26"/>
      <c r="C121" s="27"/>
      <c r="D121" s="28" t="str">
        <f aca="false">IF(C121="","",IFERROR(INDEX(Players!$C$5:$C$104,MATCH(C121,Players!$B$5:$B$104,0)),"ID not found"))</f>
        <v/>
      </c>
      <c r="E121" s="27"/>
      <c r="F121" s="27"/>
      <c r="G121" s="27"/>
      <c r="H121" s="27"/>
      <c r="I121" s="27"/>
      <c r="J121" s="27"/>
      <c r="K121" s="27"/>
      <c r="L121" s="27"/>
    </row>
    <row r="122" customFormat="false" ht="15" hidden="false" customHeight="false" outlineLevel="0" collapsed="false">
      <c r="B122" s="26"/>
      <c r="C122" s="27"/>
      <c r="D122" s="28" t="str">
        <f aca="false">IF(C122="","",IFERROR(INDEX(Players!$C$5:$C$104,MATCH(C122,Players!$B$5:$B$104,0)),"ID not found"))</f>
        <v/>
      </c>
      <c r="E122" s="27"/>
      <c r="F122" s="27"/>
      <c r="G122" s="27"/>
      <c r="H122" s="27"/>
      <c r="I122" s="27"/>
      <c r="J122" s="27"/>
      <c r="K122" s="27"/>
      <c r="L122" s="27"/>
    </row>
    <row r="123" customFormat="false" ht="15" hidden="false" customHeight="false" outlineLevel="0" collapsed="false">
      <c r="B123" s="26"/>
      <c r="C123" s="27"/>
      <c r="D123" s="28" t="str">
        <f aca="false">IF(C123="","",IFERROR(INDEX(Players!$C$5:$C$104,MATCH(C123,Players!$B$5:$B$104,0)),"ID not found"))</f>
        <v/>
      </c>
      <c r="E123" s="27"/>
      <c r="F123" s="27"/>
      <c r="G123" s="27"/>
      <c r="H123" s="27"/>
      <c r="I123" s="27"/>
      <c r="J123" s="27"/>
      <c r="K123" s="27"/>
      <c r="L123" s="27"/>
    </row>
    <row r="124" customFormat="false" ht="15" hidden="false" customHeight="false" outlineLevel="0" collapsed="false">
      <c r="B124" s="26"/>
      <c r="C124" s="27"/>
      <c r="D124" s="28" t="str">
        <f aca="false">IF(C124="","",IFERROR(INDEX(Players!$C$5:$C$104,MATCH(C124,Players!$B$5:$B$104,0)),"ID not found"))</f>
        <v/>
      </c>
      <c r="E124" s="27"/>
      <c r="F124" s="27"/>
      <c r="G124" s="27"/>
      <c r="H124" s="27"/>
      <c r="I124" s="27"/>
      <c r="J124" s="27"/>
      <c r="K124" s="27"/>
      <c r="L124" s="27"/>
    </row>
    <row r="125" customFormat="false" ht="15" hidden="false" customHeight="false" outlineLevel="0" collapsed="false">
      <c r="B125" s="26"/>
      <c r="C125" s="27"/>
      <c r="D125" s="28" t="str">
        <f aca="false">IF(C125="","",IFERROR(INDEX(Players!$C$5:$C$104,MATCH(C125,Players!$B$5:$B$104,0)),"ID not found"))</f>
        <v/>
      </c>
      <c r="E125" s="27"/>
      <c r="F125" s="27"/>
      <c r="G125" s="27"/>
      <c r="H125" s="27"/>
      <c r="I125" s="27"/>
      <c r="J125" s="27"/>
      <c r="K125" s="27"/>
      <c r="L125" s="27"/>
    </row>
    <row r="126" customFormat="false" ht="15" hidden="false" customHeight="false" outlineLevel="0" collapsed="false">
      <c r="B126" s="26"/>
      <c r="C126" s="27"/>
      <c r="D126" s="28" t="str">
        <f aca="false">IF(C126="","",IFERROR(INDEX(Players!$C$5:$C$104,MATCH(C126,Players!$B$5:$B$104,0)),"ID not found"))</f>
        <v/>
      </c>
      <c r="E126" s="27"/>
      <c r="F126" s="27"/>
      <c r="G126" s="27"/>
      <c r="H126" s="27"/>
      <c r="I126" s="27"/>
      <c r="J126" s="27"/>
      <c r="K126" s="27"/>
      <c r="L126" s="27"/>
    </row>
    <row r="127" customFormat="false" ht="15" hidden="false" customHeight="false" outlineLevel="0" collapsed="false">
      <c r="B127" s="26"/>
      <c r="C127" s="27"/>
      <c r="D127" s="28" t="str">
        <f aca="false">IF(C127="","",IFERROR(INDEX(Players!$C$5:$C$104,MATCH(C127,Players!$B$5:$B$104,0)),"ID not found"))</f>
        <v/>
      </c>
      <c r="E127" s="27"/>
      <c r="F127" s="27"/>
      <c r="G127" s="27"/>
      <c r="H127" s="27"/>
      <c r="I127" s="27"/>
      <c r="J127" s="27"/>
      <c r="K127" s="27"/>
      <c r="L127" s="27"/>
    </row>
    <row r="128" customFormat="false" ht="15" hidden="false" customHeight="false" outlineLevel="0" collapsed="false">
      <c r="B128" s="26"/>
      <c r="C128" s="27"/>
      <c r="D128" s="28" t="str">
        <f aca="false">IF(C128="","",IFERROR(INDEX(Players!$C$5:$C$104,MATCH(C128,Players!$B$5:$B$104,0)),"ID not found"))</f>
        <v/>
      </c>
      <c r="E128" s="27"/>
      <c r="F128" s="27"/>
      <c r="G128" s="27"/>
      <c r="H128" s="27"/>
      <c r="I128" s="27"/>
      <c r="J128" s="27"/>
      <c r="K128" s="27"/>
      <c r="L128" s="27"/>
    </row>
    <row r="129" customFormat="false" ht="15" hidden="false" customHeight="false" outlineLevel="0" collapsed="false">
      <c r="B129" s="26"/>
      <c r="C129" s="27"/>
      <c r="D129" s="28" t="str">
        <f aca="false">IF(C129="","",IFERROR(INDEX(Players!$C$5:$C$104,MATCH(C129,Players!$B$5:$B$104,0)),"ID not found"))</f>
        <v/>
      </c>
      <c r="E129" s="27"/>
      <c r="F129" s="27"/>
      <c r="G129" s="27"/>
      <c r="H129" s="27"/>
      <c r="I129" s="27"/>
      <c r="J129" s="27"/>
      <c r="K129" s="27"/>
      <c r="L129" s="27"/>
    </row>
    <row r="130" customFormat="false" ht="15" hidden="false" customHeight="false" outlineLevel="0" collapsed="false">
      <c r="B130" s="26"/>
      <c r="C130" s="27"/>
      <c r="D130" s="28" t="str">
        <f aca="false">IF(C130="","",IFERROR(INDEX(Players!$C$5:$C$104,MATCH(C130,Players!$B$5:$B$104,0)),"ID not found"))</f>
        <v/>
      </c>
      <c r="E130" s="27"/>
      <c r="F130" s="27"/>
      <c r="G130" s="27"/>
      <c r="H130" s="27"/>
      <c r="I130" s="27"/>
      <c r="J130" s="27"/>
      <c r="K130" s="27"/>
      <c r="L130" s="27"/>
    </row>
    <row r="131" customFormat="false" ht="15" hidden="false" customHeight="false" outlineLevel="0" collapsed="false">
      <c r="B131" s="26"/>
      <c r="C131" s="27"/>
      <c r="D131" s="28" t="str">
        <f aca="false">IF(C131="","",IFERROR(INDEX(Players!$C$5:$C$104,MATCH(C131,Players!$B$5:$B$104,0)),"ID not found"))</f>
        <v/>
      </c>
      <c r="E131" s="27"/>
      <c r="F131" s="27"/>
      <c r="G131" s="27"/>
      <c r="H131" s="27"/>
      <c r="I131" s="27"/>
      <c r="J131" s="27"/>
      <c r="K131" s="27"/>
      <c r="L131" s="27"/>
    </row>
    <row r="132" customFormat="false" ht="15" hidden="false" customHeight="false" outlineLevel="0" collapsed="false">
      <c r="B132" s="26"/>
      <c r="C132" s="27"/>
      <c r="D132" s="28" t="str">
        <f aca="false">IF(C132="","",IFERROR(INDEX(Players!$C$5:$C$104,MATCH(C132,Players!$B$5:$B$104,0)),"ID not found"))</f>
        <v/>
      </c>
      <c r="E132" s="27"/>
      <c r="F132" s="27"/>
      <c r="G132" s="27"/>
      <c r="H132" s="27"/>
      <c r="I132" s="27"/>
      <c r="J132" s="27"/>
      <c r="K132" s="27"/>
      <c r="L132" s="27"/>
    </row>
    <row r="133" customFormat="false" ht="15" hidden="false" customHeight="false" outlineLevel="0" collapsed="false">
      <c r="B133" s="26"/>
      <c r="C133" s="27"/>
      <c r="D133" s="28" t="str">
        <f aca="false">IF(C133="","",IFERROR(INDEX(Players!$C$5:$C$104,MATCH(C133,Players!$B$5:$B$104,0)),"ID not found"))</f>
        <v/>
      </c>
      <c r="E133" s="27"/>
      <c r="F133" s="27"/>
      <c r="G133" s="27"/>
      <c r="H133" s="27"/>
      <c r="I133" s="27"/>
      <c r="J133" s="27"/>
      <c r="K133" s="27"/>
      <c r="L133" s="27"/>
    </row>
    <row r="134" customFormat="false" ht="15" hidden="false" customHeight="false" outlineLevel="0" collapsed="false">
      <c r="B134" s="26"/>
      <c r="C134" s="27"/>
      <c r="D134" s="28" t="str">
        <f aca="false">IF(C134="","",IFERROR(INDEX(Players!$C$5:$C$104,MATCH(C134,Players!$B$5:$B$104,0)),"ID not found"))</f>
        <v/>
      </c>
      <c r="E134" s="27"/>
      <c r="F134" s="27"/>
      <c r="G134" s="27"/>
      <c r="H134" s="27"/>
      <c r="I134" s="27"/>
      <c r="J134" s="27"/>
      <c r="K134" s="27"/>
      <c r="L134" s="27"/>
    </row>
    <row r="135" customFormat="false" ht="15" hidden="false" customHeight="false" outlineLevel="0" collapsed="false">
      <c r="B135" s="26"/>
      <c r="C135" s="27"/>
      <c r="D135" s="28" t="str">
        <f aca="false">IF(C135="","",IFERROR(INDEX(Players!$C$5:$C$104,MATCH(C135,Players!$B$5:$B$104,0)),"ID not found"))</f>
        <v/>
      </c>
      <c r="E135" s="27"/>
      <c r="F135" s="27"/>
      <c r="G135" s="27"/>
      <c r="H135" s="27"/>
      <c r="I135" s="27"/>
      <c r="J135" s="27"/>
      <c r="K135" s="27"/>
      <c r="L135" s="27"/>
    </row>
    <row r="136" customFormat="false" ht="15" hidden="false" customHeight="false" outlineLevel="0" collapsed="false">
      <c r="B136" s="26"/>
      <c r="C136" s="27"/>
      <c r="D136" s="28" t="str">
        <f aca="false">IF(C136="","",IFERROR(INDEX(Players!$C$5:$C$104,MATCH(C136,Players!$B$5:$B$104,0)),"ID not found"))</f>
        <v/>
      </c>
      <c r="E136" s="27"/>
      <c r="F136" s="27"/>
      <c r="G136" s="27"/>
      <c r="H136" s="27"/>
      <c r="I136" s="27"/>
      <c r="J136" s="27"/>
      <c r="K136" s="27"/>
      <c r="L136" s="27"/>
    </row>
    <row r="137" customFormat="false" ht="15" hidden="false" customHeight="false" outlineLevel="0" collapsed="false">
      <c r="B137" s="26"/>
      <c r="C137" s="27"/>
      <c r="D137" s="28" t="str">
        <f aca="false">IF(C137="","",IFERROR(INDEX(Players!$C$5:$C$104,MATCH(C137,Players!$B$5:$B$104,0)),"ID not found"))</f>
        <v/>
      </c>
      <c r="E137" s="27"/>
      <c r="F137" s="27"/>
      <c r="G137" s="27"/>
      <c r="H137" s="27"/>
      <c r="I137" s="27"/>
      <c r="J137" s="27"/>
      <c r="K137" s="27"/>
      <c r="L137" s="27"/>
    </row>
    <row r="138" customFormat="false" ht="15" hidden="false" customHeight="false" outlineLevel="0" collapsed="false">
      <c r="B138" s="26"/>
      <c r="C138" s="27"/>
      <c r="D138" s="28" t="str">
        <f aca="false">IF(C138="","",IFERROR(INDEX(Players!$C$5:$C$104,MATCH(C138,Players!$B$5:$B$104,0)),"ID not found"))</f>
        <v/>
      </c>
      <c r="E138" s="27"/>
      <c r="F138" s="27"/>
      <c r="G138" s="27"/>
      <c r="H138" s="27"/>
      <c r="I138" s="27"/>
      <c r="J138" s="27"/>
      <c r="K138" s="27"/>
      <c r="L138" s="27"/>
    </row>
    <row r="139" customFormat="false" ht="15" hidden="false" customHeight="false" outlineLevel="0" collapsed="false">
      <c r="B139" s="26"/>
      <c r="C139" s="27"/>
      <c r="D139" s="28" t="str">
        <f aca="false">IF(C139="","",IFERROR(INDEX(Players!$C$5:$C$104,MATCH(C139,Players!$B$5:$B$104,0)),"ID not found"))</f>
        <v/>
      </c>
      <c r="E139" s="27"/>
      <c r="F139" s="27"/>
      <c r="G139" s="27"/>
      <c r="H139" s="27"/>
      <c r="I139" s="27"/>
      <c r="J139" s="27"/>
      <c r="K139" s="27"/>
      <c r="L139" s="27"/>
    </row>
    <row r="140" customFormat="false" ht="15" hidden="false" customHeight="false" outlineLevel="0" collapsed="false">
      <c r="B140" s="26"/>
      <c r="C140" s="27"/>
      <c r="D140" s="28" t="str">
        <f aca="false">IF(C140="","",IFERROR(INDEX(Players!$C$5:$C$104,MATCH(C140,Players!$B$5:$B$104,0)),"ID not found"))</f>
        <v/>
      </c>
      <c r="E140" s="27"/>
      <c r="F140" s="27"/>
      <c r="G140" s="27"/>
      <c r="H140" s="27"/>
      <c r="I140" s="27"/>
      <c r="J140" s="27"/>
      <c r="K140" s="27"/>
      <c r="L140" s="27"/>
    </row>
    <row r="141" customFormat="false" ht="15" hidden="false" customHeight="false" outlineLevel="0" collapsed="false">
      <c r="B141" s="26"/>
      <c r="C141" s="27"/>
      <c r="D141" s="28" t="str">
        <f aca="false">IF(C141="","",IFERROR(INDEX(Players!$C$5:$C$104,MATCH(C141,Players!$B$5:$B$104,0)),"ID not found"))</f>
        <v/>
      </c>
      <c r="E141" s="27"/>
      <c r="F141" s="27"/>
      <c r="G141" s="27"/>
      <c r="H141" s="27"/>
      <c r="I141" s="27"/>
      <c r="J141" s="27"/>
      <c r="K141" s="27"/>
      <c r="L141" s="27"/>
    </row>
    <row r="142" customFormat="false" ht="15" hidden="false" customHeight="false" outlineLevel="0" collapsed="false">
      <c r="B142" s="26"/>
      <c r="C142" s="27"/>
      <c r="D142" s="28" t="str">
        <f aca="false">IF(C142="","",IFERROR(INDEX(Players!$C$5:$C$104,MATCH(C142,Players!$B$5:$B$104,0)),"ID not found"))</f>
        <v/>
      </c>
      <c r="E142" s="27"/>
      <c r="F142" s="27"/>
      <c r="G142" s="27"/>
      <c r="H142" s="27"/>
      <c r="I142" s="27"/>
      <c r="J142" s="27"/>
      <c r="K142" s="27"/>
      <c r="L142" s="27"/>
    </row>
    <row r="143" customFormat="false" ht="15" hidden="false" customHeight="false" outlineLevel="0" collapsed="false">
      <c r="B143" s="26"/>
      <c r="C143" s="27"/>
      <c r="D143" s="28" t="str">
        <f aca="false">IF(C143="","",IFERROR(INDEX(Players!$C$5:$C$104,MATCH(C143,Players!$B$5:$B$104,0)),"ID not found"))</f>
        <v/>
      </c>
      <c r="E143" s="27"/>
      <c r="F143" s="27"/>
      <c r="G143" s="27"/>
      <c r="H143" s="27"/>
      <c r="I143" s="27"/>
      <c r="J143" s="27"/>
      <c r="K143" s="27"/>
      <c r="L143" s="27"/>
    </row>
    <row r="144" customFormat="false" ht="15" hidden="false" customHeight="false" outlineLevel="0" collapsed="false">
      <c r="B144" s="26"/>
      <c r="C144" s="27"/>
      <c r="D144" s="28" t="str">
        <f aca="false">IF(C144="","",IFERROR(INDEX(Players!$C$5:$C$104,MATCH(C144,Players!$B$5:$B$104,0)),"ID not found"))</f>
        <v/>
      </c>
      <c r="E144" s="27"/>
      <c r="F144" s="27"/>
      <c r="G144" s="27"/>
      <c r="H144" s="27"/>
      <c r="I144" s="27"/>
      <c r="J144" s="27"/>
      <c r="K144" s="27"/>
      <c r="L144" s="27"/>
    </row>
    <row r="145" customFormat="false" ht="15" hidden="false" customHeight="false" outlineLevel="0" collapsed="false">
      <c r="B145" s="26"/>
      <c r="C145" s="27"/>
      <c r="D145" s="28" t="str">
        <f aca="false">IF(C145="","",IFERROR(INDEX(Players!$C$5:$C$104,MATCH(C145,Players!$B$5:$B$104,0)),"ID not found"))</f>
        <v/>
      </c>
      <c r="E145" s="27"/>
      <c r="F145" s="27"/>
      <c r="G145" s="27"/>
      <c r="H145" s="27"/>
      <c r="I145" s="27"/>
      <c r="J145" s="27"/>
      <c r="K145" s="27"/>
      <c r="L145" s="27"/>
    </row>
    <row r="146" customFormat="false" ht="15" hidden="false" customHeight="false" outlineLevel="0" collapsed="false">
      <c r="B146" s="26"/>
      <c r="C146" s="27"/>
      <c r="D146" s="28" t="str">
        <f aca="false">IF(C146="","",IFERROR(INDEX(Players!$C$5:$C$104,MATCH(C146,Players!$B$5:$B$104,0)),"ID not found"))</f>
        <v/>
      </c>
      <c r="E146" s="27"/>
      <c r="F146" s="27"/>
      <c r="G146" s="27"/>
      <c r="H146" s="27"/>
      <c r="I146" s="27"/>
      <c r="J146" s="27"/>
      <c r="K146" s="27"/>
      <c r="L146" s="27"/>
    </row>
    <row r="147" customFormat="false" ht="15" hidden="false" customHeight="false" outlineLevel="0" collapsed="false">
      <c r="B147" s="26"/>
      <c r="C147" s="27"/>
      <c r="D147" s="28" t="str">
        <f aca="false">IF(C147="","",IFERROR(INDEX(Players!$C$5:$C$104,MATCH(C147,Players!$B$5:$B$104,0)),"ID not found"))</f>
        <v/>
      </c>
      <c r="E147" s="27"/>
      <c r="F147" s="27"/>
      <c r="G147" s="27"/>
      <c r="H147" s="27"/>
      <c r="I147" s="27"/>
      <c r="J147" s="27"/>
      <c r="K147" s="27"/>
      <c r="L147" s="27"/>
    </row>
    <row r="148" customFormat="false" ht="15" hidden="false" customHeight="false" outlineLevel="0" collapsed="false">
      <c r="B148" s="26"/>
      <c r="C148" s="27"/>
      <c r="D148" s="28" t="str">
        <f aca="false">IF(C148="","",IFERROR(INDEX(Players!$C$5:$C$104,MATCH(C148,Players!$B$5:$B$104,0)),"ID not found"))</f>
        <v/>
      </c>
      <c r="E148" s="27"/>
      <c r="F148" s="27"/>
      <c r="G148" s="27"/>
      <c r="H148" s="27"/>
      <c r="I148" s="27"/>
      <c r="J148" s="27"/>
      <c r="K148" s="27"/>
      <c r="L148" s="27"/>
    </row>
    <row r="149" customFormat="false" ht="15" hidden="false" customHeight="false" outlineLevel="0" collapsed="false">
      <c r="B149" s="26"/>
      <c r="C149" s="27"/>
      <c r="D149" s="28" t="str">
        <f aca="false">IF(C149="","",IFERROR(INDEX(Players!$C$5:$C$104,MATCH(C149,Players!$B$5:$B$104,0)),"ID not found"))</f>
        <v/>
      </c>
      <c r="E149" s="27"/>
      <c r="F149" s="27"/>
      <c r="G149" s="27"/>
      <c r="H149" s="27"/>
      <c r="I149" s="27"/>
      <c r="J149" s="27"/>
      <c r="K149" s="27"/>
      <c r="L149" s="27"/>
    </row>
    <row r="150" customFormat="false" ht="15" hidden="false" customHeight="false" outlineLevel="0" collapsed="false">
      <c r="B150" s="26"/>
      <c r="C150" s="27"/>
      <c r="D150" s="28" t="str">
        <f aca="false">IF(C150="","",IFERROR(INDEX(Players!$C$5:$C$104,MATCH(C150,Players!$B$5:$B$104,0)),"ID not found"))</f>
        <v/>
      </c>
      <c r="E150" s="27"/>
      <c r="F150" s="27"/>
      <c r="G150" s="27"/>
      <c r="H150" s="27"/>
      <c r="I150" s="27"/>
      <c r="J150" s="27"/>
      <c r="K150" s="27"/>
      <c r="L150" s="27"/>
    </row>
    <row r="151" customFormat="false" ht="15" hidden="false" customHeight="false" outlineLevel="0" collapsed="false">
      <c r="B151" s="26"/>
      <c r="C151" s="27"/>
      <c r="D151" s="28" t="str">
        <f aca="false">IF(C151="","",IFERROR(INDEX(Players!$C$5:$C$104,MATCH(C151,Players!$B$5:$B$104,0)),"ID not found"))</f>
        <v/>
      </c>
      <c r="E151" s="27"/>
      <c r="F151" s="27"/>
      <c r="G151" s="27"/>
      <c r="H151" s="27"/>
      <c r="I151" s="27"/>
      <c r="J151" s="27"/>
      <c r="K151" s="27"/>
      <c r="L151" s="27"/>
    </row>
    <row r="152" customFormat="false" ht="15" hidden="false" customHeight="false" outlineLevel="0" collapsed="false">
      <c r="B152" s="26"/>
      <c r="C152" s="27"/>
      <c r="D152" s="28" t="str">
        <f aca="false">IF(C152="","",IFERROR(INDEX(Players!$C$5:$C$104,MATCH(C152,Players!$B$5:$B$104,0)),"ID not found"))</f>
        <v/>
      </c>
      <c r="E152" s="27"/>
      <c r="F152" s="27"/>
      <c r="G152" s="27"/>
      <c r="H152" s="27"/>
      <c r="I152" s="27"/>
      <c r="J152" s="27"/>
      <c r="K152" s="27"/>
      <c r="L152" s="27"/>
    </row>
    <row r="153" customFormat="false" ht="15" hidden="false" customHeight="false" outlineLevel="0" collapsed="false">
      <c r="B153" s="26"/>
      <c r="C153" s="27"/>
      <c r="D153" s="28" t="str">
        <f aca="false">IF(C153="","",IFERROR(INDEX(Players!$C$5:$C$104,MATCH(C153,Players!$B$5:$B$104,0)),"ID not found"))</f>
        <v/>
      </c>
      <c r="E153" s="27"/>
      <c r="F153" s="27"/>
      <c r="G153" s="27"/>
      <c r="H153" s="27"/>
      <c r="I153" s="27"/>
      <c r="J153" s="27"/>
      <c r="K153" s="27"/>
      <c r="L153" s="27"/>
    </row>
    <row r="154" customFormat="false" ht="15" hidden="false" customHeight="false" outlineLevel="0" collapsed="false">
      <c r="B154" s="26"/>
      <c r="C154" s="27"/>
      <c r="D154" s="28" t="str">
        <f aca="false">IF(C154="","",IFERROR(INDEX(Players!$C$5:$C$104,MATCH(C154,Players!$B$5:$B$104,0)),"ID not found"))</f>
        <v/>
      </c>
      <c r="E154" s="27"/>
      <c r="F154" s="27"/>
      <c r="G154" s="27"/>
      <c r="H154" s="27"/>
      <c r="I154" s="27"/>
      <c r="J154" s="27"/>
      <c r="K154" s="27"/>
      <c r="L154" s="27"/>
    </row>
    <row r="155" customFormat="false" ht="15" hidden="false" customHeight="false" outlineLevel="0" collapsed="false">
      <c r="B155" s="26"/>
      <c r="C155" s="27"/>
      <c r="D155" s="28" t="str">
        <f aca="false">IF(C155="","",IFERROR(INDEX(Players!$C$5:$C$104,MATCH(C155,Players!$B$5:$B$104,0)),"ID not found"))</f>
        <v/>
      </c>
      <c r="E155" s="27"/>
      <c r="F155" s="27"/>
      <c r="G155" s="27"/>
      <c r="H155" s="27"/>
      <c r="I155" s="27"/>
      <c r="J155" s="27"/>
      <c r="K155" s="27"/>
      <c r="L155" s="27"/>
    </row>
    <row r="156" customFormat="false" ht="15" hidden="false" customHeight="false" outlineLevel="0" collapsed="false">
      <c r="B156" s="26"/>
      <c r="C156" s="27"/>
      <c r="D156" s="28" t="str">
        <f aca="false">IF(C156="","",IFERROR(INDEX(Players!$C$5:$C$104,MATCH(C156,Players!$B$5:$B$104,0)),"ID not found"))</f>
        <v/>
      </c>
      <c r="E156" s="27"/>
      <c r="F156" s="27"/>
      <c r="G156" s="27"/>
      <c r="H156" s="27"/>
      <c r="I156" s="27"/>
      <c r="J156" s="27"/>
      <c r="K156" s="27"/>
      <c r="L156" s="27"/>
    </row>
    <row r="157" customFormat="false" ht="15" hidden="false" customHeight="false" outlineLevel="0" collapsed="false">
      <c r="B157" s="26"/>
      <c r="C157" s="27"/>
      <c r="D157" s="28" t="str">
        <f aca="false">IF(C157="","",IFERROR(INDEX(Players!$C$5:$C$104,MATCH(C157,Players!$B$5:$B$104,0)),"ID not found"))</f>
        <v/>
      </c>
      <c r="E157" s="27"/>
      <c r="F157" s="27"/>
      <c r="G157" s="27"/>
      <c r="H157" s="27"/>
      <c r="I157" s="27"/>
      <c r="J157" s="27"/>
      <c r="K157" s="27"/>
      <c r="L157" s="27"/>
    </row>
    <row r="158" customFormat="false" ht="15" hidden="false" customHeight="false" outlineLevel="0" collapsed="false">
      <c r="B158" s="26"/>
      <c r="C158" s="27"/>
      <c r="D158" s="28" t="str">
        <f aca="false">IF(C158="","",IFERROR(INDEX(Players!$C$5:$C$104,MATCH(C158,Players!$B$5:$B$104,0)),"ID not found"))</f>
        <v/>
      </c>
      <c r="E158" s="27"/>
      <c r="F158" s="27"/>
      <c r="G158" s="27"/>
      <c r="H158" s="27"/>
      <c r="I158" s="27"/>
      <c r="J158" s="27"/>
      <c r="K158" s="27"/>
      <c r="L158" s="27"/>
    </row>
    <row r="159" customFormat="false" ht="15" hidden="false" customHeight="false" outlineLevel="0" collapsed="false">
      <c r="B159" s="26"/>
      <c r="C159" s="27"/>
      <c r="D159" s="28" t="str">
        <f aca="false">IF(C159="","",IFERROR(INDEX(Players!$C$5:$C$104,MATCH(C159,Players!$B$5:$B$104,0)),"ID not found"))</f>
        <v/>
      </c>
      <c r="E159" s="27"/>
      <c r="F159" s="27"/>
      <c r="G159" s="27"/>
      <c r="H159" s="27"/>
      <c r="I159" s="27"/>
      <c r="J159" s="27"/>
      <c r="K159" s="27"/>
      <c r="L159" s="27"/>
    </row>
    <row r="160" customFormat="false" ht="15" hidden="false" customHeight="false" outlineLevel="0" collapsed="false">
      <c r="B160" s="26"/>
      <c r="C160" s="27"/>
      <c r="D160" s="28" t="str">
        <f aca="false">IF(C160="","",IFERROR(INDEX(Players!$C$5:$C$104,MATCH(C160,Players!$B$5:$B$104,0)),"ID not found"))</f>
        <v/>
      </c>
      <c r="E160" s="27"/>
      <c r="F160" s="27"/>
      <c r="G160" s="27"/>
      <c r="H160" s="27"/>
      <c r="I160" s="27"/>
      <c r="J160" s="27"/>
      <c r="K160" s="27"/>
      <c r="L160" s="27"/>
    </row>
    <row r="161" customFormat="false" ht="15" hidden="false" customHeight="false" outlineLevel="0" collapsed="false">
      <c r="B161" s="26"/>
      <c r="C161" s="27"/>
      <c r="D161" s="28" t="str">
        <f aca="false">IF(C161="","",IFERROR(INDEX(Players!$C$5:$C$104,MATCH(C161,Players!$B$5:$B$104,0)),"ID not found"))</f>
        <v/>
      </c>
      <c r="E161" s="27"/>
      <c r="F161" s="27"/>
      <c r="G161" s="27"/>
      <c r="H161" s="27"/>
      <c r="I161" s="27"/>
      <c r="J161" s="27"/>
      <c r="K161" s="27"/>
      <c r="L161" s="27"/>
    </row>
    <row r="162" customFormat="false" ht="15" hidden="false" customHeight="false" outlineLevel="0" collapsed="false">
      <c r="B162" s="26"/>
      <c r="C162" s="27"/>
      <c r="D162" s="28" t="str">
        <f aca="false">IF(C162="","",IFERROR(INDEX(Players!$C$5:$C$104,MATCH(C162,Players!$B$5:$B$104,0)),"ID not found"))</f>
        <v/>
      </c>
      <c r="E162" s="27"/>
      <c r="F162" s="27"/>
      <c r="G162" s="27"/>
      <c r="H162" s="27"/>
      <c r="I162" s="27"/>
      <c r="J162" s="27"/>
      <c r="K162" s="27"/>
      <c r="L162" s="27"/>
    </row>
    <row r="163" customFormat="false" ht="15" hidden="false" customHeight="false" outlineLevel="0" collapsed="false">
      <c r="B163" s="26"/>
      <c r="C163" s="27"/>
      <c r="D163" s="28" t="str">
        <f aca="false">IF(C163="","",IFERROR(INDEX(Players!$C$5:$C$104,MATCH(C163,Players!$B$5:$B$104,0)),"ID not found"))</f>
        <v/>
      </c>
      <c r="E163" s="27"/>
      <c r="F163" s="27"/>
      <c r="G163" s="27"/>
      <c r="H163" s="27"/>
      <c r="I163" s="27"/>
      <c r="J163" s="27"/>
      <c r="K163" s="27"/>
      <c r="L163" s="27"/>
    </row>
    <row r="164" customFormat="false" ht="15" hidden="false" customHeight="false" outlineLevel="0" collapsed="false">
      <c r="B164" s="26"/>
      <c r="C164" s="27"/>
      <c r="D164" s="28" t="str">
        <f aca="false">IF(C164="","",IFERROR(INDEX(Players!$C$5:$C$104,MATCH(C164,Players!$B$5:$B$104,0)),"ID not found"))</f>
        <v/>
      </c>
      <c r="E164" s="27"/>
      <c r="F164" s="27"/>
      <c r="G164" s="27"/>
      <c r="H164" s="27"/>
      <c r="I164" s="27"/>
      <c r="J164" s="27"/>
      <c r="K164" s="27"/>
      <c r="L164" s="27"/>
    </row>
    <row r="165" customFormat="false" ht="15" hidden="false" customHeight="false" outlineLevel="0" collapsed="false">
      <c r="B165" s="26"/>
      <c r="C165" s="27"/>
      <c r="D165" s="28" t="str">
        <f aca="false">IF(C165="","",IFERROR(INDEX(Players!$C$5:$C$104,MATCH(C165,Players!$B$5:$B$104,0)),"ID not found"))</f>
        <v/>
      </c>
      <c r="E165" s="27"/>
      <c r="F165" s="27"/>
      <c r="G165" s="27"/>
      <c r="H165" s="27"/>
      <c r="I165" s="27"/>
      <c r="J165" s="27"/>
      <c r="K165" s="27"/>
      <c r="L165" s="27"/>
    </row>
    <row r="166" customFormat="false" ht="15" hidden="false" customHeight="false" outlineLevel="0" collapsed="false">
      <c r="B166" s="26"/>
      <c r="C166" s="27"/>
      <c r="D166" s="28" t="str">
        <f aca="false">IF(C166="","",IFERROR(INDEX(Players!$C$5:$C$104,MATCH(C166,Players!$B$5:$B$104,0)),"ID not found"))</f>
        <v/>
      </c>
      <c r="E166" s="27"/>
      <c r="F166" s="27"/>
      <c r="G166" s="27"/>
      <c r="H166" s="27"/>
      <c r="I166" s="27"/>
      <c r="J166" s="27"/>
      <c r="K166" s="27"/>
      <c r="L166" s="27"/>
    </row>
    <row r="167" customFormat="false" ht="15" hidden="false" customHeight="false" outlineLevel="0" collapsed="false">
      <c r="B167" s="26"/>
      <c r="C167" s="27"/>
      <c r="D167" s="28" t="str">
        <f aca="false">IF(C167="","",IFERROR(INDEX(Players!$C$5:$C$104,MATCH(C167,Players!$B$5:$B$104,0)),"ID not found"))</f>
        <v/>
      </c>
      <c r="E167" s="27"/>
      <c r="F167" s="27"/>
      <c r="G167" s="27"/>
      <c r="H167" s="27"/>
      <c r="I167" s="27"/>
      <c r="J167" s="27"/>
      <c r="K167" s="27"/>
      <c r="L167" s="27"/>
    </row>
    <row r="168" customFormat="false" ht="15" hidden="false" customHeight="false" outlineLevel="0" collapsed="false">
      <c r="B168" s="26"/>
      <c r="C168" s="27"/>
      <c r="D168" s="28" t="str">
        <f aca="false">IF(C168="","",IFERROR(INDEX(Players!$C$5:$C$104,MATCH(C168,Players!$B$5:$B$104,0)),"ID not found"))</f>
        <v/>
      </c>
      <c r="E168" s="27"/>
      <c r="F168" s="27"/>
      <c r="G168" s="27"/>
      <c r="H168" s="27"/>
      <c r="I168" s="27"/>
      <c r="J168" s="27"/>
      <c r="K168" s="27"/>
      <c r="L168" s="27"/>
    </row>
    <row r="169" customFormat="false" ht="15" hidden="false" customHeight="false" outlineLevel="0" collapsed="false">
      <c r="B169" s="26"/>
      <c r="C169" s="27"/>
      <c r="D169" s="28" t="str">
        <f aca="false">IF(C169="","",IFERROR(INDEX(Players!$C$5:$C$104,MATCH(C169,Players!$B$5:$B$104,0)),"ID not found"))</f>
        <v/>
      </c>
      <c r="E169" s="27"/>
      <c r="F169" s="27"/>
      <c r="G169" s="27"/>
      <c r="H169" s="27"/>
      <c r="I169" s="27"/>
      <c r="J169" s="27"/>
      <c r="K169" s="27"/>
      <c r="L169" s="27"/>
    </row>
    <row r="170" customFormat="false" ht="15" hidden="false" customHeight="false" outlineLevel="0" collapsed="false">
      <c r="B170" s="26"/>
      <c r="C170" s="27"/>
      <c r="D170" s="28" t="str">
        <f aca="false">IF(C170="","",IFERROR(INDEX(Players!$C$5:$C$104,MATCH(C170,Players!$B$5:$B$104,0)),"ID not found"))</f>
        <v/>
      </c>
      <c r="E170" s="27"/>
      <c r="F170" s="27"/>
      <c r="G170" s="27"/>
      <c r="H170" s="27"/>
      <c r="I170" s="27"/>
      <c r="J170" s="27"/>
      <c r="K170" s="27"/>
      <c r="L170" s="27"/>
    </row>
    <row r="171" customFormat="false" ht="15" hidden="false" customHeight="false" outlineLevel="0" collapsed="false">
      <c r="B171" s="26"/>
      <c r="C171" s="27"/>
      <c r="D171" s="28" t="str">
        <f aca="false">IF(C171="","",IFERROR(INDEX(Players!$C$5:$C$104,MATCH(C171,Players!$B$5:$B$104,0)),"ID not found"))</f>
        <v/>
      </c>
      <c r="E171" s="27"/>
      <c r="F171" s="27"/>
      <c r="G171" s="27"/>
      <c r="H171" s="27"/>
      <c r="I171" s="27"/>
      <c r="J171" s="27"/>
      <c r="K171" s="27"/>
      <c r="L171" s="27"/>
    </row>
    <row r="172" customFormat="false" ht="15" hidden="false" customHeight="false" outlineLevel="0" collapsed="false">
      <c r="B172" s="26"/>
      <c r="C172" s="27"/>
      <c r="D172" s="28" t="str">
        <f aca="false">IF(C172="","",IFERROR(INDEX(Players!$C$5:$C$104,MATCH(C172,Players!$B$5:$B$104,0)),"ID not found"))</f>
        <v/>
      </c>
      <c r="E172" s="27"/>
      <c r="F172" s="27"/>
      <c r="G172" s="27"/>
      <c r="H172" s="27"/>
      <c r="I172" s="27"/>
      <c r="J172" s="27"/>
      <c r="K172" s="27"/>
      <c r="L172" s="27"/>
    </row>
    <row r="173" customFormat="false" ht="15" hidden="false" customHeight="false" outlineLevel="0" collapsed="false">
      <c r="B173" s="26"/>
      <c r="C173" s="27"/>
      <c r="D173" s="28" t="str">
        <f aca="false">IF(C173="","",IFERROR(INDEX(Players!$C$5:$C$104,MATCH(C173,Players!$B$5:$B$104,0)),"ID not found"))</f>
        <v/>
      </c>
      <c r="E173" s="27"/>
      <c r="F173" s="27"/>
      <c r="G173" s="27"/>
      <c r="H173" s="27"/>
      <c r="I173" s="27"/>
      <c r="J173" s="27"/>
      <c r="K173" s="27"/>
      <c r="L173" s="27"/>
    </row>
    <row r="174" customFormat="false" ht="15" hidden="false" customHeight="false" outlineLevel="0" collapsed="false">
      <c r="B174" s="26"/>
      <c r="C174" s="27"/>
      <c r="D174" s="28" t="str">
        <f aca="false">IF(C174="","",IFERROR(INDEX(Players!$C$5:$C$104,MATCH(C174,Players!$B$5:$B$104,0)),"ID not found"))</f>
        <v/>
      </c>
      <c r="E174" s="27"/>
      <c r="F174" s="27"/>
      <c r="G174" s="27"/>
      <c r="H174" s="27"/>
      <c r="I174" s="27"/>
      <c r="J174" s="27"/>
      <c r="K174" s="27"/>
      <c r="L174" s="27"/>
    </row>
    <row r="175" customFormat="false" ht="15" hidden="false" customHeight="false" outlineLevel="0" collapsed="false">
      <c r="B175" s="26"/>
      <c r="C175" s="27"/>
      <c r="D175" s="28" t="str">
        <f aca="false">IF(C175="","",IFERROR(INDEX(Players!$C$5:$C$104,MATCH(C175,Players!$B$5:$B$104,0)),"ID not found"))</f>
        <v/>
      </c>
      <c r="E175" s="27"/>
      <c r="F175" s="27"/>
      <c r="G175" s="27"/>
      <c r="H175" s="27"/>
      <c r="I175" s="27"/>
      <c r="J175" s="27"/>
      <c r="K175" s="27"/>
      <c r="L175" s="27"/>
    </row>
    <row r="176" customFormat="false" ht="15" hidden="false" customHeight="false" outlineLevel="0" collapsed="false">
      <c r="B176" s="26"/>
      <c r="C176" s="27"/>
      <c r="D176" s="28" t="str">
        <f aca="false">IF(C176="","",IFERROR(INDEX(Players!$C$5:$C$104,MATCH(C176,Players!$B$5:$B$104,0)),"ID not found"))</f>
        <v/>
      </c>
      <c r="E176" s="27"/>
      <c r="F176" s="27"/>
      <c r="G176" s="27"/>
      <c r="H176" s="27"/>
      <c r="I176" s="27"/>
      <c r="J176" s="27"/>
      <c r="K176" s="27"/>
      <c r="L176" s="27"/>
    </row>
    <row r="177" customFormat="false" ht="15" hidden="false" customHeight="false" outlineLevel="0" collapsed="false">
      <c r="B177" s="26"/>
      <c r="C177" s="27"/>
      <c r="D177" s="28" t="str">
        <f aca="false">IF(C177="","",IFERROR(INDEX(Players!$C$5:$C$104,MATCH(C177,Players!$B$5:$B$104,0)),"ID not found"))</f>
        <v/>
      </c>
      <c r="E177" s="27"/>
      <c r="F177" s="27"/>
      <c r="G177" s="27"/>
      <c r="H177" s="27"/>
      <c r="I177" s="27"/>
      <c r="J177" s="27"/>
      <c r="K177" s="27"/>
      <c r="L177" s="27"/>
    </row>
    <row r="178" customFormat="false" ht="15" hidden="false" customHeight="false" outlineLevel="0" collapsed="false">
      <c r="B178" s="26"/>
      <c r="C178" s="27"/>
      <c r="D178" s="28" t="str">
        <f aca="false">IF(C178="","",IFERROR(INDEX(Players!$C$5:$C$104,MATCH(C178,Players!$B$5:$B$104,0)),"ID not found"))</f>
        <v/>
      </c>
      <c r="E178" s="27"/>
      <c r="F178" s="27"/>
      <c r="G178" s="27"/>
      <c r="H178" s="27"/>
      <c r="I178" s="27"/>
      <c r="J178" s="27"/>
      <c r="K178" s="27"/>
      <c r="L178" s="27"/>
    </row>
    <row r="179" customFormat="false" ht="15" hidden="false" customHeight="false" outlineLevel="0" collapsed="false">
      <c r="B179" s="26"/>
      <c r="C179" s="27"/>
      <c r="D179" s="28" t="str">
        <f aca="false">IF(C179="","",IFERROR(INDEX(Players!$C$5:$C$104,MATCH(C179,Players!$B$5:$B$104,0)),"ID not found"))</f>
        <v/>
      </c>
      <c r="E179" s="27"/>
      <c r="F179" s="27"/>
      <c r="G179" s="27"/>
      <c r="H179" s="27"/>
      <c r="I179" s="27"/>
      <c r="J179" s="27"/>
      <c r="K179" s="27"/>
      <c r="L179" s="27"/>
    </row>
    <row r="180" customFormat="false" ht="15" hidden="false" customHeight="false" outlineLevel="0" collapsed="false">
      <c r="B180" s="26"/>
      <c r="C180" s="27"/>
      <c r="D180" s="28" t="str">
        <f aca="false">IF(C180="","",IFERROR(INDEX(Players!$C$5:$C$104,MATCH(C180,Players!$B$5:$B$104,0)),"ID not found"))</f>
        <v/>
      </c>
      <c r="E180" s="27"/>
      <c r="F180" s="27"/>
      <c r="G180" s="27"/>
      <c r="H180" s="27"/>
      <c r="I180" s="27"/>
      <c r="J180" s="27"/>
      <c r="K180" s="27"/>
      <c r="L180" s="27"/>
    </row>
    <row r="181" customFormat="false" ht="15" hidden="false" customHeight="false" outlineLevel="0" collapsed="false">
      <c r="B181" s="26"/>
      <c r="C181" s="27"/>
      <c r="D181" s="28" t="str">
        <f aca="false">IF(C181="","",IFERROR(INDEX(Players!$C$5:$C$104,MATCH(C181,Players!$B$5:$B$104,0)),"ID not found"))</f>
        <v/>
      </c>
      <c r="E181" s="27"/>
      <c r="F181" s="27"/>
      <c r="G181" s="27"/>
      <c r="H181" s="27"/>
      <c r="I181" s="27"/>
      <c r="J181" s="27"/>
      <c r="K181" s="27"/>
      <c r="L181" s="27"/>
    </row>
    <row r="182" customFormat="false" ht="15" hidden="false" customHeight="false" outlineLevel="0" collapsed="false">
      <c r="B182" s="26"/>
      <c r="C182" s="27"/>
      <c r="D182" s="28" t="str">
        <f aca="false">IF(C182="","",IFERROR(INDEX(Players!$C$5:$C$104,MATCH(C182,Players!$B$5:$B$104,0)),"ID not found"))</f>
        <v/>
      </c>
      <c r="E182" s="27"/>
      <c r="F182" s="27"/>
      <c r="G182" s="27"/>
      <c r="H182" s="27"/>
      <c r="I182" s="27"/>
      <c r="J182" s="27"/>
      <c r="K182" s="27"/>
      <c r="L182" s="27"/>
    </row>
    <row r="183" customFormat="false" ht="15" hidden="false" customHeight="false" outlineLevel="0" collapsed="false">
      <c r="B183" s="26"/>
      <c r="C183" s="27"/>
      <c r="D183" s="28" t="str">
        <f aca="false">IF(C183="","",IFERROR(INDEX(Players!$C$5:$C$104,MATCH(C183,Players!$B$5:$B$104,0)),"ID not found"))</f>
        <v/>
      </c>
      <c r="E183" s="27"/>
      <c r="F183" s="27"/>
      <c r="G183" s="27"/>
      <c r="H183" s="27"/>
      <c r="I183" s="27"/>
      <c r="J183" s="27"/>
      <c r="K183" s="27"/>
      <c r="L183" s="27"/>
    </row>
    <row r="184" customFormat="false" ht="15" hidden="false" customHeight="false" outlineLevel="0" collapsed="false">
      <c r="B184" s="26"/>
      <c r="C184" s="27"/>
      <c r="D184" s="28" t="str">
        <f aca="false">IF(C184="","",IFERROR(INDEX(Players!$C$5:$C$104,MATCH(C184,Players!$B$5:$B$104,0)),"ID not found"))</f>
        <v/>
      </c>
      <c r="E184" s="27"/>
      <c r="F184" s="27"/>
      <c r="G184" s="27"/>
      <c r="H184" s="27"/>
      <c r="I184" s="27"/>
      <c r="J184" s="27"/>
      <c r="K184" s="27"/>
      <c r="L184" s="27"/>
    </row>
    <row r="185" customFormat="false" ht="15" hidden="false" customHeight="false" outlineLevel="0" collapsed="false">
      <c r="B185" s="26"/>
      <c r="C185" s="27"/>
      <c r="D185" s="28" t="str">
        <f aca="false">IF(C185="","",IFERROR(INDEX(Players!$C$5:$C$104,MATCH(C185,Players!$B$5:$B$104,0)),"ID not found"))</f>
        <v/>
      </c>
      <c r="E185" s="27"/>
      <c r="F185" s="27"/>
      <c r="G185" s="27"/>
      <c r="H185" s="27"/>
      <c r="I185" s="27"/>
      <c r="J185" s="27"/>
      <c r="K185" s="27"/>
      <c r="L185" s="27"/>
    </row>
    <row r="186" customFormat="false" ht="15" hidden="false" customHeight="false" outlineLevel="0" collapsed="false">
      <c r="B186" s="26"/>
      <c r="C186" s="27"/>
      <c r="D186" s="28" t="str">
        <f aca="false">IF(C186="","",IFERROR(INDEX(Players!$C$5:$C$104,MATCH(C186,Players!$B$5:$B$104,0)),"ID not found"))</f>
        <v/>
      </c>
      <c r="E186" s="27"/>
      <c r="F186" s="27"/>
      <c r="G186" s="27"/>
      <c r="H186" s="27"/>
      <c r="I186" s="27"/>
      <c r="J186" s="27"/>
      <c r="K186" s="27"/>
      <c r="L186" s="27"/>
    </row>
    <row r="187" customFormat="false" ht="15" hidden="false" customHeight="false" outlineLevel="0" collapsed="false">
      <c r="B187" s="26"/>
      <c r="C187" s="27"/>
      <c r="D187" s="28" t="str">
        <f aca="false">IF(C187="","",IFERROR(INDEX(Players!$C$5:$C$104,MATCH(C187,Players!$B$5:$B$104,0)),"ID not found"))</f>
        <v/>
      </c>
      <c r="E187" s="27"/>
      <c r="F187" s="27"/>
      <c r="G187" s="27"/>
      <c r="H187" s="27"/>
      <c r="I187" s="27"/>
      <c r="J187" s="27"/>
      <c r="K187" s="27"/>
      <c r="L187" s="27"/>
    </row>
    <row r="188" customFormat="false" ht="15" hidden="false" customHeight="false" outlineLevel="0" collapsed="false">
      <c r="B188" s="26"/>
      <c r="C188" s="27"/>
      <c r="D188" s="28" t="str">
        <f aca="false">IF(C188="","",IFERROR(INDEX(Players!$C$5:$C$104,MATCH(C188,Players!$B$5:$B$104,0)),"ID not found"))</f>
        <v/>
      </c>
      <c r="E188" s="27"/>
      <c r="F188" s="27"/>
      <c r="G188" s="27"/>
      <c r="H188" s="27"/>
      <c r="I188" s="27"/>
      <c r="J188" s="27"/>
      <c r="K188" s="27"/>
      <c r="L188" s="27"/>
    </row>
    <row r="189" customFormat="false" ht="15" hidden="false" customHeight="false" outlineLevel="0" collapsed="false">
      <c r="B189" s="26"/>
      <c r="C189" s="27"/>
      <c r="D189" s="28" t="str">
        <f aca="false">IF(C189="","",IFERROR(INDEX(Players!$C$5:$C$104,MATCH(C189,Players!$B$5:$B$104,0)),"ID not found"))</f>
        <v/>
      </c>
      <c r="E189" s="27"/>
      <c r="F189" s="27"/>
      <c r="G189" s="27"/>
      <c r="H189" s="27"/>
      <c r="I189" s="27"/>
      <c r="J189" s="27"/>
      <c r="K189" s="27"/>
      <c r="L189" s="27"/>
    </row>
    <row r="190" customFormat="false" ht="15" hidden="false" customHeight="false" outlineLevel="0" collapsed="false">
      <c r="B190" s="26"/>
      <c r="C190" s="27"/>
      <c r="D190" s="28" t="str">
        <f aca="false">IF(C190="","",IFERROR(INDEX(Players!$C$5:$C$104,MATCH(C190,Players!$B$5:$B$104,0)),"ID not found"))</f>
        <v/>
      </c>
      <c r="E190" s="27"/>
      <c r="F190" s="27"/>
      <c r="G190" s="27"/>
      <c r="H190" s="27"/>
      <c r="I190" s="27"/>
      <c r="J190" s="27"/>
      <c r="K190" s="27"/>
      <c r="L190" s="27"/>
    </row>
    <row r="191" customFormat="false" ht="15" hidden="false" customHeight="false" outlineLevel="0" collapsed="false">
      <c r="B191" s="26"/>
      <c r="C191" s="27"/>
      <c r="D191" s="28" t="str">
        <f aca="false">IF(C191="","",IFERROR(INDEX(Players!$C$5:$C$104,MATCH(C191,Players!$B$5:$B$104,0)),"ID not found"))</f>
        <v/>
      </c>
      <c r="E191" s="27"/>
      <c r="F191" s="27"/>
      <c r="G191" s="27"/>
      <c r="H191" s="27"/>
      <c r="I191" s="27"/>
      <c r="J191" s="27"/>
      <c r="K191" s="27"/>
      <c r="L191" s="27"/>
    </row>
    <row r="192" customFormat="false" ht="15" hidden="false" customHeight="false" outlineLevel="0" collapsed="false">
      <c r="B192" s="26"/>
      <c r="C192" s="27"/>
      <c r="D192" s="28" t="str">
        <f aca="false">IF(C192="","",IFERROR(INDEX(Players!$C$5:$C$104,MATCH(C192,Players!$B$5:$B$104,0)),"ID not found"))</f>
        <v/>
      </c>
      <c r="E192" s="27"/>
      <c r="F192" s="27"/>
      <c r="G192" s="27"/>
      <c r="H192" s="27"/>
      <c r="I192" s="27"/>
      <c r="J192" s="27"/>
      <c r="K192" s="27"/>
      <c r="L192" s="27"/>
    </row>
    <row r="193" customFormat="false" ht="15" hidden="false" customHeight="false" outlineLevel="0" collapsed="false">
      <c r="B193" s="26"/>
      <c r="C193" s="27"/>
      <c r="D193" s="28" t="str">
        <f aca="false">IF(C193="","",IFERROR(INDEX(Players!$C$5:$C$104,MATCH(C193,Players!$B$5:$B$104,0)),"ID not found"))</f>
        <v/>
      </c>
      <c r="E193" s="27"/>
      <c r="F193" s="27"/>
      <c r="G193" s="27"/>
      <c r="H193" s="27"/>
      <c r="I193" s="27"/>
      <c r="J193" s="27"/>
      <c r="K193" s="27"/>
      <c r="L193" s="27"/>
    </row>
    <row r="194" customFormat="false" ht="15" hidden="false" customHeight="false" outlineLevel="0" collapsed="false">
      <c r="B194" s="26"/>
      <c r="C194" s="27"/>
      <c r="D194" s="28" t="str">
        <f aca="false">IF(C194="","",IFERROR(INDEX(Players!$C$5:$C$104,MATCH(C194,Players!$B$5:$B$104,0)),"ID not found"))</f>
        <v/>
      </c>
      <c r="E194" s="27"/>
      <c r="F194" s="27"/>
      <c r="G194" s="27"/>
      <c r="H194" s="27"/>
      <c r="I194" s="27"/>
      <c r="J194" s="27"/>
      <c r="K194" s="27"/>
      <c r="L194" s="27"/>
    </row>
    <row r="195" customFormat="false" ht="15" hidden="false" customHeight="false" outlineLevel="0" collapsed="false">
      <c r="B195" s="26"/>
      <c r="C195" s="27"/>
      <c r="D195" s="28" t="str">
        <f aca="false">IF(C195="","",IFERROR(INDEX(Players!$C$5:$C$104,MATCH(C195,Players!$B$5:$B$104,0)),"ID not found"))</f>
        <v/>
      </c>
      <c r="E195" s="27"/>
      <c r="F195" s="27"/>
      <c r="G195" s="27"/>
      <c r="H195" s="27"/>
      <c r="I195" s="27"/>
      <c r="J195" s="27"/>
      <c r="K195" s="27"/>
      <c r="L195" s="27"/>
    </row>
    <row r="196" customFormat="false" ht="15" hidden="false" customHeight="false" outlineLevel="0" collapsed="false">
      <c r="B196" s="26"/>
      <c r="C196" s="27"/>
      <c r="D196" s="28" t="str">
        <f aca="false">IF(C196="","",IFERROR(INDEX(Players!$C$5:$C$104,MATCH(C196,Players!$B$5:$B$104,0)),"ID not found"))</f>
        <v/>
      </c>
      <c r="E196" s="27"/>
      <c r="F196" s="27"/>
      <c r="G196" s="27"/>
      <c r="H196" s="27"/>
      <c r="I196" s="27"/>
      <c r="J196" s="27"/>
      <c r="K196" s="27"/>
      <c r="L196" s="27"/>
    </row>
    <row r="197" customFormat="false" ht="15" hidden="false" customHeight="false" outlineLevel="0" collapsed="false">
      <c r="B197" s="26"/>
      <c r="C197" s="27"/>
      <c r="D197" s="28" t="str">
        <f aca="false">IF(C197="","",IFERROR(INDEX(Players!$C$5:$C$104,MATCH(C197,Players!$B$5:$B$104,0)),"ID not found"))</f>
        <v/>
      </c>
      <c r="E197" s="27"/>
      <c r="F197" s="27"/>
      <c r="G197" s="27"/>
      <c r="H197" s="27"/>
      <c r="I197" s="27"/>
      <c r="J197" s="27"/>
      <c r="K197" s="27"/>
      <c r="L197" s="27"/>
    </row>
    <row r="198" customFormat="false" ht="15" hidden="false" customHeight="false" outlineLevel="0" collapsed="false">
      <c r="B198" s="26"/>
      <c r="C198" s="27"/>
      <c r="D198" s="28" t="str">
        <f aca="false">IF(C198="","",IFERROR(INDEX(Players!$C$5:$C$104,MATCH(C198,Players!$B$5:$B$104,0)),"ID not found"))</f>
        <v/>
      </c>
      <c r="E198" s="27"/>
      <c r="F198" s="27"/>
      <c r="G198" s="27"/>
      <c r="H198" s="27"/>
      <c r="I198" s="27"/>
      <c r="J198" s="27"/>
      <c r="K198" s="27"/>
      <c r="L198" s="27"/>
    </row>
    <row r="199" customFormat="false" ht="15" hidden="false" customHeight="false" outlineLevel="0" collapsed="false">
      <c r="B199" s="26"/>
      <c r="C199" s="27"/>
      <c r="D199" s="28" t="str">
        <f aca="false">IF(C199="","",IFERROR(INDEX(Players!$C$5:$C$104,MATCH(C199,Players!$B$5:$B$104,0)),"ID not found"))</f>
        <v/>
      </c>
      <c r="E199" s="27"/>
      <c r="F199" s="27"/>
      <c r="G199" s="27"/>
      <c r="H199" s="27"/>
      <c r="I199" s="27"/>
      <c r="J199" s="27"/>
      <c r="K199" s="27"/>
      <c r="L199" s="27"/>
    </row>
    <row r="200" customFormat="false" ht="15" hidden="false" customHeight="false" outlineLevel="0" collapsed="false">
      <c r="B200" s="26"/>
      <c r="C200" s="27"/>
      <c r="D200" s="28" t="str">
        <f aca="false">IF(C200="","",IFERROR(INDEX(Players!$C$5:$C$104,MATCH(C200,Players!$B$5:$B$104,0)),"ID not found"))</f>
        <v/>
      </c>
      <c r="E200" s="27"/>
      <c r="F200" s="27"/>
      <c r="G200" s="27"/>
      <c r="H200" s="27"/>
      <c r="I200" s="27"/>
      <c r="J200" s="27"/>
      <c r="K200" s="27"/>
      <c r="L200" s="27"/>
    </row>
    <row r="201" customFormat="false" ht="15" hidden="false" customHeight="false" outlineLevel="0" collapsed="false">
      <c r="B201" s="26"/>
      <c r="C201" s="27"/>
      <c r="D201" s="28" t="str">
        <f aca="false">IF(C201="","",IFERROR(INDEX(Players!$C$5:$C$104,MATCH(C201,Players!$B$5:$B$104,0)),"ID not found"))</f>
        <v/>
      </c>
      <c r="E201" s="27"/>
      <c r="F201" s="27"/>
      <c r="G201" s="27"/>
      <c r="H201" s="27"/>
      <c r="I201" s="27"/>
      <c r="J201" s="27"/>
      <c r="K201" s="27"/>
      <c r="L201" s="27"/>
    </row>
    <row r="202" customFormat="false" ht="15" hidden="false" customHeight="false" outlineLevel="0" collapsed="false">
      <c r="B202" s="26"/>
      <c r="C202" s="27"/>
      <c r="D202" s="28" t="str">
        <f aca="false">IF(C202="","",IFERROR(INDEX(Players!$C$5:$C$104,MATCH(C202,Players!$B$5:$B$104,0)),"ID not found"))</f>
        <v/>
      </c>
      <c r="E202" s="27"/>
      <c r="F202" s="27"/>
      <c r="G202" s="27"/>
      <c r="H202" s="27"/>
      <c r="I202" s="27"/>
      <c r="J202" s="27"/>
      <c r="K202" s="27"/>
      <c r="L202" s="27"/>
    </row>
    <row r="203" customFormat="false" ht="15" hidden="false" customHeight="false" outlineLevel="0" collapsed="false">
      <c r="B203" s="26"/>
      <c r="C203" s="27"/>
      <c r="D203" s="28" t="str">
        <f aca="false">IF(C203="","",IFERROR(INDEX(Players!$C$5:$C$104,MATCH(C203,Players!$B$5:$B$104,0)),"ID not found"))</f>
        <v/>
      </c>
      <c r="E203" s="27"/>
      <c r="F203" s="27"/>
      <c r="G203" s="27"/>
      <c r="H203" s="27"/>
      <c r="I203" s="27"/>
      <c r="J203" s="27"/>
      <c r="K203" s="27"/>
      <c r="L203" s="27"/>
    </row>
    <row r="204" customFormat="false" ht="15" hidden="false" customHeight="false" outlineLevel="0" collapsed="false">
      <c r="B204" s="26"/>
      <c r="C204" s="27"/>
      <c r="D204" s="28" t="str">
        <f aca="false">IF(C204="","",IFERROR(INDEX(Players!$C$5:$C$104,MATCH(C204,Players!$B$5:$B$104,0)),"ID not found"))</f>
        <v/>
      </c>
      <c r="E204" s="27"/>
      <c r="F204" s="27"/>
      <c r="G204" s="27"/>
      <c r="H204" s="27"/>
      <c r="I204" s="27"/>
      <c r="J204" s="27"/>
      <c r="K204" s="27"/>
      <c r="L204" s="27"/>
    </row>
    <row r="205" customFormat="false" ht="15" hidden="false" customHeight="false" outlineLevel="0" collapsed="false">
      <c r="B205" s="26"/>
      <c r="C205" s="27"/>
      <c r="D205" s="28" t="str">
        <f aca="false">IF(C205="","",IFERROR(INDEX(Players!$C$5:$C$104,MATCH(C205,Players!$B$5:$B$104,0)),"ID not found"))</f>
        <v/>
      </c>
      <c r="E205" s="27"/>
      <c r="F205" s="27"/>
      <c r="G205" s="27"/>
      <c r="H205" s="27"/>
      <c r="I205" s="27"/>
      <c r="J205" s="27"/>
      <c r="K205" s="27"/>
      <c r="L205" s="27"/>
    </row>
    <row r="206" customFormat="false" ht="15" hidden="false" customHeight="false" outlineLevel="0" collapsed="false">
      <c r="B206" s="26"/>
      <c r="C206" s="27"/>
      <c r="D206" s="28" t="str">
        <f aca="false">IF(C206="","",IFERROR(INDEX(Players!$C$5:$C$104,MATCH(C206,Players!$B$5:$B$104,0)),"ID not found"))</f>
        <v/>
      </c>
      <c r="E206" s="27"/>
      <c r="F206" s="27"/>
      <c r="G206" s="27"/>
      <c r="H206" s="27"/>
      <c r="I206" s="27"/>
      <c r="J206" s="27"/>
      <c r="K206" s="27"/>
      <c r="L206" s="27"/>
    </row>
    <row r="207" customFormat="false" ht="15" hidden="false" customHeight="false" outlineLevel="0" collapsed="false">
      <c r="B207" s="26"/>
      <c r="C207" s="27"/>
      <c r="D207" s="28" t="str">
        <f aca="false">IF(C207="","",IFERROR(INDEX(Players!$C$5:$C$104,MATCH(C207,Players!$B$5:$B$104,0)),"ID not found"))</f>
        <v/>
      </c>
      <c r="E207" s="27"/>
      <c r="F207" s="27"/>
      <c r="G207" s="27"/>
      <c r="H207" s="27"/>
      <c r="I207" s="27"/>
      <c r="J207" s="27"/>
      <c r="K207" s="27"/>
      <c r="L207" s="27"/>
    </row>
    <row r="208" customFormat="false" ht="15" hidden="false" customHeight="false" outlineLevel="0" collapsed="false">
      <c r="B208" s="26"/>
      <c r="C208" s="27"/>
      <c r="D208" s="28" t="str">
        <f aca="false">IF(C208="","",IFERROR(INDEX(Players!$C$5:$C$104,MATCH(C208,Players!$B$5:$B$104,0)),"ID not found"))</f>
        <v/>
      </c>
      <c r="E208" s="27"/>
      <c r="F208" s="27"/>
      <c r="G208" s="27"/>
      <c r="H208" s="27"/>
      <c r="I208" s="27"/>
      <c r="J208" s="27"/>
      <c r="K208" s="27"/>
      <c r="L208" s="27"/>
    </row>
    <row r="209" customFormat="false" ht="15" hidden="false" customHeight="false" outlineLevel="0" collapsed="false">
      <c r="B209" s="26"/>
      <c r="C209" s="27"/>
      <c r="D209" s="28" t="str">
        <f aca="false">IF(C209="","",IFERROR(INDEX(Players!$C$5:$C$104,MATCH(C209,Players!$B$5:$B$104,0)),"ID not found"))</f>
        <v/>
      </c>
      <c r="E209" s="27"/>
      <c r="F209" s="27"/>
      <c r="G209" s="27"/>
      <c r="H209" s="27"/>
      <c r="I209" s="27"/>
      <c r="J209" s="27"/>
      <c r="K209" s="27"/>
      <c r="L209" s="27"/>
    </row>
    <row r="210" customFormat="false" ht="15" hidden="false" customHeight="false" outlineLevel="0" collapsed="false">
      <c r="B210" s="26"/>
      <c r="C210" s="27"/>
      <c r="D210" s="28" t="str">
        <f aca="false">IF(C210="","",IFERROR(INDEX(Players!$C$5:$C$104,MATCH(C210,Players!$B$5:$B$104,0)),"ID not found"))</f>
        <v/>
      </c>
      <c r="E210" s="27"/>
      <c r="F210" s="27"/>
      <c r="G210" s="27"/>
      <c r="H210" s="27"/>
      <c r="I210" s="27"/>
      <c r="J210" s="27"/>
      <c r="K210" s="27"/>
      <c r="L210" s="27"/>
    </row>
    <row r="211" customFormat="false" ht="15" hidden="false" customHeight="false" outlineLevel="0" collapsed="false">
      <c r="B211" s="26"/>
      <c r="C211" s="27"/>
      <c r="D211" s="28" t="str">
        <f aca="false">IF(C211="","",IFERROR(INDEX(Players!$C$5:$C$104,MATCH(C211,Players!$B$5:$B$104,0)),"ID not found"))</f>
        <v/>
      </c>
      <c r="E211" s="27"/>
      <c r="F211" s="27"/>
      <c r="G211" s="27"/>
      <c r="H211" s="27"/>
      <c r="I211" s="27"/>
      <c r="J211" s="27"/>
      <c r="K211" s="27"/>
      <c r="L211" s="27"/>
    </row>
    <row r="212" customFormat="false" ht="15" hidden="false" customHeight="false" outlineLevel="0" collapsed="false">
      <c r="B212" s="26"/>
      <c r="C212" s="27"/>
      <c r="D212" s="28" t="str">
        <f aca="false">IF(C212="","",IFERROR(INDEX(Players!$C$5:$C$104,MATCH(C212,Players!$B$5:$B$104,0)),"ID not found"))</f>
        <v/>
      </c>
      <c r="E212" s="27"/>
      <c r="F212" s="27"/>
      <c r="G212" s="27"/>
      <c r="H212" s="27"/>
      <c r="I212" s="27"/>
      <c r="J212" s="27"/>
      <c r="K212" s="27"/>
      <c r="L212" s="27"/>
    </row>
    <row r="213" customFormat="false" ht="15" hidden="false" customHeight="false" outlineLevel="0" collapsed="false">
      <c r="B213" s="26"/>
      <c r="C213" s="27"/>
      <c r="D213" s="28" t="str">
        <f aca="false">IF(C213="","",IFERROR(INDEX(Players!$C$5:$C$104,MATCH(C213,Players!$B$5:$B$104,0)),"ID not found"))</f>
        <v/>
      </c>
      <c r="E213" s="27"/>
      <c r="F213" s="27"/>
      <c r="G213" s="27"/>
      <c r="H213" s="27"/>
      <c r="I213" s="27"/>
      <c r="J213" s="27"/>
      <c r="K213" s="27"/>
      <c r="L213" s="27"/>
    </row>
    <row r="214" customFormat="false" ht="15" hidden="false" customHeight="false" outlineLevel="0" collapsed="false">
      <c r="B214" s="26"/>
      <c r="C214" s="27"/>
      <c r="D214" s="28" t="str">
        <f aca="false">IF(C214="","",IFERROR(INDEX(Players!$C$5:$C$104,MATCH(C214,Players!$B$5:$B$104,0)),"ID not found"))</f>
        <v/>
      </c>
      <c r="E214" s="27"/>
      <c r="F214" s="27"/>
      <c r="G214" s="27"/>
      <c r="H214" s="27"/>
      <c r="I214" s="27"/>
      <c r="J214" s="27"/>
      <c r="K214" s="27"/>
      <c r="L214" s="27"/>
    </row>
    <row r="215" customFormat="false" ht="15" hidden="false" customHeight="false" outlineLevel="0" collapsed="false">
      <c r="B215" s="26"/>
      <c r="C215" s="27"/>
      <c r="D215" s="28" t="str">
        <f aca="false">IF(C215="","",IFERROR(INDEX(Players!$C$5:$C$104,MATCH(C215,Players!$B$5:$B$104,0)),"ID not found"))</f>
        <v/>
      </c>
      <c r="E215" s="27"/>
      <c r="F215" s="27"/>
      <c r="G215" s="27"/>
      <c r="H215" s="27"/>
      <c r="I215" s="27"/>
      <c r="J215" s="27"/>
      <c r="K215" s="27"/>
      <c r="L215" s="27"/>
    </row>
    <row r="216" customFormat="false" ht="15" hidden="false" customHeight="false" outlineLevel="0" collapsed="false">
      <c r="B216" s="26"/>
      <c r="C216" s="27"/>
      <c r="D216" s="28" t="str">
        <f aca="false">IF(C216="","",IFERROR(INDEX(Players!$C$5:$C$104,MATCH(C216,Players!$B$5:$B$104,0)),"ID not found"))</f>
        <v/>
      </c>
      <c r="E216" s="27"/>
      <c r="F216" s="27"/>
      <c r="G216" s="27"/>
      <c r="H216" s="27"/>
      <c r="I216" s="27"/>
      <c r="J216" s="27"/>
      <c r="K216" s="27"/>
      <c r="L216" s="27"/>
    </row>
    <row r="217" customFormat="false" ht="15" hidden="false" customHeight="false" outlineLevel="0" collapsed="false">
      <c r="B217" s="26"/>
      <c r="C217" s="27"/>
      <c r="D217" s="28" t="str">
        <f aca="false">IF(C217="","",IFERROR(INDEX(Players!$C$5:$C$104,MATCH(C217,Players!$B$5:$B$104,0)),"ID not found"))</f>
        <v/>
      </c>
      <c r="E217" s="27"/>
      <c r="F217" s="27"/>
      <c r="G217" s="27"/>
      <c r="H217" s="27"/>
      <c r="I217" s="27"/>
      <c r="J217" s="27"/>
      <c r="K217" s="27"/>
      <c r="L217" s="27"/>
    </row>
    <row r="218" customFormat="false" ht="15" hidden="false" customHeight="false" outlineLevel="0" collapsed="false">
      <c r="B218" s="26"/>
      <c r="C218" s="27"/>
      <c r="D218" s="28" t="str">
        <f aca="false">IF(C218="","",IFERROR(INDEX(Players!$C$5:$C$104,MATCH(C218,Players!$B$5:$B$104,0)),"ID not found"))</f>
        <v/>
      </c>
      <c r="E218" s="27"/>
      <c r="F218" s="27"/>
      <c r="G218" s="27"/>
      <c r="H218" s="27"/>
      <c r="I218" s="27"/>
      <c r="J218" s="27"/>
      <c r="K218" s="27"/>
      <c r="L218" s="27"/>
    </row>
    <row r="219" customFormat="false" ht="15" hidden="false" customHeight="false" outlineLevel="0" collapsed="false">
      <c r="B219" s="26"/>
      <c r="C219" s="27"/>
      <c r="D219" s="28" t="str">
        <f aca="false">IF(C219="","",IFERROR(INDEX(Players!$C$5:$C$104,MATCH(C219,Players!$B$5:$B$104,0)),"ID not found"))</f>
        <v/>
      </c>
      <c r="E219" s="27"/>
      <c r="F219" s="27"/>
      <c r="G219" s="27"/>
      <c r="H219" s="27"/>
      <c r="I219" s="27"/>
      <c r="J219" s="27"/>
      <c r="K219" s="27"/>
      <c r="L219" s="27"/>
    </row>
    <row r="220" customFormat="false" ht="15" hidden="false" customHeight="false" outlineLevel="0" collapsed="false">
      <c r="B220" s="26"/>
      <c r="C220" s="27"/>
      <c r="D220" s="28" t="str">
        <f aca="false">IF(C220="","",IFERROR(INDEX(Players!$C$5:$C$104,MATCH(C220,Players!$B$5:$B$104,0)),"ID not found"))</f>
        <v/>
      </c>
      <c r="E220" s="27"/>
      <c r="F220" s="27"/>
      <c r="G220" s="27"/>
      <c r="H220" s="27"/>
      <c r="I220" s="27"/>
      <c r="J220" s="27"/>
      <c r="K220" s="27"/>
      <c r="L220" s="27"/>
    </row>
    <row r="221" customFormat="false" ht="15" hidden="false" customHeight="false" outlineLevel="0" collapsed="false">
      <c r="B221" s="26"/>
      <c r="C221" s="27"/>
      <c r="D221" s="28" t="str">
        <f aca="false">IF(C221="","",IFERROR(INDEX(Players!$C$5:$C$104,MATCH(C221,Players!$B$5:$B$104,0)),"ID not found"))</f>
        <v/>
      </c>
      <c r="E221" s="27"/>
      <c r="F221" s="27"/>
      <c r="G221" s="27"/>
      <c r="H221" s="27"/>
      <c r="I221" s="27"/>
      <c r="J221" s="27"/>
      <c r="K221" s="27"/>
      <c r="L221" s="27"/>
    </row>
    <row r="222" customFormat="false" ht="15" hidden="false" customHeight="false" outlineLevel="0" collapsed="false">
      <c r="B222" s="26"/>
      <c r="C222" s="27"/>
      <c r="D222" s="28" t="str">
        <f aca="false">IF(C222="","",IFERROR(INDEX(Players!$C$5:$C$104,MATCH(C222,Players!$B$5:$B$104,0)),"ID not found"))</f>
        <v/>
      </c>
      <c r="E222" s="27"/>
      <c r="F222" s="27"/>
      <c r="G222" s="27"/>
      <c r="H222" s="27"/>
      <c r="I222" s="27"/>
      <c r="J222" s="27"/>
      <c r="K222" s="27"/>
      <c r="L222" s="27"/>
    </row>
    <row r="223" customFormat="false" ht="15" hidden="false" customHeight="false" outlineLevel="0" collapsed="false">
      <c r="B223" s="26"/>
      <c r="C223" s="27"/>
      <c r="D223" s="28" t="str">
        <f aca="false">IF(C223="","",IFERROR(INDEX(Players!$C$5:$C$104,MATCH(C223,Players!$B$5:$B$104,0)),"ID not found"))</f>
        <v/>
      </c>
      <c r="E223" s="27"/>
      <c r="F223" s="27"/>
      <c r="G223" s="27"/>
      <c r="H223" s="27"/>
      <c r="I223" s="27"/>
      <c r="J223" s="27"/>
      <c r="K223" s="27"/>
      <c r="L223" s="27"/>
    </row>
    <row r="224" customFormat="false" ht="15" hidden="false" customHeight="false" outlineLevel="0" collapsed="false">
      <c r="B224" s="26"/>
      <c r="C224" s="27"/>
      <c r="D224" s="28" t="str">
        <f aca="false">IF(C224="","",IFERROR(INDEX(Players!$C$5:$C$104,MATCH(C224,Players!$B$5:$B$104,0)),"ID not found"))</f>
        <v/>
      </c>
      <c r="E224" s="27"/>
      <c r="F224" s="27"/>
      <c r="G224" s="27"/>
      <c r="H224" s="27"/>
      <c r="I224" s="27"/>
      <c r="J224" s="27"/>
      <c r="K224" s="27"/>
      <c r="L224" s="27"/>
    </row>
    <row r="225" customFormat="false" ht="15" hidden="false" customHeight="false" outlineLevel="0" collapsed="false">
      <c r="B225" s="26"/>
      <c r="C225" s="27"/>
      <c r="D225" s="28" t="str">
        <f aca="false">IF(C225="","",IFERROR(INDEX(Players!$C$5:$C$104,MATCH(C225,Players!$B$5:$B$104,0)),"ID not found"))</f>
        <v/>
      </c>
      <c r="E225" s="27"/>
      <c r="F225" s="27"/>
      <c r="G225" s="27"/>
      <c r="H225" s="27"/>
      <c r="I225" s="27"/>
      <c r="J225" s="27"/>
      <c r="K225" s="27"/>
      <c r="L225" s="27"/>
    </row>
    <row r="226" customFormat="false" ht="15" hidden="false" customHeight="false" outlineLevel="0" collapsed="false">
      <c r="B226" s="26"/>
      <c r="C226" s="27"/>
      <c r="D226" s="28" t="str">
        <f aca="false">IF(C226="","",IFERROR(INDEX(Players!$C$5:$C$104,MATCH(C226,Players!$B$5:$B$104,0)),"ID not found"))</f>
        <v/>
      </c>
      <c r="E226" s="27"/>
      <c r="F226" s="27"/>
      <c r="G226" s="27"/>
      <c r="H226" s="27"/>
      <c r="I226" s="27"/>
      <c r="J226" s="27"/>
      <c r="K226" s="27"/>
      <c r="L226" s="27"/>
    </row>
    <row r="227" customFormat="false" ht="15" hidden="false" customHeight="false" outlineLevel="0" collapsed="false">
      <c r="B227" s="26"/>
      <c r="C227" s="27"/>
      <c r="D227" s="28" t="str">
        <f aca="false">IF(C227="","",IFERROR(INDEX(Players!$C$5:$C$104,MATCH(C227,Players!$B$5:$B$104,0)),"ID not found"))</f>
        <v/>
      </c>
      <c r="E227" s="27"/>
      <c r="F227" s="27"/>
      <c r="G227" s="27"/>
      <c r="H227" s="27"/>
      <c r="I227" s="27"/>
      <c r="J227" s="27"/>
      <c r="K227" s="27"/>
      <c r="L227" s="27"/>
    </row>
    <row r="228" customFormat="false" ht="15" hidden="false" customHeight="false" outlineLevel="0" collapsed="false">
      <c r="B228" s="26"/>
      <c r="C228" s="27"/>
      <c r="D228" s="28" t="str">
        <f aca="false">IF(C228="","",IFERROR(INDEX(Players!$C$5:$C$104,MATCH(C228,Players!$B$5:$B$104,0)),"ID not found"))</f>
        <v/>
      </c>
      <c r="E228" s="27"/>
      <c r="F228" s="27"/>
      <c r="G228" s="27"/>
      <c r="H228" s="27"/>
      <c r="I228" s="27"/>
      <c r="J228" s="27"/>
      <c r="K228" s="27"/>
      <c r="L228" s="27"/>
    </row>
    <row r="229" customFormat="false" ht="15" hidden="false" customHeight="false" outlineLevel="0" collapsed="false">
      <c r="B229" s="26"/>
      <c r="C229" s="27"/>
      <c r="D229" s="28" t="str">
        <f aca="false">IF(C229="","",IFERROR(INDEX(Players!$C$5:$C$104,MATCH(C229,Players!$B$5:$B$104,0)),"ID not found"))</f>
        <v/>
      </c>
      <c r="E229" s="27"/>
      <c r="F229" s="27"/>
      <c r="G229" s="27"/>
      <c r="H229" s="27"/>
      <c r="I229" s="27"/>
      <c r="J229" s="27"/>
      <c r="K229" s="27"/>
      <c r="L229" s="27"/>
    </row>
    <row r="230" customFormat="false" ht="15" hidden="false" customHeight="false" outlineLevel="0" collapsed="false">
      <c r="B230" s="26"/>
      <c r="C230" s="27"/>
      <c r="D230" s="28" t="str">
        <f aca="false">IF(C230="","",IFERROR(INDEX(Players!$C$5:$C$104,MATCH(C230,Players!$B$5:$B$104,0)),"ID not found"))</f>
        <v/>
      </c>
      <c r="E230" s="27"/>
      <c r="F230" s="27"/>
      <c r="G230" s="27"/>
      <c r="H230" s="27"/>
      <c r="I230" s="27"/>
      <c r="J230" s="27"/>
      <c r="K230" s="27"/>
      <c r="L230" s="27"/>
    </row>
    <row r="231" customFormat="false" ht="15" hidden="false" customHeight="false" outlineLevel="0" collapsed="false">
      <c r="B231" s="26"/>
      <c r="C231" s="27"/>
      <c r="D231" s="28" t="str">
        <f aca="false">IF(C231="","",IFERROR(INDEX(Players!$C$5:$C$104,MATCH(C231,Players!$B$5:$B$104,0)),"ID not found"))</f>
        <v/>
      </c>
      <c r="E231" s="27"/>
      <c r="F231" s="27"/>
      <c r="G231" s="27"/>
      <c r="H231" s="27"/>
      <c r="I231" s="27"/>
      <c r="J231" s="27"/>
      <c r="K231" s="27"/>
      <c r="L231" s="27"/>
    </row>
    <row r="232" customFormat="false" ht="15" hidden="false" customHeight="false" outlineLevel="0" collapsed="false">
      <c r="B232" s="26"/>
      <c r="C232" s="27"/>
      <c r="D232" s="28" t="str">
        <f aca="false">IF(C232="","",IFERROR(INDEX(Players!$C$5:$C$104,MATCH(C232,Players!$B$5:$B$104,0)),"ID not found"))</f>
        <v/>
      </c>
      <c r="E232" s="27"/>
      <c r="F232" s="27"/>
      <c r="G232" s="27"/>
      <c r="H232" s="27"/>
      <c r="I232" s="27"/>
      <c r="J232" s="27"/>
      <c r="K232" s="27"/>
      <c r="L232" s="27"/>
    </row>
    <row r="233" customFormat="false" ht="15" hidden="false" customHeight="false" outlineLevel="0" collapsed="false">
      <c r="B233" s="26"/>
      <c r="C233" s="27"/>
      <c r="D233" s="28" t="str">
        <f aca="false">IF(C233="","",IFERROR(INDEX(Players!$C$5:$C$104,MATCH(C233,Players!$B$5:$B$104,0)),"ID not found"))</f>
        <v/>
      </c>
      <c r="E233" s="27"/>
      <c r="F233" s="27"/>
      <c r="G233" s="27"/>
      <c r="H233" s="27"/>
      <c r="I233" s="27"/>
      <c r="J233" s="27"/>
      <c r="K233" s="27"/>
      <c r="L233" s="27"/>
    </row>
    <row r="234" customFormat="false" ht="15" hidden="false" customHeight="false" outlineLevel="0" collapsed="false">
      <c r="B234" s="26"/>
      <c r="C234" s="27"/>
      <c r="D234" s="28" t="str">
        <f aca="false">IF(C234="","",IFERROR(INDEX(Players!$C$5:$C$104,MATCH(C234,Players!$B$5:$B$104,0)),"ID not found"))</f>
        <v/>
      </c>
      <c r="E234" s="27"/>
      <c r="F234" s="27"/>
      <c r="G234" s="27"/>
      <c r="H234" s="27"/>
      <c r="I234" s="27"/>
      <c r="J234" s="27"/>
      <c r="K234" s="27"/>
      <c r="L234" s="27"/>
    </row>
    <row r="235" customFormat="false" ht="15" hidden="false" customHeight="false" outlineLevel="0" collapsed="false">
      <c r="B235" s="26"/>
      <c r="C235" s="27"/>
      <c r="D235" s="28" t="str">
        <f aca="false">IF(C235="","",IFERROR(INDEX(Players!$C$5:$C$104,MATCH(C235,Players!$B$5:$B$104,0)),"ID not found"))</f>
        <v/>
      </c>
      <c r="E235" s="27"/>
      <c r="F235" s="27"/>
      <c r="G235" s="27"/>
      <c r="H235" s="27"/>
      <c r="I235" s="27"/>
      <c r="J235" s="27"/>
      <c r="K235" s="27"/>
      <c r="L235" s="27"/>
    </row>
    <row r="236" customFormat="false" ht="15" hidden="false" customHeight="false" outlineLevel="0" collapsed="false">
      <c r="B236" s="26"/>
      <c r="C236" s="27"/>
      <c r="D236" s="28" t="str">
        <f aca="false">IF(C236="","",IFERROR(INDEX(Players!$C$5:$C$104,MATCH(C236,Players!$B$5:$B$104,0)),"ID not found"))</f>
        <v/>
      </c>
      <c r="E236" s="27"/>
      <c r="F236" s="27"/>
      <c r="G236" s="27"/>
      <c r="H236" s="27"/>
      <c r="I236" s="27"/>
      <c r="J236" s="27"/>
      <c r="K236" s="27"/>
      <c r="L236" s="27"/>
    </row>
    <row r="237" customFormat="false" ht="15" hidden="false" customHeight="false" outlineLevel="0" collapsed="false">
      <c r="B237" s="26"/>
      <c r="C237" s="27"/>
      <c r="D237" s="28" t="str">
        <f aca="false">IF(C237="","",IFERROR(INDEX(Players!$C$5:$C$104,MATCH(C237,Players!$B$5:$B$104,0)),"ID not found"))</f>
        <v/>
      </c>
      <c r="E237" s="27"/>
      <c r="F237" s="27"/>
      <c r="G237" s="27"/>
      <c r="H237" s="27"/>
      <c r="I237" s="27"/>
      <c r="J237" s="27"/>
      <c r="K237" s="27"/>
      <c r="L237" s="27"/>
    </row>
    <row r="238" customFormat="false" ht="15" hidden="false" customHeight="false" outlineLevel="0" collapsed="false">
      <c r="B238" s="26"/>
      <c r="C238" s="27"/>
      <c r="D238" s="28" t="str">
        <f aca="false">IF(C238="","",IFERROR(INDEX(Players!$C$5:$C$104,MATCH(C238,Players!$B$5:$B$104,0)),"ID not found"))</f>
        <v/>
      </c>
      <c r="E238" s="27"/>
      <c r="F238" s="27"/>
      <c r="G238" s="27"/>
      <c r="H238" s="27"/>
      <c r="I238" s="27"/>
      <c r="J238" s="27"/>
      <c r="K238" s="27"/>
      <c r="L238" s="27"/>
    </row>
    <row r="239" customFormat="false" ht="15" hidden="false" customHeight="false" outlineLevel="0" collapsed="false">
      <c r="B239" s="26"/>
      <c r="C239" s="27"/>
      <c r="D239" s="28" t="str">
        <f aca="false">IF(C239="","",IFERROR(INDEX(Players!$C$5:$C$104,MATCH(C239,Players!$B$5:$B$104,0)),"ID not found"))</f>
        <v/>
      </c>
      <c r="E239" s="27"/>
      <c r="F239" s="27"/>
      <c r="G239" s="27"/>
      <c r="H239" s="27"/>
      <c r="I239" s="27"/>
      <c r="J239" s="27"/>
      <c r="K239" s="27"/>
      <c r="L239" s="27"/>
    </row>
    <row r="240" customFormat="false" ht="15" hidden="false" customHeight="false" outlineLevel="0" collapsed="false">
      <c r="B240" s="26"/>
      <c r="C240" s="27"/>
      <c r="D240" s="28" t="str">
        <f aca="false">IF(C240="","",IFERROR(INDEX(Players!$C$5:$C$104,MATCH(C240,Players!$B$5:$B$104,0)),"ID not found"))</f>
        <v/>
      </c>
      <c r="E240" s="27"/>
      <c r="F240" s="27"/>
      <c r="G240" s="27"/>
      <c r="H240" s="27"/>
      <c r="I240" s="27"/>
      <c r="J240" s="27"/>
      <c r="K240" s="27"/>
      <c r="L240" s="27"/>
    </row>
    <row r="241" customFormat="false" ht="15" hidden="false" customHeight="false" outlineLevel="0" collapsed="false">
      <c r="B241" s="26"/>
      <c r="C241" s="27"/>
      <c r="D241" s="28" t="str">
        <f aca="false">IF(C241="","",IFERROR(INDEX(Players!$C$5:$C$104,MATCH(C241,Players!$B$5:$B$104,0)),"ID not found"))</f>
        <v/>
      </c>
      <c r="E241" s="27"/>
      <c r="F241" s="27"/>
      <c r="G241" s="27"/>
      <c r="H241" s="27"/>
      <c r="I241" s="27"/>
      <c r="J241" s="27"/>
      <c r="K241" s="27"/>
      <c r="L241" s="27"/>
    </row>
    <row r="242" customFormat="false" ht="15" hidden="false" customHeight="false" outlineLevel="0" collapsed="false">
      <c r="B242" s="26"/>
      <c r="C242" s="27"/>
      <c r="D242" s="28" t="str">
        <f aca="false">IF(C242="","",IFERROR(INDEX(Players!$C$5:$C$104,MATCH(C242,Players!$B$5:$B$104,0)),"ID not found"))</f>
        <v/>
      </c>
      <c r="E242" s="27"/>
      <c r="F242" s="27"/>
      <c r="G242" s="27"/>
      <c r="H242" s="27"/>
      <c r="I242" s="27"/>
      <c r="J242" s="27"/>
      <c r="K242" s="27"/>
      <c r="L242" s="27"/>
    </row>
    <row r="243" customFormat="false" ht="15" hidden="false" customHeight="false" outlineLevel="0" collapsed="false">
      <c r="B243" s="26"/>
      <c r="C243" s="27"/>
      <c r="D243" s="28" t="str">
        <f aca="false">IF(C243="","",IFERROR(INDEX(Players!$C$5:$C$104,MATCH(C243,Players!$B$5:$B$104,0)),"ID not found"))</f>
        <v/>
      </c>
      <c r="E243" s="27"/>
      <c r="F243" s="27"/>
      <c r="G243" s="27"/>
      <c r="H243" s="27"/>
      <c r="I243" s="27"/>
      <c r="J243" s="27"/>
      <c r="K243" s="27"/>
      <c r="L243" s="27"/>
    </row>
    <row r="244" customFormat="false" ht="15" hidden="false" customHeight="false" outlineLevel="0" collapsed="false">
      <c r="B244" s="26"/>
      <c r="C244" s="27"/>
      <c r="D244" s="28" t="str">
        <f aca="false">IF(C244="","",IFERROR(INDEX(Players!$C$5:$C$104,MATCH(C244,Players!$B$5:$B$104,0)),"ID not found"))</f>
        <v/>
      </c>
      <c r="E244" s="27"/>
      <c r="F244" s="27"/>
      <c r="G244" s="27"/>
      <c r="H244" s="27"/>
      <c r="I244" s="27"/>
      <c r="J244" s="27"/>
      <c r="K244" s="27"/>
      <c r="L244" s="27"/>
    </row>
    <row r="245" customFormat="false" ht="15" hidden="false" customHeight="false" outlineLevel="0" collapsed="false">
      <c r="B245" s="26"/>
      <c r="C245" s="27"/>
      <c r="D245" s="28" t="str">
        <f aca="false">IF(C245="","",IFERROR(INDEX(Players!$C$5:$C$104,MATCH(C245,Players!$B$5:$B$104,0)),"ID not found"))</f>
        <v/>
      </c>
      <c r="E245" s="27"/>
      <c r="F245" s="27"/>
      <c r="G245" s="27"/>
      <c r="H245" s="27"/>
      <c r="I245" s="27"/>
      <c r="J245" s="27"/>
      <c r="K245" s="27"/>
      <c r="L245" s="27"/>
    </row>
    <row r="246" customFormat="false" ht="15" hidden="false" customHeight="false" outlineLevel="0" collapsed="false">
      <c r="B246" s="26"/>
      <c r="C246" s="27"/>
      <c r="D246" s="28" t="str">
        <f aca="false">IF(C246="","",IFERROR(INDEX(Players!$C$5:$C$104,MATCH(C246,Players!$B$5:$B$104,0)),"ID not found"))</f>
        <v/>
      </c>
      <c r="E246" s="27"/>
      <c r="F246" s="27"/>
      <c r="G246" s="27"/>
      <c r="H246" s="27"/>
      <c r="I246" s="27"/>
      <c r="J246" s="27"/>
      <c r="K246" s="27"/>
      <c r="L246" s="27"/>
    </row>
    <row r="247" customFormat="false" ht="15" hidden="false" customHeight="false" outlineLevel="0" collapsed="false">
      <c r="B247" s="26"/>
      <c r="C247" s="27"/>
      <c r="D247" s="28" t="str">
        <f aca="false">IF(C247="","",IFERROR(INDEX(Players!$C$5:$C$104,MATCH(C247,Players!$B$5:$B$104,0)),"ID not found"))</f>
        <v/>
      </c>
      <c r="E247" s="27"/>
      <c r="F247" s="27"/>
      <c r="G247" s="27"/>
      <c r="H247" s="27"/>
      <c r="I247" s="27"/>
      <c r="J247" s="27"/>
      <c r="K247" s="27"/>
      <c r="L247" s="27"/>
    </row>
    <row r="248" customFormat="false" ht="15" hidden="false" customHeight="false" outlineLevel="0" collapsed="false">
      <c r="B248" s="26"/>
      <c r="C248" s="27"/>
      <c r="D248" s="28" t="str">
        <f aca="false">IF(C248="","",IFERROR(INDEX(Players!$C$5:$C$104,MATCH(C248,Players!$B$5:$B$104,0)),"ID not found"))</f>
        <v/>
      </c>
      <c r="E248" s="27"/>
      <c r="F248" s="27"/>
      <c r="G248" s="27"/>
      <c r="H248" s="27"/>
      <c r="I248" s="27"/>
      <c r="J248" s="27"/>
      <c r="K248" s="27"/>
      <c r="L248" s="27"/>
    </row>
    <row r="249" customFormat="false" ht="15" hidden="false" customHeight="false" outlineLevel="0" collapsed="false">
      <c r="B249" s="26"/>
      <c r="C249" s="27"/>
      <c r="D249" s="28" t="str">
        <f aca="false">IF(C249="","",IFERROR(INDEX(Players!$C$5:$C$104,MATCH(C249,Players!$B$5:$B$104,0)),"ID not found"))</f>
        <v/>
      </c>
      <c r="E249" s="27"/>
      <c r="F249" s="27"/>
      <c r="G249" s="27"/>
      <c r="H249" s="27"/>
      <c r="I249" s="27"/>
      <c r="J249" s="27"/>
      <c r="K249" s="27"/>
      <c r="L249" s="27"/>
    </row>
    <row r="250" customFormat="false" ht="15" hidden="false" customHeight="false" outlineLevel="0" collapsed="false">
      <c r="B250" s="26"/>
      <c r="C250" s="27"/>
      <c r="D250" s="28" t="str">
        <f aca="false">IF(C250="","",IFERROR(INDEX(Players!$C$5:$C$104,MATCH(C250,Players!$B$5:$B$104,0)),"ID not found"))</f>
        <v/>
      </c>
      <c r="E250" s="27"/>
      <c r="F250" s="27"/>
      <c r="G250" s="27"/>
      <c r="H250" s="27"/>
      <c r="I250" s="27"/>
      <c r="J250" s="27"/>
      <c r="K250" s="27"/>
      <c r="L250" s="27"/>
    </row>
    <row r="251" customFormat="false" ht="15" hidden="false" customHeight="false" outlineLevel="0" collapsed="false">
      <c r="B251" s="26"/>
      <c r="C251" s="27"/>
      <c r="D251" s="28" t="str">
        <f aca="false">IF(C251="","",IFERROR(INDEX(Players!$C$5:$C$104,MATCH(C251,Players!$B$5:$B$104,0)),"ID not found"))</f>
        <v/>
      </c>
      <c r="E251" s="27"/>
      <c r="F251" s="27"/>
      <c r="G251" s="27"/>
      <c r="H251" s="27"/>
      <c r="I251" s="27"/>
      <c r="J251" s="27"/>
      <c r="K251" s="27"/>
      <c r="L251" s="27"/>
    </row>
    <row r="252" customFormat="false" ht="15" hidden="false" customHeight="false" outlineLevel="0" collapsed="false">
      <c r="B252" s="26"/>
      <c r="C252" s="27"/>
      <c r="D252" s="28" t="str">
        <f aca="false">IF(C252="","",IFERROR(INDEX(Players!$C$5:$C$104,MATCH(C252,Players!$B$5:$B$104,0)),"ID not found"))</f>
        <v/>
      </c>
      <c r="E252" s="27"/>
      <c r="F252" s="27"/>
      <c r="G252" s="27"/>
      <c r="H252" s="27"/>
      <c r="I252" s="27"/>
      <c r="J252" s="27"/>
      <c r="K252" s="27"/>
      <c r="L252" s="27"/>
    </row>
    <row r="253" customFormat="false" ht="15" hidden="false" customHeight="false" outlineLevel="0" collapsed="false">
      <c r="B253" s="26"/>
      <c r="C253" s="27"/>
      <c r="D253" s="28" t="str">
        <f aca="false">IF(C253="","",IFERROR(INDEX(Players!$C$5:$C$104,MATCH(C253,Players!$B$5:$B$104,0)),"ID not found"))</f>
        <v/>
      </c>
      <c r="E253" s="27"/>
      <c r="F253" s="27"/>
      <c r="G253" s="27"/>
      <c r="H253" s="27"/>
      <c r="I253" s="27"/>
      <c r="J253" s="27"/>
      <c r="K253" s="27"/>
      <c r="L253" s="27"/>
    </row>
    <row r="254" customFormat="false" ht="15" hidden="false" customHeight="false" outlineLevel="0" collapsed="false">
      <c r="B254" s="26"/>
      <c r="C254" s="27"/>
      <c r="D254" s="28" t="str">
        <f aca="false">IF(C254="","",IFERROR(INDEX(Players!$C$5:$C$104,MATCH(C254,Players!$B$5:$B$104,0)),"ID not found"))</f>
        <v/>
      </c>
      <c r="E254" s="27"/>
      <c r="F254" s="27"/>
      <c r="G254" s="27"/>
      <c r="H254" s="27"/>
      <c r="I254" s="27"/>
      <c r="J254" s="27"/>
      <c r="K254" s="27"/>
      <c r="L254" s="27"/>
    </row>
    <row r="255" customFormat="false" ht="15" hidden="false" customHeight="false" outlineLevel="0" collapsed="false">
      <c r="B255" s="26"/>
      <c r="C255" s="27"/>
      <c r="D255" s="28" t="str">
        <f aca="false">IF(C255="","",IFERROR(INDEX(Players!$C$5:$C$104,MATCH(C255,Players!$B$5:$B$104,0)),"ID not found"))</f>
        <v/>
      </c>
      <c r="E255" s="27"/>
      <c r="F255" s="27"/>
      <c r="G255" s="27"/>
      <c r="H255" s="27"/>
      <c r="I255" s="27"/>
      <c r="J255" s="27"/>
      <c r="K255" s="27"/>
      <c r="L255" s="27"/>
    </row>
    <row r="256" customFormat="false" ht="15" hidden="false" customHeight="false" outlineLevel="0" collapsed="false">
      <c r="B256" s="26"/>
      <c r="C256" s="27"/>
      <c r="D256" s="28" t="str">
        <f aca="false">IF(C256="","",IFERROR(INDEX(Players!$C$5:$C$104,MATCH(C256,Players!$B$5:$B$104,0)),"ID not found"))</f>
        <v/>
      </c>
      <c r="E256" s="27"/>
      <c r="F256" s="27"/>
      <c r="G256" s="27"/>
      <c r="H256" s="27"/>
      <c r="I256" s="27"/>
      <c r="J256" s="27"/>
      <c r="K256" s="27"/>
      <c r="L256" s="27"/>
    </row>
    <row r="257" customFormat="false" ht="15" hidden="false" customHeight="false" outlineLevel="0" collapsed="false">
      <c r="B257" s="26"/>
      <c r="C257" s="27"/>
      <c r="D257" s="28" t="str">
        <f aca="false">IF(C257="","",IFERROR(INDEX(Players!$C$5:$C$104,MATCH(C257,Players!$B$5:$B$104,0)),"ID not found"))</f>
        <v/>
      </c>
      <c r="E257" s="27"/>
      <c r="F257" s="27"/>
      <c r="G257" s="27"/>
      <c r="H257" s="27"/>
      <c r="I257" s="27"/>
      <c r="J257" s="27"/>
      <c r="K257" s="27"/>
      <c r="L257" s="27"/>
    </row>
    <row r="258" customFormat="false" ht="15" hidden="false" customHeight="false" outlineLevel="0" collapsed="false">
      <c r="B258" s="26"/>
      <c r="C258" s="27"/>
      <c r="D258" s="28" t="str">
        <f aca="false">IF(C258="","",IFERROR(INDEX(Players!$C$5:$C$104,MATCH(C258,Players!$B$5:$B$104,0)),"ID not found"))</f>
        <v/>
      </c>
      <c r="E258" s="27"/>
      <c r="F258" s="27"/>
      <c r="G258" s="27"/>
      <c r="H258" s="27"/>
      <c r="I258" s="27"/>
      <c r="J258" s="27"/>
      <c r="K258" s="27"/>
      <c r="L258" s="27"/>
    </row>
    <row r="259" customFormat="false" ht="15" hidden="false" customHeight="false" outlineLevel="0" collapsed="false">
      <c r="B259" s="26"/>
      <c r="C259" s="27"/>
      <c r="D259" s="28" t="str">
        <f aca="false">IF(C259="","",IFERROR(INDEX(Players!$C$5:$C$104,MATCH(C259,Players!$B$5:$B$104,0)),"ID not found"))</f>
        <v/>
      </c>
      <c r="E259" s="27"/>
      <c r="F259" s="27"/>
      <c r="G259" s="27"/>
      <c r="H259" s="27"/>
      <c r="I259" s="27"/>
      <c r="J259" s="27"/>
      <c r="K259" s="27"/>
      <c r="L259" s="27"/>
    </row>
    <row r="260" customFormat="false" ht="15" hidden="false" customHeight="false" outlineLevel="0" collapsed="false">
      <c r="B260" s="26"/>
      <c r="C260" s="27"/>
      <c r="D260" s="28" t="str">
        <f aca="false">IF(C260="","",IFERROR(INDEX(Players!$C$5:$C$104,MATCH(C260,Players!$B$5:$B$104,0)),"ID not found"))</f>
        <v/>
      </c>
      <c r="E260" s="27"/>
      <c r="F260" s="27"/>
      <c r="G260" s="27"/>
      <c r="H260" s="27"/>
      <c r="I260" s="27"/>
      <c r="J260" s="27"/>
      <c r="K260" s="27"/>
      <c r="L260" s="27"/>
    </row>
    <row r="261" customFormat="false" ht="15" hidden="false" customHeight="false" outlineLevel="0" collapsed="false">
      <c r="B261" s="26"/>
      <c r="C261" s="27"/>
      <c r="D261" s="28" t="str">
        <f aca="false">IF(C261="","",IFERROR(INDEX(Players!$C$5:$C$104,MATCH(C261,Players!$B$5:$B$104,0)),"ID not found"))</f>
        <v/>
      </c>
      <c r="E261" s="27"/>
      <c r="F261" s="27"/>
      <c r="G261" s="27"/>
      <c r="H261" s="27"/>
      <c r="I261" s="27"/>
      <c r="J261" s="27"/>
      <c r="K261" s="27"/>
      <c r="L261" s="27"/>
    </row>
    <row r="262" customFormat="false" ht="15" hidden="false" customHeight="false" outlineLevel="0" collapsed="false">
      <c r="B262" s="26"/>
      <c r="C262" s="27"/>
      <c r="D262" s="28" t="str">
        <f aca="false">IF(C262="","",IFERROR(INDEX(Players!$C$5:$C$104,MATCH(C262,Players!$B$5:$B$104,0)),"ID not found"))</f>
        <v/>
      </c>
      <c r="E262" s="27"/>
      <c r="F262" s="27"/>
      <c r="G262" s="27"/>
      <c r="H262" s="27"/>
      <c r="I262" s="27"/>
      <c r="J262" s="27"/>
      <c r="K262" s="27"/>
      <c r="L262" s="27"/>
    </row>
    <row r="263" customFormat="false" ht="15" hidden="false" customHeight="false" outlineLevel="0" collapsed="false">
      <c r="B263" s="26"/>
      <c r="C263" s="27"/>
      <c r="D263" s="28" t="str">
        <f aca="false">IF(C263="","",IFERROR(INDEX(Players!$C$5:$C$104,MATCH(C263,Players!$B$5:$B$104,0)),"ID not found"))</f>
        <v/>
      </c>
      <c r="E263" s="27"/>
      <c r="F263" s="27"/>
      <c r="G263" s="27"/>
      <c r="H263" s="27"/>
      <c r="I263" s="27"/>
      <c r="J263" s="27"/>
      <c r="K263" s="27"/>
      <c r="L263" s="27"/>
    </row>
    <row r="264" customFormat="false" ht="15" hidden="false" customHeight="false" outlineLevel="0" collapsed="false">
      <c r="B264" s="26"/>
      <c r="C264" s="27"/>
      <c r="D264" s="28" t="str">
        <f aca="false">IF(C264="","",IFERROR(INDEX(Players!$C$5:$C$104,MATCH(C264,Players!$B$5:$B$104,0)),"ID not found"))</f>
        <v/>
      </c>
      <c r="E264" s="27"/>
      <c r="F264" s="27"/>
      <c r="G264" s="27"/>
      <c r="H264" s="27"/>
      <c r="I264" s="27"/>
      <c r="J264" s="27"/>
      <c r="K264" s="27"/>
      <c r="L264" s="27"/>
    </row>
    <row r="265" customFormat="false" ht="15" hidden="false" customHeight="false" outlineLevel="0" collapsed="false">
      <c r="B265" s="26"/>
      <c r="C265" s="27"/>
      <c r="D265" s="28" t="str">
        <f aca="false">IF(C265="","",IFERROR(INDEX(Players!$C$5:$C$104,MATCH(C265,Players!$B$5:$B$104,0)),"ID not found"))</f>
        <v/>
      </c>
      <c r="E265" s="27"/>
      <c r="F265" s="27"/>
      <c r="G265" s="27"/>
      <c r="H265" s="27"/>
      <c r="I265" s="27"/>
      <c r="J265" s="27"/>
      <c r="K265" s="27"/>
      <c r="L265" s="27"/>
    </row>
    <row r="266" customFormat="false" ht="15" hidden="false" customHeight="false" outlineLevel="0" collapsed="false">
      <c r="B266" s="26"/>
      <c r="C266" s="27"/>
      <c r="D266" s="28" t="str">
        <f aca="false">IF(C266="","",IFERROR(INDEX(Players!$C$5:$C$104,MATCH(C266,Players!$B$5:$B$104,0)),"ID not found"))</f>
        <v/>
      </c>
      <c r="E266" s="27"/>
      <c r="F266" s="27"/>
      <c r="G266" s="27"/>
      <c r="H266" s="27"/>
      <c r="I266" s="27"/>
      <c r="J266" s="27"/>
      <c r="K266" s="27"/>
      <c r="L266" s="27"/>
    </row>
    <row r="267" customFormat="false" ht="15" hidden="false" customHeight="false" outlineLevel="0" collapsed="false">
      <c r="B267" s="26"/>
      <c r="C267" s="27"/>
      <c r="D267" s="28" t="str">
        <f aca="false">IF(C267="","",IFERROR(INDEX(Players!$C$5:$C$104,MATCH(C267,Players!$B$5:$B$104,0)),"ID not found"))</f>
        <v/>
      </c>
      <c r="E267" s="27"/>
      <c r="F267" s="27"/>
      <c r="G267" s="27"/>
      <c r="H267" s="27"/>
      <c r="I267" s="27"/>
      <c r="J267" s="27"/>
      <c r="K267" s="27"/>
      <c r="L267" s="27"/>
    </row>
    <row r="268" customFormat="false" ht="15" hidden="false" customHeight="false" outlineLevel="0" collapsed="false">
      <c r="B268" s="26"/>
      <c r="C268" s="27"/>
      <c r="D268" s="28" t="str">
        <f aca="false">IF(C268="","",IFERROR(INDEX(Players!$C$5:$C$104,MATCH(C268,Players!$B$5:$B$104,0)),"ID not found"))</f>
        <v/>
      </c>
      <c r="E268" s="27"/>
      <c r="F268" s="27"/>
      <c r="G268" s="27"/>
      <c r="H268" s="27"/>
      <c r="I268" s="27"/>
      <c r="J268" s="27"/>
      <c r="K268" s="27"/>
      <c r="L268" s="27"/>
    </row>
    <row r="269" customFormat="false" ht="15" hidden="false" customHeight="false" outlineLevel="0" collapsed="false">
      <c r="B269" s="26"/>
      <c r="C269" s="27"/>
      <c r="D269" s="28" t="str">
        <f aca="false">IF(C269="","",IFERROR(INDEX(Players!$C$5:$C$104,MATCH(C269,Players!$B$5:$B$104,0)),"ID not found"))</f>
        <v/>
      </c>
      <c r="E269" s="27"/>
      <c r="F269" s="27"/>
      <c r="G269" s="27"/>
      <c r="H269" s="27"/>
      <c r="I269" s="27"/>
      <c r="J269" s="27"/>
      <c r="K269" s="27"/>
      <c r="L269" s="27"/>
    </row>
    <row r="270" customFormat="false" ht="15" hidden="false" customHeight="false" outlineLevel="0" collapsed="false">
      <c r="B270" s="26"/>
      <c r="C270" s="27"/>
      <c r="D270" s="28" t="str">
        <f aca="false">IF(C270="","",IFERROR(INDEX(Players!$C$5:$C$104,MATCH(C270,Players!$B$5:$B$104,0)),"ID not found"))</f>
        <v/>
      </c>
      <c r="E270" s="27"/>
      <c r="F270" s="27"/>
      <c r="G270" s="27"/>
      <c r="H270" s="27"/>
      <c r="I270" s="27"/>
      <c r="J270" s="27"/>
      <c r="K270" s="27"/>
      <c r="L270" s="27"/>
    </row>
    <row r="271" customFormat="false" ht="15" hidden="false" customHeight="false" outlineLevel="0" collapsed="false">
      <c r="B271" s="26"/>
      <c r="C271" s="27"/>
      <c r="D271" s="28" t="str">
        <f aca="false">IF(C271="","",IFERROR(INDEX(Players!$C$5:$C$104,MATCH(C271,Players!$B$5:$B$104,0)),"ID not found"))</f>
        <v/>
      </c>
      <c r="E271" s="27"/>
      <c r="F271" s="27"/>
      <c r="G271" s="27"/>
      <c r="H271" s="27"/>
      <c r="I271" s="27"/>
      <c r="J271" s="27"/>
      <c r="K271" s="27"/>
      <c r="L271" s="27"/>
    </row>
    <row r="272" customFormat="false" ht="15" hidden="false" customHeight="false" outlineLevel="0" collapsed="false">
      <c r="B272" s="26"/>
      <c r="C272" s="27"/>
      <c r="D272" s="28" t="str">
        <f aca="false">IF(C272="","",IFERROR(INDEX(Players!$C$5:$C$104,MATCH(C272,Players!$B$5:$B$104,0)),"ID not found"))</f>
        <v/>
      </c>
      <c r="E272" s="27"/>
      <c r="F272" s="27"/>
      <c r="G272" s="27"/>
      <c r="H272" s="27"/>
      <c r="I272" s="27"/>
      <c r="J272" s="27"/>
      <c r="K272" s="27"/>
      <c r="L272" s="27"/>
    </row>
    <row r="273" customFormat="false" ht="15" hidden="false" customHeight="false" outlineLevel="0" collapsed="false">
      <c r="B273" s="26"/>
      <c r="C273" s="27"/>
      <c r="D273" s="28" t="str">
        <f aca="false">IF(C273="","",IFERROR(INDEX(Players!$C$5:$C$104,MATCH(C273,Players!$B$5:$B$104,0)),"ID not found"))</f>
        <v/>
      </c>
      <c r="E273" s="27"/>
      <c r="F273" s="27"/>
      <c r="G273" s="27"/>
      <c r="H273" s="27"/>
      <c r="I273" s="27"/>
      <c r="J273" s="27"/>
      <c r="K273" s="27"/>
      <c r="L273" s="27"/>
    </row>
    <row r="274" customFormat="false" ht="15" hidden="false" customHeight="false" outlineLevel="0" collapsed="false">
      <c r="B274" s="26"/>
      <c r="C274" s="27"/>
      <c r="D274" s="28" t="str">
        <f aca="false">IF(C274="","",IFERROR(INDEX(Players!$C$5:$C$104,MATCH(C274,Players!$B$5:$B$104,0)),"ID not found"))</f>
        <v/>
      </c>
      <c r="E274" s="27"/>
      <c r="F274" s="27"/>
      <c r="G274" s="27"/>
      <c r="H274" s="27"/>
      <c r="I274" s="27"/>
      <c r="J274" s="27"/>
      <c r="K274" s="27"/>
      <c r="L274" s="27"/>
    </row>
    <row r="275" customFormat="false" ht="15" hidden="false" customHeight="false" outlineLevel="0" collapsed="false">
      <c r="B275" s="26"/>
      <c r="C275" s="27"/>
      <c r="D275" s="28" t="str">
        <f aca="false">IF(C275="","",IFERROR(INDEX(Players!$C$5:$C$104,MATCH(C275,Players!$B$5:$B$104,0)),"ID not found"))</f>
        <v/>
      </c>
      <c r="E275" s="27"/>
      <c r="F275" s="27"/>
      <c r="G275" s="27"/>
      <c r="H275" s="27"/>
      <c r="I275" s="27"/>
      <c r="J275" s="27"/>
      <c r="K275" s="27"/>
      <c r="L275" s="27"/>
    </row>
    <row r="276" customFormat="false" ht="15" hidden="false" customHeight="false" outlineLevel="0" collapsed="false">
      <c r="B276" s="26"/>
      <c r="C276" s="27"/>
      <c r="D276" s="28" t="str">
        <f aca="false">IF(C276="","",IFERROR(INDEX(Players!$C$5:$C$104,MATCH(C276,Players!$B$5:$B$104,0)),"ID not found"))</f>
        <v/>
      </c>
      <c r="E276" s="27"/>
      <c r="F276" s="27"/>
      <c r="G276" s="27"/>
      <c r="H276" s="27"/>
      <c r="I276" s="27"/>
      <c r="J276" s="27"/>
      <c r="K276" s="27"/>
      <c r="L276" s="27"/>
    </row>
    <row r="277" customFormat="false" ht="15" hidden="false" customHeight="false" outlineLevel="0" collapsed="false">
      <c r="B277" s="26"/>
      <c r="C277" s="27"/>
      <c r="D277" s="28" t="str">
        <f aca="false">IF(C277="","",IFERROR(INDEX(Players!$C$5:$C$104,MATCH(C277,Players!$B$5:$B$104,0)),"ID not found"))</f>
        <v/>
      </c>
      <c r="E277" s="27"/>
      <c r="F277" s="27"/>
      <c r="G277" s="27"/>
      <c r="H277" s="27"/>
      <c r="I277" s="27"/>
      <c r="J277" s="27"/>
      <c r="K277" s="27"/>
      <c r="L277" s="27"/>
    </row>
    <row r="278" customFormat="false" ht="15" hidden="false" customHeight="false" outlineLevel="0" collapsed="false">
      <c r="B278" s="26"/>
      <c r="C278" s="27"/>
      <c r="D278" s="28" t="str">
        <f aca="false">IF(C278="","",IFERROR(INDEX(Players!$C$5:$C$104,MATCH(C278,Players!$B$5:$B$104,0)),"ID not found"))</f>
        <v/>
      </c>
      <c r="E278" s="27"/>
      <c r="F278" s="27"/>
      <c r="G278" s="27"/>
      <c r="H278" s="27"/>
      <c r="I278" s="27"/>
      <c r="J278" s="27"/>
      <c r="K278" s="27"/>
      <c r="L278" s="27"/>
    </row>
    <row r="279" customFormat="false" ht="15" hidden="false" customHeight="false" outlineLevel="0" collapsed="false">
      <c r="B279" s="26"/>
      <c r="C279" s="27"/>
      <c r="D279" s="28" t="str">
        <f aca="false">IF(C279="","",IFERROR(INDEX(Players!$C$5:$C$104,MATCH(C279,Players!$B$5:$B$104,0)),"ID not found"))</f>
        <v/>
      </c>
      <c r="E279" s="27"/>
      <c r="F279" s="27"/>
      <c r="G279" s="27"/>
      <c r="H279" s="27"/>
      <c r="I279" s="27"/>
      <c r="J279" s="27"/>
      <c r="K279" s="27"/>
      <c r="L279" s="27"/>
    </row>
    <row r="280" customFormat="false" ht="15" hidden="false" customHeight="false" outlineLevel="0" collapsed="false">
      <c r="B280" s="26"/>
      <c r="C280" s="27"/>
      <c r="D280" s="28" t="str">
        <f aca="false">IF(C280="","",IFERROR(INDEX(Players!$C$5:$C$104,MATCH(C280,Players!$B$5:$B$104,0)),"ID not found"))</f>
        <v/>
      </c>
      <c r="E280" s="27"/>
      <c r="F280" s="27"/>
      <c r="G280" s="27"/>
      <c r="H280" s="27"/>
      <c r="I280" s="27"/>
      <c r="J280" s="27"/>
      <c r="K280" s="27"/>
      <c r="L280" s="27"/>
    </row>
    <row r="281" customFormat="false" ht="15" hidden="false" customHeight="false" outlineLevel="0" collapsed="false">
      <c r="B281" s="26"/>
      <c r="C281" s="27"/>
      <c r="D281" s="28" t="str">
        <f aca="false">IF(C281="","",IFERROR(INDEX(Players!$C$5:$C$104,MATCH(C281,Players!$B$5:$B$104,0)),"ID not found"))</f>
        <v/>
      </c>
      <c r="E281" s="27"/>
      <c r="F281" s="27"/>
      <c r="G281" s="27"/>
      <c r="H281" s="27"/>
      <c r="I281" s="27"/>
      <c r="J281" s="27"/>
      <c r="K281" s="27"/>
      <c r="L281" s="27"/>
    </row>
    <row r="282" customFormat="false" ht="15" hidden="false" customHeight="false" outlineLevel="0" collapsed="false">
      <c r="B282" s="26"/>
      <c r="C282" s="27"/>
      <c r="D282" s="28" t="str">
        <f aca="false">IF(C282="","",IFERROR(INDEX(Players!$C$5:$C$104,MATCH(C282,Players!$B$5:$B$104,0)),"ID not found"))</f>
        <v/>
      </c>
      <c r="E282" s="27"/>
      <c r="F282" s="27"/>
      <c r="G282" s="27"/>
      <c r="H282" s="27"/>
      <c r="I282" s="27"/>
      <c r="J282" s="27"/>
      <c r="K282" s="27"/>
      <c r="L282" s="27"/>
    </row>
    <row r="283" customFormat="false" ht="15" hidden="false" customHeight="false" outlineLevel="0" collapsed="false">
      <c r="B283" s="26"/>
      <c r="C283" s="27"/>
      <c r="D283" s="28" t="str">
        <f aca="false">IF(C283="","",IFERROR(INDEX(Players!$C$5:$C$104,MATCH(C283,Players!$B$5:$B$104,0)),"ID not found"))</f>
        <v/>
      </c>
      <c r="E283" s="27"/>
      <c r="F283" s="27"/>
      <c r="G283" s="27"/>
      <c r="H283" s="27"/>
      <c r="I283" s="27"/>
      <c r="J283" s="27"/>
      <c r="K283" s="27"/>
      <c r="L283" s="27"/>
    </row>
    <row r="284" customFormat="false" ht="15" hidden="false" customHeight="false" outlineLevel="0" collapsed="false">
      <c r="B284" s="26"/>
      <c r="C284" s="27"/>
      <c r="D284" s="28" t="str">
        <f aca="false">IF(C284="","",IFERROR(INDEX(Players!$C$5:$C$104,MATCH(C284,Players!$B$5:$B$104,0)),"ID not found"))</f>
        <v/>
      </c>
      <c r="E284" s="27"/>
      <c r="F284" s="27"/>
      <c r="G284" s="27"/>
      <c r="H284" s="27"/>
      <c r="I284" s="27"/>
      <c r="J284" s="27"/>
      <c r="K284" s="27"/>
      <c r="L284" s="27"/>
    </row>
    <row r="285" customFormat="false" ht="15" hidden="false" customHeight="false" outlineLevel="0" collapsed="false">
      <c r="B285" s="26"/>
      <c r="C285" s="27"/>
      <c r="D285" s="28" t="str">
        <f aca="false">IF(C285="","",IFERROR(INDEX(Players!$C$5:$C$104,MATCH(C285,Players!$B$5:$B$104,0)),"ID not found"))</f>
        <v/>
      </c>
      <c r="E285" s="27"/>
      <c r="F285" s="27"/>
      <c r="G285" s="27"/>
      <c r="H285" s="27"/>
      <c r="I285" s="27"/>
      <c r="J285" s="27"/>
      <c r="K285" s="27"/>
      <c r="L285" s="27"/>
    </row>
    <row r="286" customFormat="false" ht="15" hidden="false" customHeight="false" outlineLevel="0" collapsed="false">
      <c r="B286" s="26"/>
      <c r="C286" s="27"/>
      <c r="D286" s="28" t="str">
        <f aca="false">IF(C286="","",IFERROR(INDEX(Players!$C$5:$C$104,MATCH(C286,Players!$B$5:$B$104,0)),"ID not found"))</f>
        <v/>
      </c>
      <c r="E286" s="27"/>
      <c r="F286" s="27"/>
      <c r="G286" s="27"/>
      <c r="H286" s="27"/>
      <c r="I286" s="27"/>
      <c r="J286" s="27"/>
      <c r="K286" s="27"/>
      <c r="L286" s="27"/>
    </row>
    <row r="287" customFormat="false" ht="15" hidden="false" customHeight="false" outlineLevel="0" collapsed="false">
      <c r="B287" s="26"/>
      <c r="C287" s="27"/>
      <c r="D287" s="28" t="str">
        <f aca="false">IF(C287="","",IFERROR(INDEX(Players!$C$5:$C$104,MATCH(C287,Players!$B$5:$B$104,0)),"ID not found"))</f>
        <v/>
      </c>
      <c r="E287" s="27"/>
      <c r="F287" s="27"/>
      <c r="G287" s="27"/>
      <c r="H287" s="27"/>
      <c r="I287" s="27"/>
      <c r="J287" s="27"/>
      <c r="K287" s="27"/>
      <c r="L287" s="27"/>
    </row>
    <row r="288" customFormat="false" ht="15" hidden="false" customHeight="false" outlineLevel="0" collapsed="false">
      <c r="B288" s="26"/>
      <c r="C288" s="27"/>
      <c r="D288" s="28" t="str">
        <f aca="false">IF(C288="","",IFERROR(INDEX(Players!$C$5:$C$104,MATCH(C288,Players!$B$5:$B$104,0)),"ID not found"))</f>
        <v/>
      </c>
      <c r="E288" s="27"/>
      <c r="F288" s="27"/>
      <c r="G288" s="27"/>
      <c r="H288" s="27"/>
      <c r="I288" s="27"/>
      <c r="J288" s="27"/>
      <c r="K288" s="27"/>
      <c r="L288" s="27"/>
    </row>
    <row r="289" customFormat="false" ht="15" hidden="false" customHeight="false" outlineLevel="0" collapsed="false">
      <c r="B289" s="26"/>
      <c r="C289" s="27"/>
      <c r="D289" s="28" t="str">
        <f aca="false">IF(C289="","",IFERROR(INDEX(Players!$C$5:$C$104,MATCH(C289,Players!$B$5:$B$104,0)),"ID not found"))</f>
        <v/>
      </c>
      <c r="E289" s="27"/>
      <c r="F289" s="27"/>
      <c r="G289" s="27"/>
      <c r="H289" s="27"/>
      <c r="I289" s="27"/>
      <c r="J289" s="27"/>
      <c r="K289" s="27"/>
      <c r="L289" s="27"/>
    </row>
    <row r="290" customFormat="false" ht="15" hidden="false" customHeight="false" outlineLevel="0" collapsed="false">
      <c r="B290" s="26"/>
      <c r="C290" s="27"/>
      <c r="D290" s="28" t="str">
        <f aca="false">IF(C290="","",IFERROR(INDEX(Players!$C$5:$C$104,MATCH(C290,Players!$B$5:$B$104,0)),"ID not found"))</f>
        <v/>
      </c>
      <c r="E290" s="27"/>
      <c r="F290" s="27"/>
      <c r="G290" s="27"/>
      <c r="H290" s="27"/>
      <c r="I290" s="27"/>
      <c r="J290" s="27"/>
      <c r="K290" s="27"/>
      <c r="L290" s="27"/>
    </row>
    <row r="291" customFormat="false" ht="15" hidden="false" customHeight="false" outlineLevel="0" collapsed="false">
      <c r="B291" s="26"/>
      <c r="C291" s="27"/>
      <c r="D291" s="28" t="str">
        <f aca="false">IF(C291="","",IFERROR(INDEX(Players!$C$5:$C$104,MATCH(C291,Players!$B$5:$B$104,0)),"ID not found"))</f>
        <v/>
      </c>
      <c r="E291" s="27"/>
      <c r="F291" s="27"/>
      <c r="G291" s="27"/>
      <c r="H291" s="27"/>
      <c r="I291" s="27"/>
      <c r="J291" s="27"/>
      <c r="K291" s="27"/>
      <c r="L291" s="27"/>
    </row>
    <row r="292" customFormat="false" ht="15" hidden="false" customHeight="false" outlineLevel="0" collapsed="false">
      <c r="B292" s="26"/>
      <c r="C292" s="27"/>
      <c r="D292" s="28" t="str">
        <f aca="false">IF(C292="","",IFERROR(INDEX(Players!$C$5:$C$104,MATCH(C292,Players!$B$5:$B$104,0)),"ID not found"))</f>
        <v/>
      </c>
      <c r="E292" s="27"/>
      <c r="F292" s="27"/>
      <c r="G292" s="27"/>
      <c r="H292" s="27"/>
      <c r="I292" s="27"/>
      <c r="J292" s="27"/>
      <c r="K292" s="27"/>
      <c r="L292" s="27"/>
    </row>
    <row r="293" customFormat="false" ht="15" hidden="false" customHeight="false" outlineLevel="0" collapsed="false">
      <c r="B293" s="26"/>
      <c r="C293" s="27"/>
      <c r="D293" s="28" t="str">
        <f aca="false">IF(C293="","",IFERROR(INDEX(Players!$C$5:$C$104,MATCH(C293,Players!$B$5:$B$104,0)),"ID not found"))</f>
        <v/>
      </c>
      <c r="E293" s="27"/>
      <c r="F293" s="27"/>
      <c r="G293" s="27"/>
      <c r="H293" s="27"/>
      <c r="I293" s="27"/>
      <c r="J293" s="27"/>
      <c r="K293" s="27"/>
      <c r="L293" s="27"/>
    </row>
    <row r="294" customFormat="false" ht="15" hidden="false" customHeight="false" outlineLevel="0" collapsed="false">
      <c r="B294" s="26"/>
      <c r="C294" s="27"/>
      <c r="D294" s="28" t="str">
        <f aca="false">IF(C294="","",IFERROR(INDEX(Players!$C$5:$C$104,MATCH(C294,Players!$B$5:$B$104,0)),"ID not found"))</f>
        <v/>
      </c>
      <c r="E294" s="27"/>
      <c r="F294" s="27"/>
      <c r="G294" s="27"/>
      <c r="H294" s="27"/>
      <c r="I294" s="27"/>
      <c r="J294" s="27"/>
      <c r="K294" s="27"/>
      <c r="L294" s="27"/>
    </row>
    <row r="295" customFormat="false" ht="15" hidden="false" customHeight="false" outlineLevel="0" collapsed="false">
      <c r="B295" s="26"/>
      <c r="C295" s="27"/>
      <c r="D295" s="28" t="str">
        <f aca="false">IF(C295="","",IFERROR(INDEX(Players!$C$5:$C$104,MATCH(C295,Players!$B$5:$B$104,0)),"ID not found"))</f>
        <v/>
      </c>
      <c r="E295" s="27"/>
      <c r="F295" s="27"/>
      <c r="G295" s="27"/>
      <c r="H295" s="27"/>
      <c r="I295" s="27"/>
      <c r="J295" s="27"/>
      <c r="K295" s="27"/>
      <c r="L295" s="27"/>
    </row>
    <row r="296" customFormat="false" ht="15" hidden="false" customHeight="false" outlineLevel="0" collapsed="false">
      <c r="B296" s="26"/>
      <c r="C296" s="27"/>
      <c r="D296" s="28" t="str">
        <f aca="false">IF(C296="","",IFERROR(INDEX(Players!$C$5:$C$104,MATCH(C296,Players!$B$5:$B$104,0)),"ID not found"))</f>
        <v/>
      </c>
      <c r="E296" s="27"/>
      <c r="F296" s="27"/>
      <c r="G296" s="27"/>
      <c r="H296" s="27"/>
      <c r="I296" s="27"/>
      <c r="J296" s="27"/>
      <c r="K296" s="27"/>
      <c r="L296" s="27"/>
    </row>
    <row r="297" customFormat="false" ht="15" hidden="false" customHeight="false" outlineLevel="0" collapsed="false">
      <c r="B297" s="26"/>
      <c r="C297" s="27"/>
      <c r="D297" s="28" t="str">
        <f aca="false">IF(C297="","",IFERROR(INDEX(Players!$C$5:$C$104,MATCH(C297,Players!$B$5:$B$104,0)),"ID not found"))</f>
        <v/>
      </c>
      <c r="E297" s="27"/>
      <c r="F297" s="27"/>
      <c r="G297" s="27"/>
      <c r="H297" s="27"/>
      <c r="I297" s="27"/>
      <c r="J297" s="27"/>
      <c r="K297" s="27"/>
      <c r="L297" s="27"/>
    </row>
    <row r="298" customFormat="false" ht="15" hidden="false" customHeight="false" outlineLevel="0" collapsed="false">
      <c r="B298" s="26"/>
      <c r="C298" s="27"/>
      <c r="D298" s="28" t="str">
        <f aca="false">IF(C298="","",IFERROR(INDEX(Players!$C$5:$C$104,MATCH(C298,Players!$B$5:$B$104,0)),"ID not found"))</f>
        <v/>
      </c>
      <c r="E298" s="27"/>
      <c r="F298" s="27"/>
      <c r="G298" s="27"/>
      <c r="H298" s="27"/>
      <c r="I298" s="27"/>
      <c r="J298" s="27"/>
      <c r="K298" s="27"/>
      <c r="L298" s="27"/>
    </row>
    <row r="299" customFormat="false" ht="15" hidden="false" customHeight="false" outlineLevel="0" collapsed="false">
      <c r="B299" s="26"/>
      <c r="C299" s="27"/>
      <c r="D299" s="28" t="str">
        <f aca="false">IF(C299="","",IFERROR(INDEX(Players!$C$5:$C$104,MATCH(C299,Players!$B$5:$B$104,0)),"ID not found"))</f>
        <v/>
      </c>
      <c r="E299" s="27"/>
      <c r="F299" s="27"/>
      <c r="G299" s="27"/>
      <c r="H299" s="27"/>
      <c r="I299" s="27"/>
      <c r="J299" s="27"/>
      <c r="K299" s="27"/>
      <c r="L299" s="27"/>
    </row>
    <row r="300" customFormat="false" ht="15" hidden="false" customHeight="false" outlineLevel="0" collapsed="false">
      <c r="B300" s="26"/>
      <c r="C300" s="27"/>
      <c r="D300" s="28" t="str">
        <f aca="false">IF(C300="","",IFERROR(INDEX(Players!$C$5:$C$104,MATCH(C300,Players!$B$5:$B$104,0)),"ID not found"))</f>
        <v/>
      </c>
      <c r="E300" s="27"/>
      <c r="F300" s="27"/>
      <c r="G300" s="27"/>
      <c r="H300" s="27"/>
      <c r="I300" s="27"/>
      <c r="J300" s="27"/>
      <c r="K300" s="27"/>
      <c r="L300" s="27"/>
    </row>
    <row r="301" customFormat="false" ht="15" hidden="false" customHeight="false" outlineLevel="0" collapsed="false">
      <c r="B301" s="26"/>
      <c r="C301" s="27"/>
      <c r="D301" s="28" t="str">
        <f aca="false">IF(C301="","",IFERROR(INDEX(Players!$C$5:$C$104,MATCH(C301,Players!$B$5:$B$104,0)),"ID not found"))</f>
        <v/>
      </c>
      <c r="E301" s="27"/>
      <c r="F301" s="27"/>
      <c r="G301" s="27"/>
      <c r="H301" s="27"/>
      <c r="I301" s="27"/>
      <c r="J301" s="27"/>
      <c r="K301" s="27"/>
      <c r="L301" s="27"/>
    </row>
    <row r="302" customFormat="false" ht="15" hidden="false" customHeight="false" outlineLevel="0" collapsed="false">
      <c r="B302" s="26"/>
      <c r="C302" s="27"/>
      <c r="D302" s="28" t="str">
        <f aca="false">IF(C302="","",IFERROR(INDEX(Players!$C$5:$C$104,MATCH(C302,Players!$B$5:$B$104,0)),"ID not found"))</f>
        <v/>
      </c>
      <c r="E302" s="27"/>
      <c r="F302" s="27"/>
      <c r="G302" s="27"/>
      <c r="H302" s="27"/>
      <c r="I302" s="27"/>
      <c r="J302" s="27"/>
      <c r="K302" s="27"/>
      <c r="L302" s="27"/>
    </row>
    <row r="303" customFormat="false" ht="15" hidden="false" customHeight="false" outlineLevel="0" collapsed="false">
      <c r="B303" s="26"/>
      <c r="C303" s="27"/>
      <c r="D303" s="28" t="str">
        <f aca="false">IF(C303="","",IFERROR(INDEX(Players!$C$5:$C$104,MATCH(C303,Players!$B$5:$B$104,0)),"ID not found"))</f>
        <v/>
      </c>
      <c r="E303" s="27"/>
      <c r="F303" s="27"/>
      <c r="G303" s="27"/>
      <c r="H303" s="27"/>
      <c r="I303" s="27"/>
      <c r="J303" s="27"/>
      <c r="K303" s="27"/>
      <c r="L303" s="27"/>
    </row>
    <row r="304" customFormat="false" ht="15" hidden="false" customHeight="false" outlineLevel="0" collapsed="false">
      <c r="B304" s="26"/>
      <c r="C304" s="27"/>
      <c r="D304" s="28" t="str">
        <f aca="false">IF(C304="","",IFERROR(INDEX(Players!$C$5:$C$104,MATCH(C304,Players!$B$5:$B$104,0)),"ID not found"))</f>
        <v/>
      </c>
      <c r="E304" s="27"/>
      <c r="F304" s="27"/>
      <c r="G304" s="27"/>
      <c r="H304" s="27"/>
      <c r="I304" s="27"/>
      <c r="J304" s="27"/>
      <c r="K304" s="27"/>
      <c r="L304" s="27"/>
    </row>
  </sheetData>
  <conditionalFormatting sqref="G5:G304">
    <cfRule type="expression" priority="2" aboveAverage="0" equalAverage="0" bottom="0" percent="0" rank="0" text="" dxfId="6">
      <formula>G5="Y"</formula>
    </cfRule>
  </conditionalFormatting>
  <dataValidations count="5">
    <dataValidation allowBlank="true" errorStyle="stop" operator="between" showDropDown="false" showErrorMessage="false" showInputMessage="false" sqref="C5:C304" type="list">
      <formula1>Players!$B$5:$B$104</formula1>
      <formula2>0</formula2>
    </dataValidation>
    <dataValidation allowBlank="true" errorStyle="stop" operator="between" showDropDown="false" showErrorMessage="false" showInputMessage="false" sqref="E5:E304" type="list">
      <formula1>"Y,N"</formula1>
      <formula2>0</formula2>
    </dataValidation>
    <dataValidation allowBlank="true" errorStyle="stop" operator="between" showDropDown="false" showErrorMessage="false" showInputMessage="false" sqref="G5:G304" type="list">
      <formula1>"Y,N"</formula1>
      <formula2>0</formula2>
    </dataValidation>
    <dataValidation allowBlank="true" errorStyle="stop" operator="between" showDropDown="false" showErrorMessage="false" showInputMessage="false" sqref="J5:J304" type="list">
      <formula1>"None,Game,Team practice,Pitching,Lesson"</formula1>
      <formula2>0</formula2>
    </dataValidation>
    <dataValidation allowBlank="true" errorStyle="stop" operator="between" showDropDown="false" showErrorMessage="false" showInputMessage="false" sqref="K5:K304" type="list">
      <formula1>"Full,Modified,Rest"</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1:O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4" min="4" style="0" width="20"/>
    <col collapsed="false" customWidth="true" hidden="false" outlineLevel="0" max="5" min="5" style="0" width="10"/>
    <col collapsed="false" customWidth="true" hidden="false" outlineLevel="0" max="6" min="6" style="0" width="9"/>
    <col collapsed="false" customWidth="true" hidden="false" outlineLevel="0" max="7" min="7" style="0" width="16"/>
    <col collapsed="false" customWidth="true" hidden="false" outlineLevel="0" max="8" min="8" style="0" width="26"/>
    <col collapsed="false" customWidth="true" hidden="false" outlineLevel="0" max="9" min="9" style="0" width="10"/>
    <col collapsed="false" customWidth="true" hidden="false" outlineLevel="0" max="12" min="10" style="0" width="9"/>
    <col collapsed="false" customWidth="true" hidden="false" outlineLevel="0" max="13" min="13" style="0" width="11"/>
    <col collapsed="false" customWidth="true" hidden="false" outlineLevel="0" max="14" min="14" style="0" width="12"/>
    <col collapsed="false" customWidth="true" hidden="false" outlineLevel="0" max="15" min="15" style="0" width="34"/>
  </cols>
  <sheetData>
    <row r="1" customFormat="false" ht="15" hidden="false" customHeight="false" outlineLevel="0" collapsed="false">
      <c r="B1" s="12" t="s">
        <v>24</v>
      </c>
    </row>
    <row r="2" customFormat="false" ht="22.05" hidden="false" customHeight="false" outlineLevel="0" collapsed="false">
      <c r="B2" s="13" t="s">
        <v>1655</v>
      </c>
    </row>
    <row r="3" customFormat="false" ht="15" hidden="false" customHeight="false" outlineLevel="0" collapsed="false">
      <c r="B3" s="14" t="s">
        <v>1656</v>
      </c>
    </row>
    <row r="4" customFormat="false" ht="30" hidden="false" customHeight="true" outlineLevel="0" collapsed="false">
      <c r="B4" s="15" t="s">
        <v>1622</v>
      </c>
      <c r="C4" s="15" t="s">
        <v>151</v>
      </c>
      <c r="D4" s="15" t="s">
        <v>152</v>
      </c>
      <c r="E4" s="15" t="s">
        <v>1623</v>
      </c>
      <c r="F4" s="15" t="s">
        <v>1560</v>
      </c>
      <c r="G4" s="15" t="s">
        <v>1657</v>
      </c>
      <c r="H4" s="15" t="s">
        <v>1658</v>
      </c>
      <c r="I4" s="15" t="s">
        <v>1659</v>
      </c>
      <c r="J4" s="15" t="s">
        <v>1660</v>
      </c>
      <c r="K4" s="15" t="s">
        <v>1661</v>
      </c>
      <c r="L4" s="15" t="s">
        <v>1662</v>
      </c>
      <c r="M4" s="15" t="s">
        <v>1663</v>
      </c>
      <c r="N4" s="15" t="s">
        <v>1664</v>
      </c>
      <c r="O4" s="15" t="s">
        <v>1665</v>
      </c>
    </row>
    <row r="5" customFormat="false" ht="15" hidden="false" customHeight="false" outlineLevel="0" collapsed="false">
      <c r="B5" s="26"/>
      <c r="C5" s="27"/>
      <c r="D5" s="28" t="str">
        <f aca="false">IF(C5="","",IFERROR(INDEX(Players!$C$5:$C$104,MATCH(C5,Players!$B$5:$B$104,0)),"ID not found"))</f>
        <v/>
      </c>
      <c r="E5" s="27"/>
      <c r="F5" s="27"/>
      <c r="G5" s="27"/>
      <c r="H5" s="27"/>
      <c r="I5" s="27"/>
      <c r="J5" s="27"/>
      <c r="K5" s="27"/>
      <c r="L5" s="27"/>
      <c r="M5" s="30" t="str">
        <f aca="false">IF(SUM(J5:K5)=0,"",J5/SUM(J5:K5))</f>
        <v/>
      </c>
      <c r="N5" s="27"/>
      <c r="O5" s="27"/>
    </row>
    <row r="6" customFormat="false" ht="15" hidden="false" customHeight="false" outlineLevel="0" collapsed="false">
      <c r="B6" s="26"/>
      <c r="C6" s="27"/>
      <c r="D6" s="28" t="str">
        <f aca="false">IF(C6="","",IFERROR(INDEX(Players!$C$5:$C$104,MATCH(C6,Players!$B$5:$B$104,0)),"ID not found"))</f>
        <v/>
      </c>
      <c r="E6" s="27"/>
      <c r="F6" s="27"/>
      <c r="G6" s="27"/>
      <c r="H6" s="27"/>
      <c r="I6" s="27"/>
      <c r="J6" s="27"/>
      <c r="K6" s="27"/>
      <c r="L6" s="27"/>
      <c r="M6" s="30" t="str">
        <f aca="false">IF(SUM(J6:K6)=0,"",J6/SUM(J6:K6))</f>
        <v/>
      </c>
      <c r="N6" s="27"/>
      <c r="O6" s="27"/>
    </row>
    <row r="7" customFormat="false" ht="15" hidden="false" customHeight="false" outlineLevel="0" collapsed="false">
      <c r="B7" s="26"/>
      <c r="C7" s="27"/>
      <c r="D7" s="28" t="str">
        <f aca="false">IF(C7="","",IFERROR(INDEX(Players!$C$5:$C$104,MATCH(C7,Players!$B$5:$B$104,0)),"ID not found"))</f>
        <v/>
      </c>
      <c r="E7" s="27"/>
      <c r="F7" s="27"/>
      <c r="G7" s="27"/>
      <c r="H7" s="27"/>
      <c r="I7" s="27"/>
      <c r="J7" s="27"/>
      <c r="K7" s="27"/>
      <c r="L7" s="27"/>
      <c r="M7" s="30" t="str">
        <f aca="false">IF(SUM(J7:K7)=0,"",J7/SUM(J7:K7))</f>
        <v/>
      </c>
      <c r="N7" s="27"/>
      <c r="O7" s="27"/>
    </row>
    <row r="8" customFormat="false" ht="15" hidden="false" customHeight="false" outlineLevel="0" collapsed="false">
      <c r="B8" s="26"/>
      <c r="C8" s="27"/>
      <c r="D8" s="28" t="str">
        <f aca="false">IF(C8="","",IFERROR(INDEX(Players!$C$5:$C$104,MATCH(C8,Players!$B$5:$B$104,0)),"ID not found"))</f>
        <v/>
      </c>
      <c r="E8" s="27"/>
      <c r="F8" s="27"/>
      <c r="G8" s="27"/>
      <c r="H8" s="27"/>
      <c r="I8" s="27"/>
      <c r="J8" s="27"/>
      <c r="K8" s="27"/>
      <c r="L8" s="27"/>
      <c r="M8" s="30" t="str">
        <f aca="false">IF(SUM(J8:K8)=0,"",J8/SUM(J8:K8))</f>
        <v/>
      </c>
      <c r="N8" s="27"/>
      <c r="O8" s="27"/>
    </row>
    <row r="9" customFormat="false" ht="15" hidden="false" customHeight="false" outlineLevel="0" collapsed="false">
      <c r="B9" s="26"/>
      <c r="C9" s="27"/>
      <c r="D9" s="28" t="str">
        <f aca="false">IF(C9="","",IFERROR(INDEX(Players!$C$5:$C$104,MATCH(C9,Players!$B$5:$B$104,0)),"ID not found"))</f>
        <v/>
      </c>
      <c r="E9" s="27"/>
      <c r="F9" s="27"/>
      <c r="G9" s="27"/>
      <c r="H9" s="27"/>
      <c r="I9" s="27"/>
      <c r="J9" s="27"/>
      <c r="K9" s="27"/>
      <c r="L9" s="27"/>
      <c r="M9" s="30" t="str">
        <f aca="false">IF(SUM(J9:K9)=0,"",J9/SUM(J9:K9))</f>
        <v/>
      </c>
      <c r="N9" s="27"/>
      <c r="O9" s="27"/>
    </row>
    <row r="10" customFormat="false" ht="15" hidden="false" customHeight="false" outlineLevel="0" collapsed="false">
      <c r="B10" s="26"/>
      <c r="C10" s="27"/>
      <c r="D10" s="28" t="str">
        <f aca="false">IF(C10="","",IFERROR(INDEX(Players!$C$5:$C$104,MATCH(C10,Players!$B$5:$B$104,0)),"ID not found"))</f>
        <v/>
      </c>
      <c r="E10" s="27"/>
      <c r="F10" s="27"/>
      <c r="G10" s="27"/>
      <c r="H10" s="27"/>
      <c r="I10" s="27"/>
      <c r="J10" s="27"/>
      <c r="K10" s="27"/>
      <c r="L10" s="27"/>
      <c r="M10" s="30" t="str">
        <f aca="false">IF(SUM(J10:K10)=0,"",J10/SUM(J10:K10))</f>
        <v/>
      </c>
      <c r="N10" s="27"/>
      <c r="O10" s="27"/>
    </row>
    <row r="11" customFormat="false" ht="15" hidden="false" customHeight="false" outlineLevel="0" collapsed="false">
      <c r="B11" s="26"/>
      <c r="C11" s="27"/>
      <c r="D11" s="28" t="str">
        <f aca="false">IF(C11="","",IFERROR(INDEX(Players!$C$5:$C$104,MATCH(C11,Players!$B$5:$B$104,0)),"ID not found"))</f>
        <v/>
      </c>
      <c r="E11" s="27"/>
      <c r="F11" s="27"/>
      <c r="G11" s="27"/>
      <c r="H11" s="27"/>
      <c r="I11" s="27"/>
      <c r="J11" s="27"/>
      <c r="K11" s="27"/>
      <c r="L11" s="27"/>
      <c r="M11" s="30" t="str">
        <f aca="false">IF(SUM(J11:K11)=0,"",J11/SUM(J11:K11))</f>
        <v/>
      </c>
      <c r="N11" s="27"/>
      <c r="O11" s="27"/>
    </row>
    <row r="12" customFormat="false" ht="15" hidden="false" customHeight="false" outlineLevel="0" collapsed="false">
      <c r="B12" s="26"/>
      <c r="C12" s="27"/>
      <c r="D12" s="28" t="str">
        <f aca="false">IF(C12="","",IFERROR(INDEX(Players!$C$5:$C$104,MATCH(C12,Players!$B$5:$B$104,0)),"ID not found"))</f>
        <v/>
      </c>
      <c r="E12" s="27"/>
      <c r="F12" s="27"/>
      <c r="G12" s="27"/>
      <c r="H12" s="27"/>
      <c r="I12" s="27"/>
      <c r="J12" s="27"/>
      <c r="K12" s="27"/>
      <c r="L12" s="27"/>
      <c r="M12" s="30" t="str">
        <f aca="false">IF(SUM(J12:K12)=0,"",J12/SUM(J12:K12))</f>
        <v/>
      </c>
      <c r="N12" s="27"/>
      <c r="O12" s="27"/>
    </row>
    <row r="13" customFormat="false" ht="15" hidden="false" customHeight="false" outlineLevel="0" collapsed="false">
      <c r="B13" s="26"/>
      <c r="C13" s="27"/>
      <c r="D13" s="28" t="str">
        <f aca="false">IF(C13="","",IFERROR(INDEX(Players!$C$5:$C$104,MATCH(C13,Players!$B$5:$B$104,0)),"ID not found"))</f>
        <v/>
      </c>
      <c r="E13" s="27"/>
      <c r="F13" s="27"/>
      <c r="G13" s="27"/>
      <c r="H13" s="27"/>
      <c r="I13" s="27"/>
      <c r="J13" s="27"/>
      <c r="K13" s="27"/>
      <c r="L13" s="27"/>
      <c r="M13" s="30" t="str">
        <f aca="false">IF(SUM(J13:K13)=0,"",J13/SUM(J13:K13))</f>
        <v/>
      </c>
      <c r="N13" s="27"/>
      <c r="O13" s="27"/>
    </row>
    <row r="14" customFormat="false" ht="15" hidden="false" customHeight="false" outlineLevel="0" collapsed="false">
      <c r="B14" s="26"/>
      <c r="C14" s="27"/>
      <c r="D14" s="28" t="str">
        <f aca="false">IF(C14="","",IFERROR(INDEX(Players!$C$5:$C$104,MATCH(C14,Players!$B$5:$B$104,0)),"ID not found"))</f>
        <v/>
      </c>
      <c r="E14" s="27"/>
      <c r="F14" s="27"/>
      <c r="G14" s="27"/>
      <c r="H14" s="27"/>
      <c r="I14" s="27"/>
      <c r="J14" s="27"/>
      <c r="K14" s="27"/>
      <c r="L14" s="27"/>
      <c r="M14" s="30" t="str">
        <f aca="false">IF(SUM(J14:K14)=0,"",J14/SUM(J14:K14))</f>
        <v/>
      </c>
      <c r="N14" s="27"/>
      <c r="O14" s="27"/>
    </row>
    <row r="15" customFormat="false" ht="15" hidden="false" customHeight="false" outlineLevel="0" collapsed="false">
      <c r="B15" s="26"/>
      <c r="C15" s="27"/>
      <c r="D15" s="28" t="str">
        <f aca="false">IF(C15="","",IFERROR(INDEX(Players!$C$5:$C$104,MATCH(C15,Players!$B$5:$B$104,0)),"ID not found"))</f>
        <v/>
      </c>
      <c r="E15" s="27"/>
      <c r="F15" s="27"/>
      <c r="G15" s="27"/>
      <c r="H15" s="27"/>
      <c r="I15" s="27"/>
      <c r="J15" s="27"/>
      <c r="K15" s="27"/>
      <c r="L15" s="27"/>
      <c r="M15" s="30" t="str">
        <f aca="false">IF(SUM(J15:K15)=0,"",J15/SUM(J15:K15))</f>
        <v/>
      </c>
      <c r="N15" s="27"/>
      <c r="O15" s="27"/>
    </row>
    <row r="16" customFormat="false" ht="15" hidden="false" customHeight="false" outlineLevel="0" collapsed="false">
      <c r="B16" s="26"/>
      <c r="C16" s="27"/>
      <c r="D16" s="28" t="str">
        <f aca="false">IF(C16="","",IFERROR(INDEX(Players!$C$5:$C$104,MATCH(C16,Players!$B$5:$B$104,0)),"ID not found"))</f>
        <v/>
      </c>
      <c r="E16" s="27"/>
      <c r="F16" s="27"/>
      <c r="G16" s="27"/>
      <c r="H16" s="27"/>
      <c r="I16" s="27"/>
      <c r="J16" s="27"/>
      <c r="K16" s="27"/>
      <c r="L16" s="27"/>
      <c r="M16" s="30" t="str">
        <f aca="false">IF(SUM(J16:K16)=0,"",J16/SUM(J16:K16))</f>
        <v/>
      </c>
      <c r="N16" s="27"/>
      <c r="O16" s="27"/>
    </row>
    <row r="17" customFormat="false" ht="15" hidden="false" customHeight="false" outlineLevel="0" collapsed="false">
      <c r="B17" s="26"/>
      <c r="C17" s="27"/>
      <c r="D17" s="28" t="str">
        <f aca="false">IF(C17="","",IFERROR(INDEX(Players!$C$5:$C$104,MATCH(C17,Players!$B$5:$B$104,0)),"ID not found"))</f>
        <v/>
      </c>
      <c r="E17" s="27"/>
      <c r="F17" s="27"/>
      <c r="G17" s="27"/>
      <c r="H17" s="27"/>
      <c r="I17" s="27"/>
      <c r="J17" s="27"/>
      <c r="K17" s="27"/>
      <c r="L17" s="27"/>
      <c r="M17" s="30" t="str">
        <f aca="false">IF(SUM(J17:K17)=0,"",J17/SUM(J17:K17))</f>
        <v/>
      </c>
      <c r="N17" s="27"/>
      <c r="O17" s="27"/>
    </row>
    <row r="18" customFormat="false" ht="15" hidden="false" customHeight="false" outlineLevel="0" collapsed="false">
      <c r="B18" s="26"/>
      <c r="C18" s="27"/>
      <c r="D18" s="28" t="str">
        <f aca="false">IF(C18="","",IFERROR(INDEX(Players!$C$5:$C$104,MATCH(C18,Players!$B$5:$B$104,0)),"ID not found"))</f>
        <v/>
      </c>
      <c r="E18" s="27"/>
      <c r="F18" s="27"/>
      <c r="G18" s="27"/>
      <c r="H18" s="27"/>
      <c r="I18" s="27"/>
      <c r="J18" s="27"/>
      <c r="K18" s="27"/>
      <c r="L18" s="27"/>
      <c r="M18" s="30" t="str">
        <f aca="false">IF(SUM(J18:K18)=0,"",J18/SUM(J18:K18))</f>
        <v/>
      </c>
      <c r="N18" s="27"/>
      <c r="O18" s="27"/>
    </row>
    <row r="19" customFormat="false" ht="15" hidden="false" customHeight="false" outlineLevel="0" collapsed="false">
      <c r="B19" s="26"/>
      <c r="C19" s="27"/>
      <c r="D19" s="28" t="str">
        <f aca="false">IF(C19="","",IFERROR(INDEX(Players!$C$5:$C$104,MATCH(C19,Players!$B$5:$B$104,0)),"ID not found"))</f>
        <v/>
      </c>
      <c r="E19" s="27"/>
      <c r="F19" s="27"/>
      <c r="G19" s="27"/>
      <c r="H19" s="27"/>
      <c r="I19" s="27"/>
      <c r="J19" s="27"/>
      <c r="K19" s="27"/>
      <c r="L19" s="27"/>
      <c r="M19" s="30" t="str">
        <f aca="false">IF(SUM(J19:K19)=0,"",J19/SUM(J19:K19))</f>
        <v/>
      </c>
      <c r="N19" s="27"/>
      <c r="O19" s="27"/>
    </row>
    <row r="20" customFormat="false" ht="15" hidden="false" customHeight="false" outlineLevel="0" collapsed="false">
      <c r="B20" s="26"/>
      <c r="C20" s="27"/>
      <c r="D20" s="28" t="str">
        <f aca="false">IF(C20="","",IFERROR(INDEX(Players!$C$5:$C$104,MATCH(C20,Players!$B$5:$B$104,0)),"ID not found"))</f>
        <v/>
      </c>
      <c r="E20" s="27"/>
      <c r="F20" s="27"/>
      <c r="G20" s="27"/>
      <c r="H20" s="27"/>
      <c r="I20" s="27"/>
      <c r="J20" s="27"/>
      <c r="K20" s="27"/>
      <c r="L20" s="27"/>
      <c r="M20" s="30" t="str">
        <f aca="false">IF(SUM(J20:K20)=0,"",J20/SUM(J20:K20))</f>
        <v/>
      </c>
      <c r="N20" s="27"/>
      <c r="O20" s="27"/>
    </row>
    <row r="21" customFormat="false" ht="15" hidden="false" customHeight="false" outlineLevel="0" collapsed="false">
      <c r="B21" s="26"/>
      <c r="C21" s="27"/>
      <c r="D21" s="28" t="str">
        <f aca="false">IF(C21="","",IFERROR(INDEX(Players!$C$5:$C$104,MATCH(C21,Players!$B$5:$B$104,0)),"ID not found"))</f>
        <v/>
      </c>
      <c r="E21" s="27"/>
      <c r="F21" s="27"/>
      <c r="G21" s="27"/>
      <c r="H21" s="27"/>
      <c r="I21" s="27"/>
      <c r="J21" s="27"/>
      <c r="K21" s="27"/>
      <c r="L21" s="27"/>
      <c r="M21" s="30" t="str">
        <f aca="false">IF(SUM(J21:K21)=0,"",J21/SUM(J21:K21))</f>
        <v/>
      </c>
      <c r="N21" s="27"/>
      <c r="O21" s="27"/>
    </row>
    <row r="22" customFormat="false" ht="15" hidden="false" customHeight="false" outlineLevel="0" collapsed="false">
      <c r="B22" s="26"/>
      <c r="C22" s="27"/>
      <c r="D22" s="28" t="str">
        <f aca="false">IF(C22="","",IFERROR(INDEX(Players!$C$5:$C$104,MATCH(C22,Players!$B$5:$B$104,0)),"ID not found"))</f>
        <v/>
      </c>
      <c r="E22" s="27"/>
      <c r="F22" s="27"/>
      <c r="G22" s="27"/>
      <c r="H22" s="27"/>
      <c r="I22" s="27"/>
      <c r="J22" s="27"/>
      <c r="K22" s="27"/>
      <c r="L22" s="27"/>
      <c r="M22" s="30" t="str">
        <f aca="false">IF(SUM(J22:K22)=0,"",J22/SUM(J22:K22))</f>
        <v/>
      </c>
      <c r="N22" s="27"/>
      <c r="O22" s="27"/>
    </row>
    <row r="23" customFormat="false" ht="15" hidden="false" customHeight="false" outlineLevel="0" collapsed="false">
      <c r="B23" s="26"/>
      <c r="C23" s="27"/>
      <c r="D23" s="28" t="str">
        <f aca="false">IF(C23="","",IFERROR(INDEX(Players!$C$5:$C$104,MATCH(C23,Players!$B$5:$B$104,0)),"ID not found"))</f>
        <v/>
      </c>
      <c r="E23" s="27"/>
      <c r="F23" s="27"/>
      <c r="G23" s="27"/>
      <c r="H23" s="27"/>
      <c r="I23" s="27"/>
      <c r="J23" s="27"/>
      <c r="K23" s="27"/>
      <c r="L23" s="27"/>
      <c r="M23" s="30" t="str">
        <f aca="false">IF(SUM(J23:K23)=0,"",J23/SUM(J23:K23))</f>
        <v/>
      </c>
      <c r="N23" s="27"/>
      <c r="O23" s="27"/>
    </row>
    <row r="24" customFormat="false" ht="15" hidden="false" customHeight="false" outlineLevel="0" collapsed="false">
      <c r="B24" s="26"/>
      <c r="C24" s="27"/>
      <c r="D24" s="28" t="str">
        <f aca="false">IF(C24="","",IFERROR(INDEX(Players!$C$5:$C$104,MATCH(C24,Players!$B$5:$B$104,0)),"ID not found"))</f>
        <v/>
      </c>
      <c r="E24" s="27"/>
      <c r="F24" s="27"/>
      <c r="G24" s="27"/>
      <c r="H24" s="27"/>
      <c r="I24" s="27"/>
      <c r="J24" s="27"/>
      <c r="K24" s="27"/>
      <c r="L24" s="27"/>
      <c r="M24" s="30" t="str">
        <f aca="false">IF(SUM(J24:K24)=0,"",J24/SUM(J24:K24))</f>
        <v/>
      </c>
      <c r="N24" s="27"/>
      <c r="O24" s="27"/>
    </row>
    <row r="25" customFormat="false" ht="15" hidden="false" customHeight="false" outlineLevel="0" collapsed="false">
      <c r="B25" s="26"/>
      <c r="C25" s="27"/>
      <c r="D25" s="28" t="str">
        <f aca="false">IF(C25="","",IFERROR(INDEX(Players!$C$5:$C$104,MATCH(C25,Players!$B$5:$B$104,0)),"ID not found"))</f>
        <v/>
      </c>
      <c r="E25" s="27"/>
      <c r="F25" s="27"/>
      <c r="G25" s="27"/>
      <c r="H25" s="27"/>
      <c r="I25" s="27"/>
      <c r="J25" s="27"/>
      <c r="K25" s="27"/>
      <c r="L25" s="27"/>
      <c r="M25" s="30" t="str">
        <f aca="false">IF(SUM(J25:K25)=0,"",J25/SUM(J25:K25))</f>
        <v/>
      </c>
      <c r="N25" s="27"/>
      <c r="O25" s="27"/>
    </row>
    <row r="26" customFormat="false" ht="15" hidden="false" customHeight="false" outlineLevel="0" collapsed="false">
      <c r="B26" s="26"/>
      <c r="C26" s="27"/>
      <c r="D26" s="28" t="str">
        <f aca="false">IF(C26="","",IFERROR(INDEX(Players!$C$5:$C$104,MATCH(C26,Players!$B$5:$B$104,0)),"ID not found"))</f>
        <v/>
      </c>
      <c r="E26" s="27"/>
      <c r="F26" s="27"/>
      <c r="G26" s="27"/>
      <c r="H26" s="27"/>
      <c r="I26" s="27"/>
      <c r="J26" s="27"/>
      <c r="K26" s="27"/>
      <c r="L26" s="27"/>
      <c r="M26" s="30" t="str">
        <f aca="false">IF(SUM(J26:K26)=0,"",J26/SUM(J26:K26))</f>
        <v/>
      </c>
      <c r="N26" s="27"/>
      <c r="O26" s="27"/>
    </row>
    <row r="27" customFormat="false" ht="15" hidden="false" customHeight="false" outlineLevel="0" collapsed="false">
      <c r="B27" s="26"/>
      <c r="C27" s="27"/>
      <c r="D27" s="28" t="str">
        <f aca="false">IF(C27="","",IFERROR(INDEX(Players!$C$5:$C$104,MATCH(C27,Players!$B$5:$B$104,0)),"ID not found"))</f>
        <v/>
      </c>
      <c r="E27" s="27"/>
      <c r="F27" s="27"/>
      <c r="G27" s="27"/>
      <c r="H27" s="27"/>
      <c r="I27" s="27"/>
      <c r="J27" s="27"/>
      <c r="K27" s="27"/>
      <c r="L27" s="27"/>
      <c r="M27" s="30" t="str">
        <f aca="false">IF(SUM(J27:K27)=0,"",J27/SUM(J27:K27))</f>
        <v/>
      </c>
      <c r="N27" s="27"/>
      <c r="O27" s="27"/>
    </row>
    <row r="28" customFormat="false" ht="15" hidden="false" customHeight="false" outlineLevel="0" collapsed="false">
      <c r="B28" s="26"/>
      <c r="C28" s="27"/>
      <c r="D28" s="28" t="str">
        <f aca="false">IF(C28="","",IFERROR(INDEX(Players!$C$5:$C$104,MATCH(C28,Players!$B$5:$B$104,0)),"ID not found"))</f>
        <v/>
      </c>
      <c r="E28" s="27"/>
      <c r="F28" s="27"/>
      <c r="G28" s="27"/>
      <c r="H28" s="27"/>
      <c r="I28" s="27"/>
      <c r="J28" s="27"/>
      <c r="K28" s="27"/>
      <c r="L28" s="27"/>
      <c r="M28" s="30" t="str">
        <f aca="false">IF(SUM(J28:K28)=0,"",J28/SUM(J28:K28))</f>
        <v/>
      </c>
      <c r="N28" s="27"/>
      <c r="O28" s="27"/>
    </row>
    <row r="29" customFormat="false" ht="15" hidden="false" customHeight="false" outlineLevel="0" collapsed="false">
      <c r="B29" s="26"/>
      <c r="C29" s="27"/>
      <c r="D29" s="28" t="str">
        <f aca="false">IF(C29="","",IFERROR(INDEX(Players!$C$5:$C$104,MATCH(C29,Players!$B$5:$B$104,0)),"ID not found"))</f>
        <v/>
      </c>
      <c r="E29" s="27"/>
      <c r="F29" s="27"/>
      <c r="G29" s="27"/>
      <c r="H29" s="27"/>
      <c r="I29" s="27"/>
      <c r="J29" s="27"/>
      <c r="K29" s="27"/>
      <c r="L29" s="27"/>
      <c r="M29" s="30" t="str">
        <f aca="false">IF(SUM(J29:K29)=0,"",J29/SUM(J29:K29))</f>
        <v/>
      </c>
      <c r="N29" s="27"/>
      <c r="O29" s="27"/>
    </row>
    <row r="30" customFormat="false" ht="15" hidden="false" customHeight="false" outlineLevel="0" collapsed="false">
      <c r="B30" s="26"/>
      <c r="C30" s="27"/>
      <c r="D30" s="28" t="str">
        <f aca="false">IF(C30="","",IFERROR(INDEX(Players!$C$5:$C$104,MATCH(C30,Players!$B$5:$B$104,0)),"ID not found"))</f>
        <v/>
      </c>
      <c r="E30" s="27"/>
      <c r="F30" s="27"/>
      <c r="G30" s="27"/>
      <c r="H30" s="27"/>
      <c r="I30" s="27"/>
      <c r="J30" s="27"/>
      <c r="K30" s="27"/>
      <c r="L30" s="27"/>
      <c r="M30" s="30" t="str">
        <f aca="false">IF(SUM(J30:K30)=0,"",J30/SUM(J30:K30))</f>
        <v/>
      </c>
      <c r="N30" s="27"/>
      <c r="O30" s="27"/>
    </row>
    <row r="31" customFormat="false" ht="15" hidden="false" customHeight="false" outlineLevel="0" collapsed="false">
      <c r="B31" s="26"/>
      <c r="C31" s="27"/>
      <c r="D31" s="28" t="str">
        <f aca="false">IF(C31="","",IFERROR(INDEX(Players!$C$5:$C$104,MATCH(C31,Players!$B$5:$B$104,0)),"ID not found"))</f>
        <v/>
      </c>
      <c r="E31" s="27"/>
      <c r="F31" s="27"/>
      <c r="G31" s="27"/>
      <c r="H31" s="27"/>
      <c r="I31" s="27"/>
      <c r="J31" s="27"/>
      <c r="K31" s="27"/>
      <c r="L31" s="27"/>
      <c r="M31" s="30" t="str">
        <f aca="false">IF(SUM(J31:K31)=0,"",J31/SUM(J31:K31))</f>
        <v/>
      </c>
      <c r="N31" s="27"/>
      <c r="O31" s="27"/>
    </row>
    <row r="32" customFormat="false" ht="15" hidden="false" customHeight="false" outlineLevel="0" collapsed="false">
      <c r="B32" s="26"/>
      <c r="C32" s="27"/>
      <c r="D32" s="28" t="str">
        <f aca="false">IF(C32="","",IFERROR(INDEX(Players!$C$5:$C$104,MATCH(C32,Players!$B$5:$B$104,0)),"ID not found"))</f>
        <v/>
      </c>
      <c r="E32" s="27"/>
      <c r="F32" s="27"/>
      <c r="G32" s="27"/>
      <c r="H32" s="27"/>
      <c r="I32" s="27"/>
      <c r="J32" s="27"/>
      <c r="K32" s="27"/>
      <c r="L32" s="27"/>
      <c r="M32" s="30" t="str">
        <f aca="false">IF(SUM(J32:K32)=0,"",J32/SUM(J32:K32))</f>
        <v/>
      </c>
      <c r="N32" s="27"/>
      <c r="O32" s="27"/>
    </row>
    <row r="33" customFormat="false" ht="15" hidden="false" customHeight="false" outlineLevel="0" collapsed="false">
      <c r="B33" s="26"/>
      <c r="C33" s="27"/>
      <c r="D33" s="28" t="str">
        <f aca="false">IF(C33="","",IFERROR(INDEX(Players!$C$5:$C$104,MATCH(C33,Players!$B$5:$B$104,0)),"ID not found"))</f>
        <v/>
      </c>
      <c r="E33" s="27"/>
      <c r="F33" s="27"/>
      <c r="G33" s="27"/>
      <c r="H33" s="27"/>
      <c r="I33" s="27"/>
      <c r="J33" s="27"/>
      <c r="K33" s="27"/>
      <c r="L33" s="27"/>
      <c r="M33" s="30" t="str">
        <f aca="false">IF(SUM(J33:K33)=0,"",J33/SUM(J33:K33))</f>
        <v/>
      </c>
      <c r="N33" s="27"/>
      <c r="O33" s="27"/>
    </row>
    <row r="34" customFormat="false" ht="15" hidden="false" customHeight="false" outlineLevel="0" collapsed="false">
      <c r="B34" s="26"/>
      <c r="C34" s="27"/>
      <c r="D34" s="28" t="str">
        <f aca="false">IF(C34="","",IFERROR(INDEX(Players!$C$5:$C$104,MATCH(C34,Players!$B$5:$B$104,0)),"ID not found"))</f>
        <v/>
      </c>
      <c r="E34" s="27"/>
      <c r="F34" s="27"/>
      <c r="G34" s="27"/>
      <c r="H34" s="27"/>
      <c r="I34" s="27"/>
      <c r="J34" s="27"/>
      <c r="K34" s="27"/>
      <c r="L34" s="27"/>
      <c r="M34" s="30" t="str">
        <f aca="false">IF(SUM(J34:K34)=0,"",J34/SUM(J34:K34))</f>
        <v/>
      </c>
      <c r="N34" s="27"/>
      <c r="O34" s="27"/>
    </row>
    <row r="35" customFormat="false" ht="15" hidden="false" customHeight="false" outlineLevel="0" collapsed="false">
      <c r="B35" s="26"/>
      <c r="C35" s="27"/>
      <c r="D35" s="28" t="str">
        <f aca="false">IF(C35="","",IFERROR(INDEX(Players!$C$5:$C$104,MATCH(C35,Players!$B$5:$B$104,0)),"ID not found"))</f>
        <v/>
      </c>
      <c r="E35" s="27"/>
      <c r="F35" s="27"/>
      <c r="G35" s="27"/>
      <c r="H35" s="27"/>
      <c r="I35" s="27"/>
      <c r="J35" s="27"/>
      <c r="K35" s="27"/>
      <c r="L35" s="27"/>
      <c r="M35" s="30" t="str">
        <f aca="false">IF(SUM(J35:K35)=0,"",J35/SUM(J35:K35))</f>
        <v/>
      </c>
      <c r="N35" s="27"/>
      <c r="O35" s="27"/>
    </row>
    <row r="36" customFormat="false" ht="15" hidden="false" customHeight="false" outlineLevel="0" collapsed="false">
      <c r="B36" s="26"/>
      <c r="C36" s="27"/>
      <c r="D36" s="28" t="str">
        <f aca="false">IF(C36="","",IFERROR(INDEX(Players!$C$5:$C$104,MATCH(C36,Players!$B$5:$B$104,0)),"ID not found"))</f>
        <v/>
      </c>
      <c r="E36" s="27"/>
      <c r="F36" s="27"/>
      <c r="G36" s="27"/>
      <c r="H36" s="27"/>
      <c r="I36" s="27"/>
      <c r="J36" s="27"/>
      <c r="K36" s="27"/>
      <c r="L36" s="27"/>
      <c r="M36" s="30" t="str">
        <f aca="false">IF(SUM(J36:K36)=0,"",J36/SUM(J36:K36))</f>
        <v/>
      </c>
      <c r="N36" s="27"/>
      <c r="O36" s="27"/>
    </row>
    <row r="37" customFormat="false" ht="15" hidden="false" customHeight="false" outlineLevel="0" collapsed="false">
      <c r="B37" s="26"/>
      <c r="C37" s="27"/>
      <c r="D37" s="28" t="str">
        <f aca="false">IF(C37="","",IFERROR(INDEX(Players!$C$5:$C$104,MATCH(C37,Players!$B$5:$B$104,0)),"ID not found"))</f>
        <v/>
      </c>
      <c r="E37" s="27"/>
      <c r="F37" s="27"/>
      <c r="G37" s="27"/>
      <c r="H37" s="27"/>
      <c r="I37" s="27"/>
      <c r="J37" s="27"/>
      <c r="K37" s="27"/>
      <c r="L37" s="27"/>
      <c r="M37" s="30" t="str">
        <f aca="false">IF(SUM(J37:K37)=0,"",J37/SUM(J37:K37))</f>
        <v/>
      </c>
      <c r="N37" s="27"/>
      <c r="O37" s="27"/>
    </row>
    <row r="38" customFormat="false" ht="15" hidden="false" customHeight="false" outlineLevel="0" collapsed="false">
      <c r="B38" s="26"/>
      <c r="C38" s="27"/>
      <c r="D38" s="28" t="str">
        <f aca="false">IF(C38="","",IFERROR(INDEX(Players!$C$5:$C$104,MATCH(C38,Players!$B$5:$B$104,0)),"ID not found"))</f>
        <v/>
      </c>
      <c r="E38" s="27"/>
      <c r="F38" s="27"/>
      <c r="G38" s="27"/>
      <c r="H38" s="27"/>
      <c r="I38" s="27"/>
      <c r="J38" s="27"/>
      <c r="K38" s="27"/>
      <c r="L38" s="27"/>
      <c r="M38" s="30" t="str">
        <f aca="false">IF(SUM(J38:K38)=0,"",J38/SUM(J38:K38))</f>
        <v/>
      </c>
      <c r="N38" s="27"/>
      <c r="O38" s="27"/>
    </row>
    <row r="39" customFormat="false" ht="15" hidden="false" customHeight="false" outlineLevel="0" collapsed="false">
      <c r="B39" s="26"/>
      <c r="C39" s="27"/>
      <c r="D39" s="28" t="str">
        <f aca="false">IF(C39="","",IFERROR(INDEX(Players!$C$5:$C$104,MATCH(C39,Players!$B$5:$B$104,0)),"ID not found"))</f>
        <v/>
      </c>
      <c r="E39" s="27"/>
      <c r="F39" s="27"/>
      <c r="G39" s="27"/>
      <c r="H39" s="27"/>
      <c r="I39" s="27"/>
      <c r="J39" s="27"/>
      <c r="K39" s="27"/>
      <c r="L39" s="27"/>
      <c r="M39" s="30" t="str">
        <f aca="false">IF(SUM(J39:K39)=0,"",J39/SUM(J39:K39))</f>
        <v/>
      </c>
      <c r="N39" s="27"/>
      <c r="O39" s="27"/>
    </row>
    <row r="40" customFormat="false" ht="15" hidden="false" customHeight="false" outlineLevel="0" collapsed="false">
      <c r="B40" s="26"/>
      <c r="C40" s="27"/>
      <c r="D40" s="28" t="str">
        <f aca="false">IF(C40="","",IFERROR(INDEX(Players!$C$5:$C$104,MATCH(C40,Players!$B$5:$B$104,0)),"ID not found"))</f>
        <v/>
      </c>
      <c r="E40" s="27"/>
      <c r="F40" s="27"/>
      <c r="G40" s="27"/>
      <c r="H40" s="27"/>
      <c r="I40" s="27"/>
      <c r="J40" s="27"/>
      <c r="K40" s="27"/>
      <c r="L40" s="27"/>
      <c r="M40" s="30" t="str">
        <f aca="false">IF(SUM(J40:K40)=0,"",J40/SUM(J40:K40))</f>
        <v/>
      </c>
      <c r="N40" s="27"/>
      <c r="O40" s="27"/>
    </row>
    <row r="41" customFormat="false" ht="15" hidden="false" customHeight="false" outlineLevel="0" collapsed="false">
      <c r="B41" s="26"/>
      <c r="C41" s="27"/>
      <c r="D41" s="28" t="str">
        <f aca="false">IF(C41="","",IFERROR(INDEX(Players!$C$5:$C$104,MATCH(C41,Players!$B$5:$B$104,0)),"ID not found"))</f>
        <v/>
      </c>
      <c r="E41" s="27"/>
      <c r="F41" s="27"/>
      <c r="G41" s="27"/>
      <c r="H41" s="27"/>
      <c r="I41" s="27"/>
      <c r="J41" s="27"/>
      <c r="K41" s="27"/>
      <c r="L41" s="27"/>
      <c r="M41" s="30" t="str">
        <f aca="false">IF(SUM(J41:K41)=0,"",J41/SUM(J41:K41))</f>
        <v/>
      </c>
      <c r="N41" s="27"/>
      <c r="O41" s="27"/>
    </row>
    <row r="42" customFormat="false" ht="15" hidden="false" customHeight="false" outlineLevel="0" collapsed="false">
      <c r="B42" s="26"/>
      <c r="C42" s="27"/>
      <c r="D42" s="28" t="str">
        <f aca="false">IF(C42="","",IFERROR(INDEX(Players!$C$5:$C$104,MATCH(C42,Players!$B$5:$B$104,0)),"ID not found"))</f>
        <v/>
      </c>
      <c r="E42" s="27"/>
      <c r="F42" s="27"/>
      <c r="G42" s="27"/>
      <c r="H42" s="27"/>
      <c r="I42" s="27"/>
      <c r="J42" s="27"/>
      <c r="K42" s="27"/>
      <c r="L42" s="27"/>
      <c r="M42" s="30" t="str">
        <f aca="false">IF(SUM(J42:K42)=0,"",J42/SUM(J42:K42))</f>
        <v/>
      </c>
      <c r="N42" s="27"/>
      <c r="O42" s="27"/>
    </row>
    <row r="43" customFormat="false" ht="15" hidden="false" customHeight="false" outlineLevel="0" collapsed="false">
      <c r="B43" s="26"/>
      <c r="C43" s="27"/>
      <c r="D43" s="28" t="str">
        <f aca="false">IF(C43="","",IFERROR(INDEX(Players!$C$5:$C$104,MATCH(C43,Players!$B$5:$B$104,0)),"ID not found"))</f>
        <v/>
      </c>
      <c r="E43" s="27"/>
      <c r="F43" s="27"/>
      <c r="G43" s="27"/>
      <c r="H43" s="27"/>
      <c r="I43" s="27"/>
      <c r="J43" s="27"/>
      <c r="K43" s="27"/>
      <c r="L43" s="27"/>
      <c r="M43" s="30" t="str">
        <f aca="false">IF(SUM(J43:K43)=0,"",J43/SUM(J43:K43))</f>
        <v/>
      </c>
      <c r="N43" s="27"/>
      <c r="O43" s="27"/>
    </row>
    <row r="44" customFormat="false" ht="15" hidden="false" customHeight="false" outlineLevel="0" collapsed="false">
      <c r="B44" s="26"/>
      <c r="C44" s="27"/>
      <c r="D44" s="28" t="str">
        <f aca="false">IF(C44="","",IFERROR(INDEX(Players!$C$5:$C$104,MATCH(C44,Players!$B$5:$B$104,0)),"ID not found"))</f>
        <v/>
      </c>
      <c r="E44" s="27"/>
      <c r="F44" s="27"/>
      <c r="G44" s="27"/>
      <c r="H44" s="27"/>
      <c r="I44" s="27"/>
      <c r="J44" s="27"/>
      <c r="K44" s="27"/>
      <c r="L44" s="27"/>
      <c r="M44" s="30" t="str">
        <f aca="false">IF(SUM(J44:K44)=0,"",J44/SUM(J44:K44))</f>
        <v/>
      </c>
      <c r="N44" s="27"/>
      <c r="O44" s="27"/>
    </row>
    <row r="45" customFormat="false" ht="15" hidden="false" customHeight="false" outlineLevel="0" collapsed="false">
      <c r="B45" s="26"/>
      <c r="C45" s="27"/>
      <c r="D45" s="28" t="str">
        <f aca="false">IF(C45="","",IFERROR(INDEX(Players!$C$5:$C$104,MATCH(C45,Players!$B$5:$B$104,0)),"ID not found"))</f>
        <v/>
      </c>
      <c r="E45" s="27"/>
      <c r="F45" s="27"/>
      <c r="G45" s="27"/>
      <c r="H45" s="27"/>
      <c r="I45" s="27"/>
      <c r="J45" s="27"/>
      <c r="K45" s="27"/>
      <c r="L45" s="27"/>
      <c r="M45" s="30" t="str">
        <f aca="false">IF(SUM(J45:K45)=0,"",J45/SUM(J45:K45))</f>
        <v/>
      </c>
      <c r="N45" s="27"/>
      <c r="O45" s="27"/>
    </row>
    <row r="46" customFormat="false" ht="15" hidden="false" customHeight="false" outlineLevel="0" collapsed="false">
      <c r="B46" s="26"/>
      <c r="C46" s="27"/>
      <c r="D46" s="28" t="str">
        <f aca="false">IF(C46="","",IFERROR(INDEX(Players!$C$5:$C$104,MATCH(C46,Players!$B$5:$B$104,0)),"ID not found"))</f>
        <v/>
      </c>
      <c r="E46" s="27"/>
      <c r="F46" s="27"/>
      <c r="G46" s="27"/>
      <c r="H46" s="27"/>
      <c r="I46" s="27"/>
      <c r="J46" s="27"/>
      <c r="K46" s="27"/>
      <c r="L46" s="27"/>
      <c r="M46" s="30" t="str">
        <f aca="false">IF(SUM(J46:K46)=0,"",J46/SUM(J46:K46))</f>
        <v/>
      </c>
      <c r="N46" s="27"/>
      <c r="O46" s="27"/>
    </row>
    <row r="47" customFormat="false" ht="15" hidden="false" customHeight="false" outlineLevel="0" collapsed="false">
      <c r="B47" s="26"/>
      <c r="C47" s="27"/>
      <c r="D47" s="28" t="str">
        <f aca="false">IF(C47="","",IFERROR(INDEX(Players!$C$5:$C$104,MATCH(C47,Players!$B$5:$B$104,0)),"ID not found"))</f>
        <v/>
      </c>
      <c r="E47" s="27"/>
      <c r="F47" s="27"/>
      <c r="G47" s="27"/>
      <c r="H47" s="27"/>
      <c r="I47" s="27"/>
      <c r="J47" s="27"/>
      <c r="K47" s="27"/>
      <c r="L47" s="27"/>
      <c r="M47" s="30" t="str">
        <f aca="false">IF(SUM(J47:K47)=0,"",J47/SUM(J47:K47))</f>
        <v/>
      </c>
      <c r="N47" s="27"/>
      <c r="O47" s="27"/>
    </row>
    <row r="48" customFormat="false" ht="15" hidden="false" customHeight="false" outlineLevel="0" collapsed="false">
      <c r="B48" s="26"/>
      <c r="C48" s="27"/>
      <c r="D48" s="28" t="str">
        <f aca="false">IF(C48="","",IFERROR(INDEX(Players!$C$5:$C$104,MATCH(C48,Players!$B$5:$B$104,0)),"ID not found"))</f>
        <v/>
      </c>
      <c r="E48" s="27"/>
      <c r="F48" s="27"/>
      <c r="G48" s="27"/>
      <c r="H48" s="27"/>
      <c r="I48" s="27"/>
      <c r="J48" s="27"/>
      <c r="K48" s="27"/>
      <c r="L48" s="27"/>
      <c r="M48" s="30" t="str">
        <f aca="false">IF(SUM(J48:K48)=0,"",J48/SUM(J48:K48))</f>
        <v/>
      </c>
      <c r="N48" s="27"/>
      <c r="O48" s="27"/>
    </row>
    <row r="49" customFormat="false" ht="15" hidden="false" customHeight="false" outlineLevel="0" collapsed="false">
      <c r="B49" s="26"/>
      <c r="C49" s="27"/>
      <c r="D49" s="28" t="str">
        <f aca="false">IF(C49="","",IFERROR(INDEX(Players!$C$5:$C$104,MATCH(C49,Players!$B$5:$B$104,0)),"ID not found"))</f>
        <v/>
      </c>
      <c r="E49" s="27"/>
      <c r="F49" s="27"/>
      <c r="G49" s="27"/>
      <c r="H49" s="27"/>
      <c r="I49" s="27"/>
      <c r="J49" s="27"/>
      <c r="K49" s="27"/>
      <c r="L49" s="27"/>
      <c r="M49" s="30" t="str">
        <f aca="false">IF(SUM(J49:K49)=0,"",J49/SUM(J49:K49))</f>
        <v/>
      </c>
      <c r="N49" s="27"/>
      <c r="O49" s="27"/>
    </row>
    <row r="50" customFormat="false" ht="15" hidden="false" customHeight="false" outlineLevel="0" collapsed="false">
      <c r="B50" s="26"/>
      <c r="C50" s="27"/>
      <c r="D50" s="28" t="str">
        <f aca="false">IF(C50="","",IFERROR(INDEX(Players!$C$5:$C$104,MATCH(C50,Players!$B$5:$B$104,0)),"ID not found"))</f>
        <v/>
      </c>
      <c r="E50" s="27"/>
      <c r="F50" s="27"/>
      <c r="G50" s="27"/>
      <c r="H50" s="27"/>
      <c r="I50" s="27"/>
      <c r="J50" s="27"/>
      <c r="K50" s="27"/>
      <c r="L50" s="27"/>
      <c r="M50" s="30" t="str">
        <f aca="false">IF(SUM(J50:K50)=0,"",J50/SUM(J50:K50))</f>
        <v/>
      </c>
      <c r="N50" s="27"/>
      <c r="O50" s="27"/>
    </row>
    <row r="51" customFormat="false" ht="15" hidden="false" customHeight="false" outlineLevel="0" collapsed="false">
      <c r="B51" s="26"/>
      <c r="C51" s="27"/>
      <c r="D51" s="28" t="str">
        <f aca="false">IF(C51="","",IFERROR(INDEX(Players!$C$5:$C$104,MATCH(C51,Players!$B$5:$B$104,0)),"ID not found"))</f>
        <v/>
      </c>
      <c r="E51" s="27"/>
      <c r="F51" s="27"/>
      <c r="G51" s="27"/>
      <c r="H51" s="27"/>
      <c r="I51" s="27"/>
      <c r="J51" s="27"/>
      <c r="K51" s="27"/>
      <c r="L51" s="27"/>
      <c r="M51" s="30" t="str">
        <f aca="false">IF(SUM(J51:K51)=0,"",J51/SUM(J51:K51))</f>
        <v/>
      </c>
      <c r="N51" s="27"/>
      <c r="O51" s="27"/>
    </row>
    <row r="52" customFormat="false" ht="15" hidden="false" customHeight="false" outlineLevel="0" collapsed="false">
      <c r="B52" s="26"/>
      <c r="C52" s="27"/>
      <c r="D52" s="28" t="str">
        <f aca="false">IF(C52="","",IFERROR(INDEX(Players!$C$5:$C$104,MATCH(C52,Players!$B$5:$B$104,0)),"ID not found"))</f>
        <v/>
      </c>
      <c r="E52" s="27"/>
      <c r="F52" s="27"/>
      <c r="G52" s="27"/>
      <c r="H52" s="27"/>
      <c r="I52" s="27"/>
      <c r="J52" s="27"/>
      <c r="K52" s="27"/>
      <c r="L52" s="27"/>
      <c r="M52" s="30" t="str">
        <f aca="false">IF(SUM(J52:K52)=0,"",J52/SUM(J52:K52))</f>
        <v/>
      </c>
      <c r="N52" s="27"/>
      <c r="O52" s="27"/>
    </row>
    <row r="53" customFormat="false" ht="15" hidden="false" customHeight="false" outlineLevel="0" collapsed="false">
      <c r="B53" s="26"/>
      <c r="C53" s="27"/>
      <c r="D53" s="28" t="str">
        <f aca="false">IF(C53="","",IFERROR(INDEX(Players!$C$5:$C$104,MATCH(C53,Players!$B$5:$B$104,0)),"ID not found"))</f>
        <v/>
      </c>
      <c r="E53" s="27"/>
      <c r="F53" s="27"/>
      <c r="G53" s="27"/>
      <c r="H53" s="27"/>
      <c r="I53" s="27"/>
      <c r="J53" s="27"/>
      <c r="K53" s="27"/>
      <c r="L53" s="27"/>
      <c r="M53" s="30" t="str">
        <f aca="false">IF(SUM(J53:K53)=0,"",J53/SUM(J53:K53))</f>
        <v/>
      </c>
      <c r="N53" s="27"/>
      <c r="O53" s="27"/>
    </row>
    <row r="54" customFormat="false" ht="15" hidden="false" customHeight="false" outlineLevel="0" collapsed="false">
      <c r="B54" s="26"/>
      <c r="C54" s="27"/>
      <c r="D54" s="28" t="str">
        <f aca="false">IF(C54="","",IFERROR(INDEX(Players!$C$5:$C$104,MATCH(C54,Players!$B$5:$B$104,0)),"ID not found"))</f>
        <v/>
      </c>
      <c r="E54" s="27"/>
      <c r="F54" s="27"/>
      <c r="G54" s="27"/>
      <c r="H54" s="27"/>
      <c r="I54" s="27"/>
      <c r="J54" s="27"/>
      <c r="K54" s="27"/>
      <c r="L54" s="27"/>
      <c r="M54" s="30" t="str">
        <f aca="false">IF(SUM(J54:K54)=0,"",J54/SUM(J54:K54))</f>
        <v/>
      </c>
      <c r="N54" s="27"/>
      <c r="O54" s="27"/>
    </row>
    <row r="55" customFormat="false" ht="15" hidden="false" customHeight="false" outlineLevel="0" collapsed="false">
      <c r="B55" s="26"/>
      <c r="C55" s="27"/>
      <c r="D55" s="28" t="str">
        <f aca="false">IF(C55="","",IFERROR(INDEX(Players!$C$5:$C$104,MATCH(C55,Players!$B$5:$B$104,0)),"ID not found"))</f>
        <v/>
      </c>
      <c r="E55" s="27"/>
      <c r="F55" s="27"/>
      <c r="G55" s="27"/>
      <c r="H55" s="27"/>
      <c r="I55" s="27"/>
      <c r="J55" s="27"/>
      <c r="K55" s="27"/>
      <c r="L55" s="27"/>
      <c r="M55" s="30" t="str">
        <f aca="false">IF(SUM(J55:K55)=0,"",J55/SUM(J55:K55))</f>
        <v/>
      </c>
      <c r="N55" s="27"/>
      <c r="O55" s="27"/>
    </row>
    <row r="56" customFormat="false" ht="15" hidden="false" customHeight="false" outlineLevel="0" collapsed="false">
      <c r="B56" s="26"/>
      <c r="C56" s="27"/>
      <c r="D56" s="28" t="str">
        <f aca="false">IF(C56="","",IFERROR(INDEX(Players!$C$5:$C$104,MATCH(C56,Players!$B$5:$B$104,0)),"ID not found"))</f>
        <v/>
      </c>
      <c r="E56" s="27"/>
      <c r="F56" s="27"/>
      <c r="G56" s="27"/>
      <c r="H56" s="27"/>
      <c r="I56" s="27"/>
      <c r="J56" s="27"/>
      <c r="K56" s="27"/>
      <c r="L56" s="27"/>
      <c r="M56" s="30" t="str">
        <f aca="false">IF(SUM(J56:K56)=0,"",J56/SUM(J56:K56))</f>
        <v/>
      </c>
      <c r="N56" s="27"/>
      <c r="O56" s="27"/>
    </row>
    <row r="57" customFormat="false" ht="15" hidden="false" customHeight="false" outlineLevel="0" collapsed="false">
      <c r="B57" s="26"/>
      <c r="C57" s="27"/>
      <c r="D57" s="28" t="str">
        <f aca="false">IF(C57="","",IFERROR(INDEX(Players!$C$5:$C$104,MATCH(C57,Players!$B$5:$B$104,0)),"ID not found"))</f>
        <v/>
      </c>
      <c r="E57" s="27"/>
      <c r="F57" s="27"/>
      <c r="G57" s="27"/>
      <c r="H57" s="27"/>
      <c r="I57" s="27"/>
      <c r="J57" s="27"/>
      <c r="K57" s="27"/>
      <c r="L57" s="27"/>
      <c r="M57" s="30" t="str">
        <f aca="false">IF(SUM(J57:K57)=0,"",J57/SUM(J57:K57))</f>
        <v/>
      </c>
      <c r="N57" s="27"/>
      <c r="O57" s="27"/>
    </row>
    <row r="58" customFormat="false" ht="15" hidden="false" customHeight="false" outlineLevel="0" collapsed="false">
      <c r="B58" s="26"/>
      <c r="C58" s="27"/>
      <c r="D58" s="28" t="str">
        <f aca="false">IF(C58="","",IFERROR(INDEX(Players!$C$5:$C$104,MATCH(C58,Players!$B$5:$B$104,0)),"ID not found"))</f>
        <v/>
      </c>
      <c r="E58" s="27"/>
      <c r="F58" s="27"/>
      <c r="G58" s="27"/>
      <c r="H58" s="27"/>
      <c r="I58" s="27"/>
      <c r="J58" s="27"/>
      <c r="K58" s="27"/>
      <c r="L58" s="27"/>
      <c r="M58" s="30" t="str">
        <f aca="false">IF(SUM(J58:K58)=0,"",J58/SUM(J58:K58))</f>
        <v/>
      </c>
      <c r="N58" s="27"/>
      <c r="O58" s="27"/>
    </row>
    <row r="59" customFormat="false" ht="15" hidden="false" customHeight="false" outlineLevel="0" collapsed="false">
      <c r="B59" s="26"/>
      <c r="C59" s="27"/>
      <c r="D59" s="28" t="str">
        <f aca="false">IF(C59="","",IFERROR(INDEX(Players!$C$5:$C$104,MATCH(C59,Players!$B$5:$B$104,0)),"ID not found"))</f>
        <v/>
      </c>
      <c r="E59" s="27"/>
      <c r="F59" s="27"/>
      <c r="G59" s="27"/>
      <c r="H59" s="27"/>
      <c r="I59" s="27"/>
      <c r="J59" s="27"/>
      <c r="K59" s="27"/>
      <c r="L59" s="27"/>
      <c r="M59" s="30" t="str">
        <f aca="false">IF(SUM(J59:K59)=0,"",J59/SUM(J59:K59))</f>
        <v/>
      </c>
      <c r="N59" s="27"/>
      <c r="O59" s="27"/>
    </row>
    <row r="60" customFormat="false" ht="15" hidden="false" customHeight="false" outlineLevel="0" collapsed="false">
      <c r="B60" s="26"/>
      <c r="C60" s="27"/>
      <c r="D60" s="28" t="str">
        <f aca="false">IF(C60="","",IFERROR(INDEX(Players!$C$5:$C$104,MATCH(C60,Players!$B$5:$B$104,0)),"ID not found"))</f>
        <v/>
      </c>
      <c r="E60" s="27"/>
      <c r="F60" s="27"/>
      <c r="G60" s="27"/>
      <c r="H60" s="27"/>
      <c r="I60" s="27"/>
      <c r="J60" s="27"/>
      <c r="K60" s="27"/>
      <c r="L60" s="27"/>
      <c r="M60" s="30" t="str">
        <f aca="false">IF(SUM(J60:K60)=0,"",J60/SUM(J60:K60))</f>
        <v/>
      </c>
      <c r="N60" s="27"/>
      <c r="O60" s="27"/>
    </row>
    <row r="61" customFormat="false" ht="15" hidden="false" customHeight="false" outlineLevel="0" collapsed="false">
      <c r="B61" s="26"/>
      <c r="C61" s="27"/>
      <c r="D61" s="28" t="str">
        <f aca="false">IF(C61="","",IFERROR(INDEX(Players!$C$5:$C$104,MATCH(C61,Players!$B$5:$B$104,0)),"ID not found"))</f>
        <v/>
      </c>
      <c r="E61" s="27"/>
      <c r="F61" s="27"/>
      <c r="G61" s="27"/>
      <c r="H61" s="27"/>
      <c r="I61" s="27"/>
      <c r="J61" s="27"/>
      <c r="K61" s="27"/>
      <c r="L61" s="27"/>
      <c r="M61" s="30" t="str">
        <f aca="false">IF(SUM(J61:K61)=0,"",J61/SUM(J61:K61))</f>
        <v/>
      </c>
      <c r="N61" s="27"/>
      <c r="O61" s="27"/>
    </row>
    <row r="62" customFormat="false" ht="15" hidden="false" customHeight="false" outlineLevel="0" collapsed="false">
      <c r="B62" s="26"/>
      <c r="C62" s="27"/>
      <c r="D62" s="28" t="str">
        <f aca="false">IF(C62="","",IFERROR(INDEX(Players!$C$5:$C$104,MATCH(C62,Players!$B$5:$B$104,0)),"ID not found"))</f>
        <v/>
      </c>
      <c r="E62" s="27"/>
      <c r="F62" s="27"/>
      <c r="G62" s="27"/>
      <c r="H62" s="27"/>
      <c r="I62" s="27"/>
      <c r="J62" s="27"/>
      <c r="K62" s="27"/>
      <c r="L62" s="27"/>
      <c r="M62" s="30" t="str">
        <f aca="false">IF(SUM(J62:K62)=0,"",J62/SUM(J62:K62))</f>
        <v/>
      </c>
      <c r="N62" s="27"/>
      <c r="O62" s="27"/>
    </row>
    <row r="63" customFormat="false" ht="15" hidden="false" customHeight="false" outlineLevel="0" collapsed="false">
      <c r="B63" s="26"/>
      <c r="C63" s="27"/>
      <c r="D63" s="28" t="str">
        <f aca="false">IF(C63="","",IFERROR(INDEX(Players!$C$5:$C$104,MATCH(C63,Players!$B$5:$B$104,0)),"ID not found"))</f>
        <v/>
      </c>
      <c r="E63" s="27"/>
      <c r="F63" s="27"/>
      <c r="G63" s="27"/>
      <c r="H63" s="27"/>
      <c r="I63" s="27"/>
      <c r="J63" s="27"/>
      <c r="K63" s="27"/>
      <c r="L63" s="27"/>
      <c r="M63" s="30" t="str">
        <f aca="false">IF(SUM(J63:K63)=0,"",J63/SUM(J63:K63))</f>
        <v/>
      </c>
      <c r="N63" s="27"/>
      <c r="O63" s="27"/>
    </row>
    <row r="64" customFormat="false" ht="15" hidden="false" customHeight="false" outlineLevel="0" collapsed="false">
      <c r="B64" s="26"/>
      <c r="C64" s="27"/>
      <c r="D64" s="28" t="str">
        <f aca="false">IF(C64="","",IFERROR(INDEX(Players!$C$5:$C$104,MATCH(C64,Players!$B$5:$B$104,0)),"ID not found"))</f>
        <v/>
      </c>
      <c r="E64" s="27"/>
      <c r="F64" s="27"/>
      <c r="G64" s="27"/>
      <c r="H64" s="27"/>
      <c r="I64" s="27"/>
      <c r="J64" s="27"/>
      <c r="K64" s="27"/>
      <c r="L64" s="27"/>
      <c r="M64" s="30" t="str">
        <f aca="false">IF(SUM(J64:K64)=0,"",J64/SUM(J64:K64))</f>
        <v/>
      </c>
      <c r="N64" s="27"/>
      <c r="O64" s="27"/>
    </row>
    <row r="65" customFormat="false" ht="15" hidden="false" customHeight="false" outlineLevel="0" collapsed="false">
      <c r="B65" s="26"/>
      <c r="C65" s="27"/>
      <c r="D65" s="28" t="str">
        <f aca="false">IF(C65="","",IFERROR(INDEX(Players!$C$5:$C$104,MATCH(C65,Players!$B$5:$B$104,0)),"ID not found"))</f>
        <v/>
      </c>
      <c r="E65" s="27"/>
      <c r="F65" s="27"/>
      <c r="G65" s="27"/>
      <c r="H65" s="27"/>
      <c r="I65" s="27"/>
      <c r="J65" s="27"/>
      <c r="K65" s="27"/>
      <c r="L65" s="27"/>
      <c r="M65" s="30" t="str">
        <f aca="false">IF(SUM(J65:K65)=0,"",J65/SUM(J65:K65))</f>
        <v/>
      </c>
      <c r="N65" s="27"/>
      <c r="O65" s="27"/>
    </row>
    <row r="66" customFormat="false" ht="15" hidden="false" customHeight="false" outlineLevel="0" collapsed="false">
      <c r="B66" s="26"/>
      <c r="C66" s="27"/>
      <c r="D66" s="28" t="str">
        <f aca="false">IF(C66="","",IFERROR(INDEX(Players!$C$5:$C$104,MATCH(C66,Players!$B$5:$B$104,0)),"ID not found"))</f>
        <v/>
      </c>
      <c r="E66" s="27"/>
      <c r="F66" s="27"/>
      <c r="G66" s="27"/>
      <c r="H66" s="27"/>
      <c r="I66" s="27"/>
      <c r="J66" s="27"/>
      <c r="K66" s="27"/>
      <c r="L66" s="27"/>
      <c r="M66" s="30" t="str">
        <f aca="false">IF(SUM(J66:K66)=0,"",J66/SUM(J66:K66))</f>
        <v/>
      </c>
      <c r="N66" s="27"/>
      <c r="O66" s="27"/>
    </row>
    <row r="67" customFormat="false" ht="15" hidden="false" customHeight="false" outlineLevel="0" collapsed="false">
      <c r="B67" s="26"/>
      <c r="C67" s="27"/>
      <c r="D67" s="28" t="str">
        <f aca="false">IF(C67="","",IFERROR(INDEX(Players!$C$5:$C$104,MATCH(C67,Players!$B$5:$B$104,0)),"ID not found"))</f>
        <v/>
      </c>
      <c r="E67" s="27"/>
      <c r="F67" s="27"/>
      <c r="G67" s="27"/>
      <c r="H67" s="27"/>
      <c r="I67" s="27"/>
      <c r="J67" s="27"/>
      <c r="K67" s="27"/>
      <c r="L67" s="27"/>
      <c r="M67" s="30" t="str">
        <f aca="false">IF(SUM(J67:K67)=0,"",J67/SUM(J67:K67))</f>
        <v/>
      </c>
      <c r="N67" s="27"/>
      <c r="O67" s="27"/>
    </row>
    <row r="68" customFormat="false" ht="15" hidden="false" customHeight="false" outlineLevel="0" collapsed="false">
      <c r="B68" s="26"/>
      <c r="C68" s="27"/>
      <c r="D68" s="28" t="str">
        <f aca="false">IF(C68="","",IFERROR(INDEX(Players!$C$5:$C$104,MATCH(C68,Players!$B$5:$B$104,0)),"ID not found"))</f>
        <v/>
      </c>
      <c r="E68" s="27"/>
      <c r="F68" s="27"/>
      <c r="G68" s="27"/>
      <c r="H68" s="27"/>
      <c r="I68" s="27"/>
      <c r="J68" s="27"/>
      <c r="K68" s="27"/>
      <c r="L68" s="27"/>
      <c r="M68" s="30" t="str">
        <f aca="false">IF(SUM(J68:K68)=0,"",J68/SUM(J68:K68))</f>
        <v/>
      </c>
      <c r="N68" s="27"/>
      <c r="O68" s="27"/>
    </row>
    <row r="69" customFormat="false" ht="15" hidden="false" customHeight="false" outlineLevel="0" collapsed="false">
      <c r="B69" s="26"/>
      <c r="C69" s="27"/>
      <c r="D69" s="28" t="str">
        <f aca="false">IF(C69="","",IFERROR(INDEX(Players!$C$5:$C$104,MATCH(C69,Players!$B$5:$B$104,0)),"ID not found"))</f>
        <v/>
      </c>
      <c r="E69" s="27"/>
      <c r="F69" s="27"/>
      <c r="G69" s="27"/>
      <c r="H69" s="27"/>
      <c r="I69" s="27"/>
      <c r="J69" s="27"/>
      <c r="K69" s="27"/>
      <c r="L69" s="27"/>
      <c r="M69" s="30" t="str">
        <f aca="false">IF(SUM(J69:K69)=0,"",J69/SUM(J69:K69))</f>
        <v/>
      </c>
      <c r="N69" s="27"/>
      <c r="O69" s="27"/>
    </row>
    <row r="70" customFormat="false" ht="15" hidden="false" customHeight="false" outlineLevel="0" collapsed="false">
      <c r="B70" s="26"/>
      <c r="C70" s="27"/>
      <c r="D70" s="28" t="str">
        <f aca="false">IF(C70="","",IFERROR(INDEX(Players!$C$5:$C$104,MATCH(C70,Players!$B$5:$B$104,0)),"ID not found"))</f>
        <v/>
      </c>
      <c r="E70" s="27"/>
      <c r="F70" s="27"/>
      <c r="G70" s="27"/>
      <c r="H70" s="27"/>
      <c r="I70" s="27"/>
      <c r="J70" s="27"/>
      <c r="K70" s="27"/>
      <c r="L70" s="27"/>
      <c r="M70" s="30" t="str">
        <f aca="false">IF(SUM(J70:K70)=0,"",J70/SUM(J70:K70))</f>
        <v/>
      </c>
      <c r="N70" s="27"/>
      <c r="O70" s="27"/>
    </row>
    <row r="71" customFormat="false" ht="15" hidden="false" customHeight="false" outlineLevel="0" collapsed="false">
      <c r="B71" s="26"/>
      <c r="C71" s="27"/>
      <c r="D71" s="28" t="str">
        <f aca="false">IF(C71="","",IFERROR(INDEX(Players!$C$5:$C$104,MATCH(C71,Players!$B$5:$B$104,0)),"ID not found"))</f>
        <v/>
      </c>
      <c r="E71" s="27"/>
      <c r="F71" s="27"/>
      <c r="G71" s="27"/>
      <c r="H71" s="27"/>
      <c r="I71" s="27"/>
      <c r="J71" s="27"/>
      <c r="K71" s="27"/>
      <c r="L71" s="27"/>
      <c r="M71" s="30" t="str">
        <f aca="false">IF(SUM(J71:K71)=0,"",J71/SUM(J71:K71))</f>
        <v/>
      </c>
      <c r="N71" s="27"/>
      <c r="O71" s="27"/>
    </row>
    <row r="72" customFormat="false" ht="15" hidden="false" customHeight="false" outlineLevel="0" collapsed="false">
      <c r="B72" s="26"/>
      <c r="C72" s="27"/>
      <c r="D72" s="28" t="str">
        <f aca="false">IF(C72="","",IFERROR(INDEX(Players!$C$5:$C$104,MATCH(C72,Players!$B$5:$B$104,0)),"ID not found"))</f>
        <v/>
      </c>
      <c r="E72" s="27"/>
      <c r="F72" s="27"/>
      <c r="G72" s="27"/>
      <c r="H72" s="27"/>
      <c r="I72" s="27"/>
      <c r="J72" s="27"/>
      <c r="K72" s="27"/>
      <c r="L72" s="27"/>
      <c r="M72" s="30" t="str">
        <f aca="false">IF(SUM(J72:K72)=0,"",J72/SUM(J72:K72))</f>
        <v/>
      </c>
      <c r="N72" s="27"/>
      <c r="O72" s="27"/>
    </row>
    <row r="73" customFormat="false" ht="15" hidden="false" customHeight="false" outlineLevel="0" collapsed="false">
      <c r="B73" s="26"/>
      <c r="C73" s="27"/>
      <c r="D73" s="28" t="str">
        <f aca="false">IF(C73="","",IFERROR(INDEX(Players!$C$5:$C$104,MATCH(C73,Players!$B$5:$B$104,0)),"ID not found"))</f>
        <v/>
      </c>
      <c r="E73" s="27"/>
      <c r="F73" s="27"/>
      <c r="G73" s="27"/>
      <c r="H73" s="27"/>
      <c r="I73" s="27"/>
      <c r="J73" s="27"/>
      <c r="K73" s="27"/>
      <c r="L73" s="27"/>
      <c r="M73" s="30" t="str">
        <f aca="false">IF(SUM(J73:K73)=0,"",J73/SUM(J73:K73))</f>
        <v/>
      </c>
      <c r="N73" s="27"/>
      <c r="O73" s="27"/>
    </row>
    <row r="74" customFormat="false" ht="15" hidden="false" customHeight="false" outlineLevel="0" collapsed="false">
      <c r="B74" s="26"/>
      <c r="C74" s="27"/>
      <c r="D74" s="28" t="str">
        <f aca="false">IF(C74="","",IFERROR(INDEX(Players!$C$5:$C$104,MATCH(C74,Players!$B$5:$B$104,0)),"ID not found"))</f>
        <v/>
      </c>
      <c r="E74" s="27"/>
      <c r="F74" s="27"/>
      <c r="G74" s="27"/>
      <c r="H74" s="27"/>
      <c r="I74" s="27"/>
      <c r="J74" s="27"/>
      <c r="K74" s="27"/>
      <c r="L74" s="27"/>
      <c r="M74" s="30" t="str">
        <f aca="false">IF(SUM(J74:K74)=0,"",J74/SUM(J74:K74))</f>
        <v/>
      </c>
      <c r="N74" s="27"/>
      <c r="O74" s="27"/>
    </row>
    <row r="75" customFormat="false" ht="15" hidden="false" customHeight="false" outlineLevel="0" collapsed="false">
      <c r="B75" s="26"/>
      <c r="C75" s="27"/>
      <c r="D75" s="28" t="str">
        <f aca="false">IF(C75="","",IFERROR(INDEX(Players!$C$5:$C$104,MATCH(C75,Players!$B$5:$B$104,0)),"ID not found"))</f>
        <v/>
      </c>
      <c r="E75" s="27"/>
      <c r="F75" s="27"/>
      <c r="G75" s="27"/>
      <c r="H75" s="27"/>
      <c r="I75" s="27"/>
      <c r="J75" s="27"/>
      <c r="K75" s="27"/>
      <c r="L75" s="27"/>
      <c r="M75" s="30" t="str">
        <f aca="false">IF(SUM(J75:K75)=0,"",J75/SUM(J75:K75))</f>
        <v/>
      </c>
      <c r="N75" s="27"/>
      <c r="O75" s="27"/>
    </row>
    <row r="76" customFormat="false" ht="15" hidden="false" customHeight="false" outlineLevel="0" collapsed="false">
      <c r="B76" s="26"/>
      <c r="C76" s="27"/>
      <c r="D76" s="28" t="str">
        <f aca="false">IF(C76="","",IFERROR(INDEX(Players!$C$5:$C$104,MATCH(C76,Players!$B$5:$B$104,0)),"ID not found"))</f>
        <v/>
      </c>
      <c r="E76" s="27"/>
      <c r="F76" s="27"/>
      <c r="G76" s="27"/>
      <c r="H76" s="27"/>
      <c r="I76" s="27"/>
      <c r="J76" s="27"/>
      <c r="K76" s="27"/>
      <c r="L76" s="27"/>
      <c r="M76" s="30" t="str">
        <f aca="false">IF(SUM(J76:K76)=0,"",J76/SUM(J76:K76))</f>
        <v/>
      </c>
      <c r="N76" s="27"/>
      <c r="O76" s="27"/>
    </row>
    <row r="77" customFormat="false" ht="15" hidden="false" customHeight="false" outlineLevel="0" collapsed="false">
      <c r="B77" s="26"/>
      <c r="C77" s="27"/>
      <c r="D77" s="28" t="str">
        <f aca="false">IF(C77="","",IFERROR(INDEX(Players!$C$5:$C$104,MATCH(C77,Players!$B$5:$B$104,0)),"ID not found"))</f>
        <v/>
      </c>
      <c r="E77" s="27"/>
      <c r="F77" s="27"/>
      <c r="G77" s="27"/>
      <c r="H77" s="27"/>
      <c r="I77" s="27"/>
      <c r="J77" s="27"/>
      <c r="K77" s="27"/>
      <c r="L77" s="27"/>
      <c r="M77" s="30" t="str">
        <f aca="false">IF(SUM(J77:K77)=0,"",J77/SUM(J77:K77))</f>
        <v/>
      </c>
      <c r="N77" s="27"/>
      <c r="O77" s="27"/>
    </row>
    <row r="78" customFormat="false" ht="15" hidden="false" customHeight="false" outlineLevel="0" collapsed="false">
      <c r="B78" s="26"/>
      <c r="C78" s="27"/>
      <c r="D78" s="28" t="str">
        <f aca="false">IF(C78="","",IFERROR(INDEX(Players!$C$5:$C$104,MATCH(C78,Players!$B$5:$B$104,0)),"ID not found"))</f>
        <v/>
      </c>
      <c r="E78" s="27"/>
      <c r="F78" s="27"/>
      <c r="G78" s="27"/>
      <c r="H78" s="27"/>
      <c r="I78" s="27"/>
      <c r="J78" s="27"/>
      <c r="K78" s="27"/>
      <c r="L78" s="27"/>
      <c r="M78" s="30" t="str">
        <f aca="false">IF(SUM(J78:K78)=0,"",J78/SUM(J78:K78))</f>
        <v/>
      </c>
      <c r="N78" s="27"/>
      <c r="O78" s="27"/>
    </row>
    <row r="79" customFormat="false" ht="15" hidden="false" customHeight="false" outlineLevel="0" collapsed="false">
      <c r="B79" s="26"/>
      <c r="C79" s="27"/>
      <c r="D79" s="28" t="str">
        <f aca="false">IF(C79="","",IFERROR(INDEX(Players!$C$5:$C$104,MATCH(C79,Players!$B$5:$B$104,0)),"ID not found"))</f>
        <v/>
      </c>
      <c r="E79" s="27"/>
      <c r="F79" s="27"/>
      <c r="G79" s="27"/>
      <c r="H79" s="27"/>
      <c r="I79" s="27"/>
      <c r="J79" s="27"/>
      <c r="K79" s="27"/>
      <c r="L79" s="27"/>
      <c r="M79" s="30" t="str">
        <f aca="false">IF(SUM(J79:K79)=0,"",J79/SUM(J79:K79))</f>
        <v/>
      </c>
      <c r="N79" s="27"/>
      <c r="O79" s="27"/>
    </row>
    <row r="80" customFormat="false" ht="15" hidden="false" customHeight="false" outlineLevel="0" collapsed="false">
      <c r="B80" s="26"/>
      <c r="C80" s="27"/>
      <c r="D80" s="28" t="str">
        <f aca="false">IF(C80="","",IFERROR(INDEX(Players!$C$5:$C$104,MATCH(C80,Players!$B$5:$B$104,0)),"ID not found"))</f>
        <v/>
      </c>
      <c r="E80" s="27"/>
      <c r="F80" s="27"/>
      <c r="G80" s="27"/>
      <c r="H80" s="27"/>
      <c r="I80" s="27"/>
      <c r="J80" s="27"/>
      <c r="K80" s="27"/>
      <c r="L80" s="27"/>
      <c r="M80" s="30" t="str">
        <f aca="false">IF(SUM(J80:K80)=0,"",J80/SUM(J80:K80))</f>
        <v/>
      </c>
      <c r="N80" s="27"/>
      <c r="O80" s="27"/>
    </row>
    <row r="81" customFormat="false" ht="15" hidden="false" customHeight="false" outlineLevel="0" collapsed="false">
      <c r="B81" s="26"/>
      <c r="C81" s="27"/>
      <c r="D81" s="28" t="str">
        <f aca="false">IF(C81="","",IFERROR(INDEX(Players!$C$5:$C$104,MATCH(C81,Players!$B$5:$B$104,0)),"ID not found"))</f>
        <v/>
      </c>
      <c r="E81" s="27"/>
      <c r="F81" s="27"/>
      <c r="G81" s="27"/>
      <c r="H81" s="27"/>
      <c r="I81" s="27"/>
      <c r="J81" s="27"/>
      <c r="K81" s="27"/>
      <c r="L81" s="27"/>
      <c r="M81" s="30" t="str">
        <f aca="false">IF(SUM(J81:K81)=0,"",J81/SUM(J81:K81))</f>
        <v/>
      </c>
      <c r="N81" s="27"/>
      <c r="O81" s="27"/>
    </row>
    <row r="82" customFormat="false" ht="15" hidden="false" customHeight="false" outlineLevel="0" collapsed="false">
      <c r="B82" s="26"/>
      <c r="C82" s="27"/>
      <c r="D82" s="28" t="str">
        <f aca="false">IF(C82="","",IFERROR(INDEX(Players!$C$5:$C$104,MATCH(C82,Players!$B$5:$B$104,0)),"ID not found"))</f>
        <v/>
      </c>
      <c r="E82" s="27"/>
      <c r="F82" s="27"/>
      <c r="G82" s="27"/>
      <c r="H82" s="27"/>
      <c r="I82" s="27"/>
      <c r="J82" s="27"/>
      <c r="K82" s="27"/>
      <c r="L82" s="27"/>
      <c r="M82" s="30" t="str">
        <f aca="false">IF(SUM(J82:K82)=0,"",J82/SUM(J82:K82))</f>
        <v/>
      </c>
      <c r="N82" s="27"/>
      <c r="O82" s="27"/>
    </row>
    <row r="83" customFormat="false" ht="15" hidden="false" customHeight="false" outlineLevel="0" collapsed="false">
      <c r="B83" s="26"/>
      <c r="C83" s="27"/>
      <c r="D83" s="28" t="str">
        <f aca="false">IF(C83="","",IFERROR(INDEX(Players!$C$5:$C$104,MATCH(C83,Players!$B$5:$B$104,0)),"ID not found"))</f>
        <v/>
      </c>
      <c r="E83" s="27"/>
      <c r="F83" s="27"/>
      <c r="G83" s="27"/>
      <c r="H83" s="27"/>
      <c r="I83" s="27"/>
      <c r="J83" s="27"/>
      <c r="K83" s="27"/>
      <c r="L83" s="27"/>
      <c r="M83" s="30" t="str">
        <f aca="false">IF(SUM(J83:K83)=0,"",J83/SUM(J83:K83))</f>
        <v/>
      </c>
      <c r="N83" s="27"/>
      <c r="O83" s="27"/>
    </row>
    <row r="84" customFormat="false" ht="15" hidden="false" customHeight="false" outlineLevel="0" collapsed="false">
      <c r="B84" s="26"/>
      <c r="C84" s="27"/>
      <c r="D84" s="28" t="str">
        <f aca="false">IF(C84="","",IFERROR(INDEX(Players!$C$5:$C$104,MATCH(C84,Players!$B$5:$B$104,0)),"ID not found"))</f>
        <v/>
      </c>
      <c r="E84" s="27"/>
      <c r="F84" s="27"/>
      <c r="G84" s="27"/>
      <c r="H84" s="27"/>
      <c r="I84" s="27"/>
      <c r="J84" s="27"/>
      <c r="K84" s="27"/>
      <c r="L84" s="27"/>
      <c r="M84" s="30" t="str">
        <f aca="false">IF(SUM(J84:K84)=0,"",J84/SUM(J84:K84))</f>
        <v/>
      </c>
      <c r="N84" s="27"/>
      <c r="O84" s="27"/>
    </row>
    <row r="85" customFormat="false" ht="15" hidden="false" customHeight="false" outlineLevel="0" collapsed="false">
      <c r="B85" s="26"/>
      <c r="C85" s="27"/>
      <c r="D85" s="28" t="str">
        <f aca="false">IF(C85="","",IFERROR(INDEX(Players!$C$5:$C$104,MATCH(C85,Players!$B$5:$B$104,0)),"ID not found"))</f>
        <v/>
      </c>
      <c r="E85" s="27"/>
      <c r="F85" s="27"/>
      <c r="G85" s="27"/>
      <c r="H85" s="27"/>
      <c r="I85" s="27"/>
      <c r="J85" s="27"/>
      <c r="K85" s="27"/>
      <c r="L85" s="27"/>
      <c r="M85" s="30" t="str">
        <f aca="false">IF(SUM(J85:K85)=0,"",J85/SUM(J85:K85))</f>
        <v/>
      </c>
      <c r="N85" s="27"/>
      <c r="O85" s="27"/>
    </row>
    <row r="86" customFormat="false" ht="15" hidden="false" customHeight="false" outlineLevel="0" collapsed="false">
      <c r="B86" s="26"/>
      <c r="C86" s="27"/>
      <c r="D86" s="28" t="str">
        <f aca="false">IF(C86="","",IFERROR(INDEX(Players!$C$5:$C$104,MATCH(C86,Players!$B$5:$B$104,0)),"ID not found"))</f>
        <v/>
      </c>
      <c r="E86" s="27"/>
      <c r="F86" s="27"/>
      <c r="G86" s="27"/>
      <c r="H86" s="27"/>
      <c r="I86" s="27"/>
      <c r="J86" s="27"/>
      <c r="K86" s="27"/>
      <c r="L86" s="27"/>
      <c r="M86" s="30" t="str">
        <f aca="false">IF(SUM(J86:K86)=0,"",J86/SUM(J86:K86))</f>
        <v/>
      </c>
      <c r="N86" s="27"/>
      <c r="O86" s="27"/>
    </row>
    <row r="87" customFormat="false" ht="15" hidden="false" customHeight="false" outlineLevel="0" collapsed="false">
      <c r="B87" s="26"/>
      <c r="C87" s="27"/>
      <c r="D87" s="28" t="str">
        <f aca="false">IF(C87="","",IFERROR(INDEX(Players!$C$5:$C$104,MATCH(C87,Players!$B$5:$B$104,0)),"ID not found"))</f>
        <v/>
      </c>
      <c r="E87" s="27"/>
      <c r="F87" s="27"/>
      <c r="G87" s="27"/>
      <c r="H87" s="27"/>
      <c r="I87" s="27"/>
      <c r="J87" s="27"/>
      <c r="K87" s="27"/>
      <c r="L87" s="27"/>
      <c r="M87" s="30" t="str">
        <f aca="false">IF(SUM(J87:K87)=0,"",J87/SUM(J87:K87))</f>
        <v/>
      </c>
      <c r="N87" s="27"/>
      <c r="O87" s="27"/>
    </row>
    <row r="88" customFormat="false" ht="15" hidden="false" customHeight="false" outlineLevel="0" collapsed="false">
      <c r="B88" s="26"/>
      <c r="C88" s="27"/>
      <c r="D88" s="28" t="str">
        <f aca="false">IF(C88="","",IFERROR(INDEX(Players!$C$5:$C$104,MATCH(C88,Players!$B$5:$B$104,0)),"ID not found"))</f>
        <v/>
      </c>
      <c r="E88" s="27"/>
      <c r="F88" s="27"/>
      <c r="G88" s="27"/>
      <c r="H88" s="27"/>
      <c r="I88" s="27"/>
      <c r="J88" s="27"/>
      <c r="K88" s="27"/>
      <c r="L88" s="27"/>
      <c r="M88" s="30" t="str">
        <f aca="false">IF(SUM(J88:K88)=0,"",J88/SUM(J88:K88))</f>
        <v/>
      </c>
      <c r="N88" s="27"/>
      <c r="O88" s="27"/>
    </row>
    <row r="89" customFormat="false" ht="15" hidden="false" customHeight="false" outlineLevel="0" collapsed="false">
      <c r="B89" s="26"/>
      <c r="C89" s="27"/>
      <c r="D89" s="28" t="str">
        <f aca="false">IF(C89="","",IFERROR(INDEX(Players!$C$5:$C$104,MATCH(C89,Players!$B$5:$B$104,0)),"ID not found"))</f>
        <v/>
      </c>
      <c r="E89" s="27"/>
      <c r="F89" s="27"/>
      <c r="G89" s="27"/>
      <c r="H89" s="27"/>
      <c r="I89" s="27"/>
      <c r="J89" s="27"/>
      <c r="K89" s="27"/>
      <c r="L89" s="27"/>
      <c r="M89" s="30" t="str">
        <f aca="false">IF(SUM(J89:K89)=0,"",J89/SUM(J89:K89))</f>
        <v/>
      </c>
      <c r="N89" s="27"/>
      <c r="O89" s="27"/>
    </row>
    <row r="90" customFormat="false" ht="15" hidden="false" customHeight="false" outlineLevel="0" collapsed="false">
      <c r="B90" s="26"/>
      <c r="C90" s="27"/>
      <c r="D90" s="28" t="str">
        <f aca="false">IF(C90="","",IFERROR(INDEX(Players!$C$5:$C$104,MATCH(C90,Players!$B$5:$B$104,0)),"ID not found"))</f>
        <v/>
      </c>
      <c r="E90" s="27"/>
      <c r="F90" s="27"/>
      <c r="G90" s="27"/>
      <c r="H90" s="27"/>
      <c r="I90" s="27"/>
      <c r="J90" s="27"/>
      <c r="K90" s="27"/>
      <c r="L90" s="27"/>
      <c r="M90" s="30" t="str">
        <f aca="false">IF(SUM(J90:K90)=0,"",J90/SUM(J90:K90))</f>
        <v/>
      </c>
      <c r="N90" s="27"/>
      <c r="O90" s="27"/>
    </row>
    <row r="91" customFormat="false" ht="15" hidden="false" customHeight="false" outlineLevel="0" collapsed="false">
      <c r="B91" s="26"/>
      <c r="C91" s="27"/>
      <c r="D91" s="28" t="str">
        <f aca="false">IF(C91="","",IFERROR(INDEX(Players!$C$5:$C$104,MATCH(C91,Players!$B$5:$B$104,0)),"ID not found"))</f>
        <v/>
      </c>
      <c r="E91" s="27"/>
      <c r="F91" s="27"/>
      <c r="G91" s="27"/>
      <c r="H91" s="27"/>
      <c r="I91" s="27"/>
      <c r="J91" s="27"/>
      <c r="K91" s="27"/>
      <c r="L91" s="27"/>
      <c r="M91" s="30" t="str">
        <f aca="false">IF(SUM(J91:K91)=0,"",J91/SUM(J91:K91))</f>
        <v/>
      </c>
      <c r="N91" s="27"/>
      <c r="O91" s="27"/>
    </row>
    <row r="92" customFormat="false" ht="15" hidden="false" customHeight="false" outlineLevel="0" collapsed="false">
      <c r="B92" s="26"/>
      <c r="C92" s="27"/>
      <c r="D92" s="28" t="str">
        <f aca="false">IF(C92="","",IFERROR(INDEX(Players!$C$5:$C$104,MATCH(C92,Players!$B$5:$B$104,0)),"ID not found"))</f>
        <v/>
      </c>
      <c r="E92" s="27"/>
      <c r="F92" s="27"/>
      <c r="G92" s="27"/>
      <c r="H92" s="27"/>
      <c r="I92" s="27"/>
      <c r="J92" s="27"/>
      <c r="K92" s="27"/>
      <c r="L92" s="27"/>
      <c r="M92" s="30" t="str">
        <f aca="false">IF(SUM(J92:K92)=0,"",J92/SUM(J92:K92))</f>
        <v/>
      </c>
      <c r="N92" s="27"/>
      <c r="O92" s="27"/>
    </row>
    <row r="93" customFormat="false" ht="15" hidden="false" customHeight="false" outlineLevel="0" collapsed="false">
      <c r="B93" s="26"/>
      <c r="C93" s="27"/>
      <c r="D93" s="28" t="str">
        <f aca="false">IF(C93="","",IFERROR(INDEX(Players!$C$5:$C$104,MATCH(C93,Players!$B$5:$B$104,0)),"ID not found"))</f>
        <v/>
      </c>
      <c r="E93" s="27"/>
      <c r="F93" s="27"/>
      <c r="G93" s="27"/>
      <c r="H93" s="27"/>
      <c r="I93" s="27"/>
      <c r="J93" s="27"/>
      <c r="K93" s="27"/>
      <c r="L93" s="27"/>
      <c r="M93" s="30" t="str">
        <f aca="false">IF(SUM(J93:K93)=0,"",J93/SUM(J93:K93))</f>
        <v/>
      </c>
      <c r="N93" s="27"/>
      <c r="O93" s="27"/>
    </row>
    <row r="94" customFormat="false" ht="15" hidden="false" customHeight="false" outlineLevel="0" collapsed="false">
      <c r="B94" s="26"/>
      <c r="C94" s="27"/>
      <c r="D94" s="28" t="str">
        <f aca="false">IF(C94="","",IFERROR(INDEX(Players!$C$5:$C$104,MATCH(C94,Players!$B$5:$B$104,0)),"ID not found"))</f>
        <v/>
      </c>
      <c r="E94" s="27"/>
      <c r="F94" s="27"/>
      <c r="G94" s="27"/>
      <c r="H94" s="27"/>
      <c r="I94" s="27"/>
      <c r="J94" s="27"/>
      <c r="K94" s="27"/>
      <c r="L94" s="27"/>
      <c r="M94" s="30" t="str">
        <f aca="false">IF(SUM(J94:K94)=0,"",J94/SUM(J94:K94))</f>
        <v/>
      </c>
      <c r="N94" s="27"/>
      <c r="O94" s="27"/>
    </row>
    <row r="95" customFormat="false" ht="15" hidden="false" customHeight="false" outlineLevel="0" collapsed="false">
      <c r="B95" s="26"/>
      <c r="C95" s="27"/>
      <c r="D95" s="28" t="str">
        <f aca="false">IF(C95="","",IFERROR(INDEX(Players!$C$5:$C$104,MATCH(C95,Players!$B$5:$B$104,0)),"ID not found"))</f>
        <v/>
      </c>
      <c r="E95" s="27"/>
      <c r="F95" s="27"/>
      <c r="G95" s="27"/>
      <c r="H95" s="27"/>
      <c r="I95" s="27"/>
      <c r="J95" s="27"/>
      <c r="K95" s="27"/>
      <c r="L95" s="27"/>
      <c r="M95" s="30" t="str">
        <f aca="false">IF(SUM(J95:K95)=0,"",J95/SUM(J95:K95))</f>
        <v/>
      </c>
      <c r="N95" s="27"/>
      <c r="O95" s="27"/>
    </row>
    <row r="96" customFormat="false" ht="15" hidden="false" customHeight="false" outlineLevel="0" collapsed="false">
      <c r="B96" s="26"/>
      <c r="C96" s="27"/>
      <c r="D96" s="28" t="str">
        <f aca="false">IF(C96="","",IFERROR(INDEX(Players!$C$5:$C$104,MATCH(C96,Players!$B$5:$B$104,0)),"ID not found"))</f>
        <v/>
      </c>
      <c r="E96" s="27"/>
      <c r="F96" s="27"/>
      <c r="G96" s="27"/>
      <c r="H96" s="27"/>
      <c r="I96" s="27"/>
      <c r="J96" s="27"/>
      <c r="K96" s="27"/>
      <c r="L96" s="27"/>
      <c r="M96" s="30" t="str">
        <f aca="false">IF(SUM(J96:K96)=0,"",J96/SUM(J96:K96))</f>
        <v/>
      </c>
      <c r="N96" s="27"/>
      <c r="O96" s="27"/>
    </row>
    <row r="97" customFormat="false" ht="15" hidden="false" customHeight="false" outlineLevel="0" collapsed="false">
      <c r="B97" s="26"/>
      <c r="C97" s="27"/>
      <c r="D97" s="28" t="str">
        <f aca="false">IF(C97="","",IFERROR(INDEX(Players!$C$5:$C$104,MATCH(C97,Players!$B$5:$B$104,0)),"ID not found"))</f>
        <v/>
      </c>
      <c r="E97" s="27"/>
      <c r="F97" s="27"/>
      <c r="G97" s="27"/>
      <c r="H97" s="27"/>
      <c r="I97" s="27"/>
      <c r="J97" s="27"/>
      <c r="K97" s="27"/>
      <c r="L97" s="27"/>
      <c r="M97" s="30" t="str">
        <f aca="false">IF(SUM(J97:K97)=0,"",J97/SUM(J97:K97))</f>
        <v/>
      </c>
      <c r="N97" s="27"/>
      <c r="O97" s="27"/>
    </row>
    <row r="98" customFormat="false" ht="15" hidden="false" customHeight="false" outlineLevel="0" collapsed="false">
      <c r="B98" s="26"/>
      <c r="C98" s="27"/>
      <c r="D98" s="28" t="str">
        <f aca="false">IF(C98="","",IFERROR(INDEX(Players!$C$5:$C$104,MATCH(C98,Players!$B$5:$B$104,0)),"ID not found"))</f>
        <v/>
      </c>
      <c r="E98" s="27"/>
      <c r="F98" s="27"/>
      <c r="G98" s="27"/>
      <c r="H98" s="27"/>
      <c r="I98" s="27"/>
      <c r="J98" s="27"/>
      <c r="K98" s="27"/>
      <c r="L98" s="27"/>
      <c r="M98" s="30" t="str">
        <f aca="false">IF(SUM(J98:K98)=0,"",J98/SUM(J98:K98))</f>
        <v/>
      </c>
      <c r="N98" s="27"/>
      <c r="O98" s="27"/>
    </row>
    <row r="99" customFormat="false" ht="15" hidden="false" customHeight="false" outlineLevel="0" collapsed="false">
      <c r="B99" s="26"/>
      <c r="C99" s="27"/>
      <c r="D99" s="28" t="str">
        <f aca="false">IF(C99="","",IFERROR(INDEX(Players!$C$5:$C$104,MATCH(C99,Players!$B$5:$B$104,0)),"ID not found"))</f>
        <v/>
      </c>
      <c r="E99" s="27"/>
      <c r="F99" s="27"/>
      <c r="G99" s="27"/>
      <c r="H99" s="27"/>
      <c r="I99" s="27"/>
      <c r="J99" s="27"/>
      <c r="K99" s="27"/>
      <c r="L99" s="27"/>
      <c r="M99" s="30" t="str">
        <f aca="false">IF(SUM(J99:K99)=0,"",J99/SUM(J99:K99))</f>
        <v/>
      </c>
      <c r="N99" s="27"/>
      <c r="O99" s="27"/>
    </row>
    <row r="100" customFormat="false" ht="15" hidden="false" customHeight="false" outlineLevel="0" collapsed="false">
      <c r="B100" s="26"/>
      <c r="C100" s="27"/>
      <c r="D100" s="28" t="str">
        <f aca="false">IF(C100="","",IFERROR(INDEX(Players!$C$5:$C$104,MATCH(C100,Players!$B$5:$B$104,0)),"ID not found"))</f>
        <v/>
      </c>
      <c r="E100" s="27"/>
      <c r="F100" s="27"/>
      <c r="G100" s="27"/>
      <c r="H100" s="27"/>
      <c r="I100" s="27"/>
      <c r="J100" s="27"/>
      <c r="K100" s="27"/>
      <c r="L100" s="27"/>
      <c r="M100" s="30" t="str">
        <f aca="false">IF(SUM(J100:K100)=0,"",J100/SUM(J100:K100))</f>
        <v/>
      </c>
      <c r="N100" s="27"/>
      <c r="O100" s="27"/>
    </row>
    <row r="101" customFormat="false" ht="15" hidden="false" customHeight="false" outlineLevel="0" collapsed="false">
      <c r="B101" s="26"/>
      <c r="C101" s="27"/>
      <c r="D101" s="28" t="str">
        <f aca="false">IF(C101="","",IFERROR(INDEX(Players!$C$5:$C$104,MATCH(C101,Players!$B$5:$B$104,0)),"ID not found"))</f>
        <v/>
      </c>
      <c r="E101" s="27"/>
      <c r="F101" s="27"/>
      <c r="G101" s="27"/>
      <c r="H101" s="27"/>
      <c r="I101" s="27"/>
      <c r="J101" s="27"/>
      <c r="K101" s="27"/>
      <c r="L101" s="27"/>
      <c r="M101" s="30" t="str">
        <f aca="false">IF(SUM(J101:K101)=0,"",J101/SUM(J101:K101))</f>
        <v/>
      </c>
      <c r="N101" s="27"/>
      <c r="O101" s="27"/>
    </row>
    <row r="102" customFormat="false" ht="15" hidden="false" customHeight="false" outlineLevel="0" collapsed="false">
      <c r="B102" s="26"/>
      <c r="C102" s="27"/>
      <c r="D102" s="28" t="str">
        <f aca="false">IF(C102="","",IFERROR(INDEX(Players!$C$5:$C$104,MATCH(C102,Players!$B$5:$B$104,0)),"ID not found"))</f>
        <v/>
      </c>
      <c r="E102" s="27"/>
      <c r="F102" s="27"/>
      <c r="G102" s="27"/>
      <c r="H102" s="27"/>
      <c r="I102" s="27"/>
      <c r="J102" s="27"/>
      <c r="K102" s="27"/>
      <c r="L102" s="27"/>
      <c r="M102" s="30" t="str">
        <f aca="false">IF(SUM(J102:K102)=0,"",J102/SUM(J102:K102))</f>
        <v/>
      </c>
      <c r="N102" s="27"/>
      <c r="O102" s="27"/>
    </row>
    <row r="103" customFormat="false" ht="15" hidden="false" customHeight="false" outlineLevel="0" collapsed="false">
      <c r="B103" s="26"/>
      <c r="C103" s="27"/>
      <c r="D103" s="28" t="str">
        <f aca="false">IF(C103="","",IFERROR(INDEX(Players!$C$5:$C$104,MATCH(C103,Players!$B$5:$B$104,0)),"ID not found"))</f>
        <v/>
      </c>
      <c r="E103" s="27"/>
      <c r="F103" s="27"/>
      <c r="G103" s="27"/>
      <c r="H103" s="27"/>
      <c r="I103" s="27"/>
      <c r="J103" s="27"/>
      <c r="K103" s="27"/>
      <c r="L103" s="27"/>
      <c r="M103" s="30" t="str">
        <f aca="false">IF(SUM(J103:K103)=0,"",J103/SUM(J103:K103))</f>
        <v/>
      </c>
      <c r="N103" s="27"/>
      <c r="O103" s="27"/>
    </row>
    <row r="104" customFormat="false" ht="15" hidden="false" customHeight="false" outlineLevel="0" collapsed="false">
      <c r="B104" s="26"/>
      <c r="C104" s="27"/>
      <c r="D104" s="28" t="str">
        <f aca="false">IF(C104="","",IFERROR(INDEX(Players!$C$5:$C$104,MATCH(C104,Players!$B$5:$B$104,0)),"ID not found"))</f>
        <v/>
      </c>
      <c r="E104" s="27"/>
      <c r="F104" s="27"/>
      <c r="G104" s="27"/>
      <c r="H104" s="27"/>
      <c r="I104" s="27"/>
      <c r="J104" s="27"/>
      <c r="K104" s="27"/>
      <c r="L104" s="27"/>
      <c r="M104" s="30" t="str">
        <f aca="false">IF(SUM(J104:K104)=0,"",J104/SUM(J104:K104))</f>
        <v/>
      </c>
      <c r="N104" s="27"/>
      <c r="O104" s="27"/>
    </row>
    <row r="105" customFormat="false" ht="15" hidden="false" customHeight="false" outlineLevel="0" collapsed="false">
      <c r="B105" s="26"/>
      <c r="C105" s="27"/>
      <c r="D105" s="28" t="str">
        <f aca="false">IF(C105="","",IFERROR(INDEX(Players!$C$5:$C$104,MATCH(C105,Players!$B$5:$B$104,0)),"ID not found"))</f>
        <v/>
      </c>
      <c r="E105" s="27"/>
      <c r="F105" s="27"/>
      <c r="G105" s="27"/>
      <c r="H105" s="27"/>
      <c r="I105" s="27"/>
      <c r="J105" s="27"/>
      <c r="K105" s="27"/>
      <c r="L105" s="27"/>
      <c r="M105" s="30" t="str">
        <f aca="false">IF(SUM(J105:K105)=0,"",J105/SUM(J105:K105))</f>
        <v/>
      </c>
      <c r="N105" s="27"/>
      <c r="O105" s="27"/>
    </row>
    <row r="106" customFormat="false" ht="15" hidden="false" customHeight="false" outlineLevel="0" collapsed="false">
      <c r="B106" s="26"/>
      <c r="C106" s="27"/>
      <c r="D106" s="28" t="str">
        <f aca="false">IF(C106="","",IFERROR(INDEX(Players!$C$5:$C$104,MATCH(C106,Players!$B$5:$B$104,0)),"ID not found"))</f>
        <v/>
      </c>
      <c r="E106" s="27"/>
      <c r="F106" s="27"/>
      <c r="G106" s="27"/>
      <c r="H106" s="27"/>
      <c r="I106" s="27"/>
      <c r="J106" s="27"/>
      <c r="K106" s="27"/>
      <c r="L106" s="27"/>
      <c r="M106" s="30" t="str">
        <f aca="false">IF(SUM(J106:K106)=0,"",J106/SUM(J106:K106))</f>
        <v/>
      </c>
      <c r="N106" s="27"/>
      <c r="O106" s="27"/>
    </row>
    <row r="107" customFormat="false" ht="15" hidden="false" customHeight="false" outlineLevel="0" collapsed="false">
      <c r="B107" s="26"/>
      <c r="C107" s="27"/>
      <c r="D107" s="28" t="str">
        <f aca="false">IF(C107="","",IFERROR(INDEX(Players!$C$5:$C$104,MATCH(C107,Players!$B$5:$B$104,0)),"ID not found"))</f>
        <v/>
      </c>
      <c r="E107" s="27"/>
      <c r="F107" s="27"/>
      <c r="G107" s="27"/>
      <c r="H107" s="27"/>
      <c r="I107" s="27"/>
      <c r="J107" s="27"/>
      <c r="K107" s="27"/>
      <c r="L107" s="27"/>
      <c r="M107" s="30" t="str">
        <f aca="false">IF(SUM(J107:K107)=0,"",J107/SUM(J107:K107))</f>
        <v/>
      </c>
      <c r="N107" s="27"/>
      <c r="O107" s="27"/>
    </row>
    <row r="108" customFormat="false" ht="15" hidden="false" customHeight="false" outlineLevel="0" collapsed="false">
      <c r="B108" s="26"/>
      <c r="C108" s="27"/>
      <c r="D108" s="28" t="str">
        <f aca="false">IF(C108="","",IFERROR(INDEX(Players!$C$5:$C$104,MATCH(C108,Players!$B$5:$B$104,0)),"ID not found"))</f>
        <v/>
      </c>
      <c r="E108" s="27"/>
      <c r="F108" s="27"/>
      <c r="G108" s="27"/>
      <c r="H108" s="27"/>
      <c r="I108" s="27"/>
      <c r="J108" s="27"/>
      <c r="K108" s="27"/>
      <c r="L108" s="27"/>
      <c r="M108" s="30" t="str">
        <f aca="false">IF(SUM(J108:K108)=0,"",J108/SUM(J108:K108))</f>
        <v/>
      </c>
      <c r="N108" s="27"/>
      <c r="O108" s="27"/>
    </row>
    <row r="109" customFormat="false" ht="15" hidden="false" customHeight="false" outlineLevel="0" collapsed="false">
      <c r="B109" s="26"/>
      <c r="C109" s="27"/>
      <c r="D109" s="28" t="str">
        <f aca="false">IF(C109="","",IFERROR(INDEX(Players!$C$5:$C$104,MATCH(C109,Players!$B$5:$B$104,0)),"ID not found"))</f>
        <v/>
      </c>
      <c r="E109" s="27"/>
      <c r="F109" s="27"/>
      <c r="G109" s="27"/>
      <c r="H109" s="27"/>
      <c r="I109" s="27"/>
      <c r="J109" s="27"/>
      <c r="K109" s="27"/>
      <c r="L109" s="27"/>
      <c r="M109" s="30" t="str">
        <f aca="false">IF(SUM(J109:K109)=0,"",J109/SUM(J109:K109))</f>
        <v/>
      </c>
      <c r="N109" s="27"/>
      <c r="O109" s="27"/>
    </row>
    <row r="110" customFormat="false" ht="15" hidden="false" customHeight="false" outlineLevel="0" collapsed="false">
      <c r="B110" s="26"/>
      <c r="C110" s="27"/>
      <c r="D110" s="28" t="str">
        <f aca="false">IF(C110="","",IFERROR(INDEX(Players!$C$5:$C$104,MATCH(C110,Players!$B$5:$B$104,0)),"ID not found"))</f>
        <v/>
      </c>
      <c r="E110" s="27"/>
      <c r="F110" s="27"/>
      <c r="G110" s="27"/>
      <c r="H110" s="27"/>
      <c r="I110" s="27"/>
      <c r="J110" s="27"/>
      <c r="K110" s="27"/>
      <c r="L110" s="27"/>
      <c r="M110" s="30" t="str">
        <f aca="false">IF(SUM(J110:K110)=0,"",J110/SUM(J110:K110))</f>
        <v/>
      </c>
      <c r="N110" s="27"/>
      <c r="O110" s="27"/>
    </row>
    <row r="111" customFormat="false" ht="15" hidden="false" customHeight="false" outlineLevel="0" collapsed="false">
      <c r="B111" s="26"/>
      <c r="C111" s="27"/>
      <c r="D111" s="28" t="str">
        <f aca="false">IF(C111="","",IFERROR(INDEX(Players!$C$5:$C$104,MATCH(C111,Players!$B$5:$B$104,0)),"ID not found"))</f>
        <v/>
      </c>
      <c r="E111" s="27"/>
      <c r="F111" s="27"/>
      <c r="G111" s="27"/>
      <c r="H111" s="27"/>
      <c r="I111" s="27"/>
      <c r="J111" s="27"/>
      <c r="K111" s="27"/>
      <c r="L111" s="27"/>
      <c r="M111" s="30" t="str">
        <f aca="false">IF(SUM(J111:K111)=0,"",J111/SUM(J111:K111))</f>
        <v/>
      </c>
      <c r="N111" s="27"/>
      <c r="O111" s="27"/>
    </row>
    <row r="112" customFormat="false" ht="15" hidden="false" customHeight="false" outlineLevel="0" collapsed="false">
      <c r="B112" s="26"/>
      <c r="C112" s="27"/>
      <c r="D112" s="28" t="str">
        <f aca="false">IF(C112="","",IFERROR(INDEX(Players!$C$5:$C$104,MATCH(C112,Players!$B$5:$B$104,0)),"ID not found"))</f>
        <v/>
      </c>
      <c r="E112" s="27"/>
      <c r="F112" s="27"/>
      <c r="G112" s="27"/>
      <c r="H112" s="27"/>
      <c r="I112" s="27"/>
      <c r="J112" s="27"/>
      <c r="K112" s="27"/>
      <c r="L112" s="27"/>
      <c r="M112" s="30" t="str">
        <f aca="false">IF(SUM(J112:K112)=0,"",J112/SUM(J112:K112))</f>
        <v/>
      </c>
      <c r="N112" s="27"/>
      <c r="O112" s="27"/>
    </row>
    <row r="113" customFormat="false" ht="15" hidden="false" customHeight="false" outlineLevel="0" collapsed="false">
      <c r="B113" s="26"/>
      <c r="C113" s="27"/>
      <c r="D113" s="28" t="str">
        <f aca="false">IF(C113="","",IFERROR(INDEX(Players!$C$5:$C$104,MATCH(C113,Players!$B$5:$B$104,0)),"ID not found"))</f>
        <v/>
      </c>
      <c r="E113" s="27"/>
      <c r="F113" s="27"/>
      <c r="G113" s="27"/>
      <c r="H113" s="27"/>
      <c r="I113" s="27"/>
      <c r="J113" s="27"/>
      <c r="K113" s="27"/>
      <c r="L113" s="27"/>
      <c r="M113" s="30" t="str">
        <f aca="false">IF(SUM(J113:K113)=0,"",J113/SUM(J113:K113))</f>
        <v/>
      </c>
      <c r="N113" s="27"/>
      <c r="O113" s="27"/>
    </row>
    <row r="114" customFormat="false" ht="15" hidden="false" customHeight="false" outlineLevel="0" collapsed="false">
      <c r="B114" s="26"/>
      <c r="C114" s="27"/>
      <c r="D114" s="28" t="str">
        <f aca="false">IF(C114="","",IFERROR(INDEX(Players!$C$5:$C$104,MATCH(C114,Players!$B$5:$B$104,0)),"ID not found"))</f>
        <v/>
      </c>
      <c r="E114" s="27"/>
      <c r="F114" s="27"/>
      <c r="G114" s="27"/>
      <c r="H114" s="27"/>
      <c r="I114" s="27"/>
      <c r="J114" s="27"/>
      <c r="K114" s="27"/>
      <c r="L114" s="27"/>
      <c r="M114" s="30" t="str">
        <f aca="false">IF(SUM(J114:K114)=0,"",J114/SUM(J114:K114))</f>
        <v/>
      </c>
      <c r="N114" s="27"/>
      <c r="O114" s="27"/>
    </row>
    <row r="115" customFormat="false" ht="15" hidden="false" customHeight="false" outlineLevel="0" collapsed="false">
      <c r="B115" s="26"/>
      <c r="C115" s="27"/>
      <c r="D115" s="28" t="str">
        <f aca="false">IF(C115="","",IFERROR(INDEX(Players!$C$5:$C$104,MATCH(C115,Players!$B$5:$B$104,0)),"ID not found"))</f>
        <v/>
      </c>
      <c r="E115" s="27"/>
      <c r="F115" s="27"/>
      <c r="G115" s="27"/>
      <c r="H115" s="27"/>
      <c r="I115" s="27"/>
      <c r="J115" s="27"/>
      <c r="K115" s="27"/>
      <c r="L115" s="27"/>
      <c r="M115" s="30" t="str">
        <f aca="false">IF(SUM(J115:K115)=0,"",J115/SUM(J115:K115))</f>
        <v/>
      </c>
      <c r="N115" s="27"/>
      <c r="O115" s="27"/>
    </row>
    <row r="116" customFormat="false" ht="15" hidden="false" customHeight="false" outlineLevel="0" collapsed="false">
      <c r="B116" s="26"/>
      <c r="C116" s="27"/>
      <c r="D116" s="28" t="str">
        <f aca="false">IF(C116="","",IFERROR(INDEX(Players!$C$5:$C$104,MATCH(C116,Players!$B$5:$B$104,0)),"ID not found"))</f>
        <v/>
      </c>
      <c r="E116" s="27"/>
      <c r="F116" s="27"/>
      <c r="G116" s="27"/>
      <c r="H116" s="27"/>
      <c r="I116" s="27"/>
      <c r="J116" s="27"/>
      <c r="K116" s="27"/>
      <c r="L116" s="27"/>
      <c r="M116" s="30" t="str">
        <f aca="false">IF(SUM(J116:K116)=0,"",J116/SUM(J116:K116))</f>
        <v/>
      </c>
      <c r="N116" s="27"/>
      <c r="O116" s="27"/>
    </row>
    <row r="117" customFormat="false" ht="15" hidden="false" customHeight="false" outlineLevel="0" collapsed="false">
      <c r="B117" s="26"/>
      <c r="C117" s="27"/>
      <c r="D117" s="28" t="str">
        <f aca="false">IF(C117="","",IFERROR(INDEX(Players!$C$5:$C$104,MATCH(C117,Players!$B$5:$B$104,0)),"ID not found"))</f>
        <v/>
      </c>
      <c r="E117" s="27"/>
      <c r="F117" s="27"/>
      <c r="G117" s="27"/>
      <c r="H117" s="27"/>
      <c r="I117" s="27"/>
      <c r="J117" s="27"/>
      <c r="K117" s="27"/>
      <c r="L117" s="27"/>
      <c r="M117" s="30" t="str">
        <f aca="false">IF(SUM(J117:K117)=0,"",J117/SUM(J117:K117))</f>
        <v/>
      </c>
      <c r="N117" s="27"/>
      <c r="O117" s="27"/>
    </row>
    <row r="118" customFormat="false" ht="15" hidden="false" customHeight="false" outlineLevel="0" collapsed="false">
      <c r="B118" s="26"/>
      <c r="C118" s="27"/>
      <c r="D118" s="28" t="str">
        <f aca="false">IF(C118="","",IFERROR(INDEX(Players!$C$5:$C$104,MATCH(C118,Players!$B$5:$B$104,0)),"ID not found"))</f>
        <v/>
      </c>
      <c r="E118" s="27"/>
      <c r="F118" s="27"/>
      <c r="G118" s="27"/>
      <c r="H118" s="27"/>
      <c r="I118" s="27"/>
      <c r="J118" s="27"/>
      <c r="K118" s="27"/>
      <c r="L118" s="27"/>
      <c r="M118" s="30" t="str">
        <f aca="false">IF(SUM(J118:K118)=0,"",J118/SUM(J118:K118))</f>
        <v/>
      </c>
      <c r="N118" s="27"/>
      <c r="O118" s="27"/>
    </row>
    <row r="119" customFormat="false" ht="15" hidden="false" customHeight="false" outlineLevel="0" collapsed="false">
      <c r="B119" s="26"/>
      <c r="C119" s="27"/>
      <c r="D119" s="28" t="str">
        <f aca="false">IF(C119="","",IFERROR(INDEX(Players!$C$5:$C$104,MATCH(C119,Players!$B$5:$B$104,0)),"ID not found"))</f>
        <v/>
      </c>
      <c r="E119" s="27"/>
      <c r="F119" s="27"/>
      <c r="G119" s="27"/>
      <c r="H119" s="27"/>
      <c r="I119" s="27"/>
      <c r="J119" s="27"/>
      <c r="K119" s="27"/>
      <c r="L119" s="27"/>
      <c r="M119" s="30" t="str">
        <f aca="false">IF(SUM(J119:K119)=0,"",J119/SUM(J119:K119))</f>
        <v/>
      </c>
      <c r="N119" s="27"/>
      <c r="O119" s="27"/>
    </row>
    <row r="120" customFormat="false" ht="15" hidden="false" customHeight="false" outlineLevel="0" collapsed="false">
      <c r="B120" s="26"/>
      <c r="C120" s="27"/>
      <c r="D120" s="28" t="str">
        <f aca="false">IF(C120="","",IFERROR(INDEX(Players!$C$5:$C$104,MATCH(C120,Players!$B$5:$B$104,0)),"ID not found"))</f>
        <v/>
      </c>
      <c r="E120" s="27"/>
      <c r="F120" s="27"/>
      <c r="G120" s="27"/>
      <c r="H120" s="27"/>
      <c r="I120" s="27"/>
      <c r="J120" s="27"/>
      <c r="K120" s="27"/>
      <c r="L120" s="27"/>
      <c r="M120" s="30" t="str">
        <f aca="false">IF(SUM(J120:K120)=0,"",J120/SUM(J120:K120))</f>
        <v/>
      </c>
      <c r="N120" s="27"/>
      <c r="O120" s="27"/>
    </row>
    <row r="121" customFormat="false" ht="15" hidden="false" customHeight="false" outlineLevel="0" collapsed="false">
      <c r="B121" s="26"/>
      <c r="C121" s="27"/>
      <c r="D121" s="28" t="str">
        <f aca="false">IF(C121="","",IFERROR(INDEX(Players!$C$5:$C$104,MATCH(C121,Players!$B$5:$B$104,0)),"ID not found"))</f>
        <v/>
      </c>
      <c r="E121" s="27"/>
      <c r="F121" s="27"/>
      <c r="G121" s="27"/>
      <c r="H121" s="27"/>
      <c r="I121" s="27"/>
      <c r="J121" s="27"/>
      <c r="K121" s="27"/>
      <c r="L121" s="27"/>
      <c r="M121" s="30" t="str">
        <f aca="false">IF(SUM(J121:K121)=0,"",J121/SUM(J121:K121))</f>
        <v/>
      </c>
      <c r="N121" s="27"/>
      <c r="O121" s="27"/>
    </row>
    <row r="122" customFormat="false" ht="15" hidden="false" customHeight="false" outlineLevel="0" collapsed="false">
      <c r="B122" s="26"/>
      <c r="C122" s="27"/>
      <c r="D122" s="28" t="str">
        <f aca="false">IF(C122="","",IFERROR(INDEX(Players!$C$5:$C$104,MATCH(C122,Players!$B$5:$B$104,0)),"ID not found"))</f>
        <v/>
      </c>
      <c r="E122" s="27"/>
      <c r="F122" s="27"/>
      <c r="G122" s="27"/>
      <c r="H122" s="27"/>
      <c r="I122" s="27"/>
      <c r="J122" s="27"/>
      <c r="K122" s="27"/>
      <c r="L122" s="27"/>
      <c r="M122" s="30" t="str">
        <f aca="false">IF(SUM(J122:K122)=0,"",J122/SUM(J122:K122))</f>
        <v/>
      </c>
      <c r="N122" s="27"/>
      <c r="O122" s="27"/>
    </row>
    <row r="123" customFormat="false" ht="15" hidden="false" customHeight="false" outlineLevel="0" collapsed="false">
      <c r="B123" s="26"/>
      <c r="C123" s="27"/>
      <c r="D123" s="28" t="str">
        <f aca="false">IF(C123="","",IFERROR(INDEX(Players!$C$5:$C$104,MATCH(C123,Players!$B$5:$B$104,0)),"ID not found"))</f>
        <v/>
      </c>
      <c r="E123" s="27"/>
      <c r="F123" s="27"/>
      <c r="G123" s="27"/>
      <c r="H123" s="27"/>
      <c r="I123" s="27"/>
      <c r="J123" s="27"/>
      <c r="K123" s="27"/>
      <c r="L123" s="27"/>
      <c r="M123" s="30" t="str">
        <f aca="false">IF(SUM(J123:K123)=0,"",J123/SUM(J123:K123))</f>
        <v/>
      </c>
      <c r="N123" s="27"/>
      <c r="O123" s="27"/>
    </row>
    <row r="124" customFormat="false" ht="15" hidden="false" customHeight="false" outlineLevel="0" collapsed="false">
      <c r="B124" s="26"/>
      <c r="C124" s="27"/>
      <c r="D124" s="28" t="str">
        <f aca="false">IF(C124="","",IFERROR(INDEX(Players!$C$5:$C$104,MATCH(C124,Players!$B$5:$B$104,0)),"ID not found"))</f>
        <v/>
      </c>
      <c r="E124" s="27"/>
      <c r="F124" s="27"/>
      <c r="G124" s="27"/>
      <c r="H124" s="27"/>
      <c r="I124" s="27"/>
      <c r="J124" s="27"/>
      <c r="K124" s="27"/>
      <c r="L124" s="27"/>
      <c r="M124" s="30" t="str">
        <f aca="false">IF(SUM(J124:K124)=0,"",J124/SUM(J124:K124))</f>
        <v/>
      </c>
      <c r="N124" s="27"/>
      <c r="O124" s="27"/>
    </row>
    <row r="125" customFormat="false" ht="15" hidden="false" customHeight="false" outlineLevel="0" collapsed="false">
      <c r="B125" s="26"/>
      <c r="C125" s="27"/>
      <c r="D125" s="28" t="str">
        <f aca="false">IF(C125="","",IFERROR(INDEX(Players!$C$5:$C$104,MATCH(C125,Players!$B$5:$B$104,0)),"ID not found"))</f>
        <v/>
      </c>
      <c r="E125" s="27"/>
      <c r="F125" s="27"/>
      <c r="G125" s="27"/>
      <c r="H125" s="27"/>
      <c r="I125" s="27"/>
      <c r="J125" s="27"/>
      <c r="K125" s="27"/>
      <c r="L125" s="27"/>
      <c r="M125" s="30" t="str">
        <f aca="false">IF(SUM(J125:K125)=0,"",J125/SUM(J125:K125))</f>
        <v/>
      </c>
      <c r="N125" s="27"/>
      <c r="O125" s="27"/>
    </row>
    <row r="126" customFormat="false" ht="15" hidden="false" customHeight="false" outlineLevel="0" collapsed="false">
      <c r="B126" s="26"/>
      <c r="C126" s="27"/>
      <c r="D126" s="28" t="str">
        <f aca="false">IF(C126="","",IFERROR(INDEX(Players!$C$5:$C$104,MATCH(C126,Players!$B$5:$B$104,0)),"ID not found"))</f>
        <v/>
      </c>
      <c r="E126" s="27"/>
      <c r="F126" s="27"/>
      <c r="G126" s="27"/>
      <c r="H126" s="27"/>
      <c r="I126" s="27"/>
      <c r="J126" s="27"/>
      <c r="K126" s="27"/>
      <c r="L126" s="27"/>
      <c r="M126" s="30" t="str">
        <f aca="false">IF(SUM(J126:K126)=0,"",J126/SUM(J126:K126))</f>
        <v/>
      </c>
      <c r="N126" s="27"/>
      <c r="O126" s="27"/>
    </row>
    <row r="127" customFormat="false" ht="15" hidden="false" customHeight="false" outlineLevel="0" collapsed="false">
      <c r="B127" s="26"/>
      <c r="C127" s="27"/>
      <c r="D127" s="28" t="str">
        <f aca="false">IF(C127="","",IFERROR(INDEX(Players!$C$5:$C$104,MATCH(C127,Players!$B$5:$B$104,0)),"ID not found"))</f>
        <v/>
      </c>
      <c r="E127" s="27"/>
      <c r="F127" s="27"/>
      <c r="G127" s="27"/>
      <c r="H127" s="27"/>
      <c r="I127" s="27"/>
      <c r="J127" s="27"/>
      <c r="K127" s="27"/>
      <c r="L127" s="27"/>
      <c r="M127" s="30" t="str">
        <f aca="false">IF(SUM(J127:K127)=0,"",J127/SUM(J127:K127))</f>
        <v/>
      </c>
      <c r="N127" s="27"/>
      <c r="O127" s="27"/>
    </row>
    <row r="128" customFormat="false" ht="15" hidden="false" customHeight="false" outlineLevel="0" collapsed="false">
      <c r="B128" s="26"/>
      <c r="C128" s="27"/>
      <c r="D128" s="28" t="str">
        <f aca="false">IF(C128="","",IFERROR(INDEX(Players!$C$5:$C$104,MATCH(C128,Players!$B$5:$B$104,0)),"ID not found"))</f>
        <v/>
      </c>
      <c r="E128" s="27"/>
      <c r="F128" s="27"/>
      <c r="G128" s="27"/>
      <c r="H128" s="27"/>
      <c r="I128" s="27"/>
      <c r="J128" s="27"/>
      <c r="K128" s="27"/>
      <c r="L128" s="27"/>
      <c r="M128" s="30" t="str">
        <f aca="false">IF(SUM(J128:K128)=0,"",J128/SUM(J128:K128))</f>
        <v/>
      </c>
      <c r="N128" s="27"/>
      <c r="O128" s="27"/>
    </row>
    <row r="129" customFormat="false" ht="15" hidden="false" customHeight="false" outlineLevel="0" collapsed="false">
      <c r="B129" s="26"/>
      <c r="C129" s="27"/>
      <c r="D129" s="28" t="str">
        <f aca="false">IF(C129="","",IFERROR(INDEX(Players!$C$5:$C$104,MATCH(C129,Players!$B$5:$B$104,0)),"ID not found"))</f>
        <v/>
      </c>
      <c r="E129" s="27"/>
      <c r="F129" s="27"/>
      <c r="G129" s="27"/>
      <c r="H129" s="27"/>
      <c r="I129" s="27"/>
      <c r="J129" s="27"/>
      <c r="K129" s="27"/>
      <c r="L129" s="27"/>
      <c r="M129" s="30" t="str">
        <f aca="false">IF(SUM(J129:K129)=0,"",J129/SUM(J129:K129))</f>
        <v/>
      </c>
      <c r="N129" s="27"/>
      <c r="O129" s="27"/>
    </row>
    <row r="130" customFormat="false" ht="15" hidden="false" customHeight="false" outlineLevel="0" collapsed="false">
      <c r="B130" s="26"/>
      <c r="C130" s="27"/>
      <c r="D130" s="28" t="str">
        <f aca="false">IF(C130="","",IFERROR(INDEX(Players!$C$5:$C$104,MATCH(C130,Players!$B$5:$B$104,0)),"ID not found"))</f>
        <v/>
      </c>
      <c r="E130" s="27"/>
      <c r="F130" s="27"/>
      <c r="G130" s="27"/>
      <c r="H130" s="27"/>
      <c r="I130" s="27"/>
      <c r="J130" s="27"/>
      <c r="K130" s="27"/>
      <c r="L130" s="27"/>
      <c r="M130" s="30" t="str">
        <f aca="false">IF(SUM(J130:K130)=0,"",J130/SUM(J130:K130))</f>
        <v/>
      </c>
      <c r="N130" s="27"/>
      <c r="O130" s="27"/>
    </row>
    <row r="131" customFormat="false" ht="15" hidden="false" customHeight="false" outlineLevel="0" collapsed="false">
      <c r="B131" s="26"/>
      <c r="C131" s="27"/>
      <c r="D131" s="28" t="str">
        <f aca="false">IF(C131="","",IFERROR(INDEX(Players!$C$5:$C$104,MATCH(C131,Players!$B$5:$B$104,0)),"ID not found"))</f>
        <v/>
      </c>
      <c r="E131" s="27"/>
      <c r="F131" s="27"/>
      <c r="G131" s="27"/>
      <c r="H131" s="27"/>
      <c r="I131" s="27"/>
      <c r="J131" s="27"/>
      <c r="K131" s="27"/>
      <c r="L131" s="27"/>
      <c r="M131" s="30" t="str">
        <f aca="false">IF(SUM(J131:K131)=0,"",J131/SUM(J131:K131))</f>
        <v/>
      </c>
      <c r="N131" s="27"/>
      <c r="O131" s="27"/>
    </row>
    <row r="132" customFormat="false" ht="15" hidden="false" customHeight="false" outlineLevel="0" collapsed="false">
      <c r="B132" s="26"/>
      <c r="C132" s="27"/>
      <c r="D132" s="28" t="str">
        <f aca="false">IF(C132="","",IFERROR(INDEX(Players!$C$5:$C$104,MATCH(C132,Players!$B$5:$B$104,0)),"ID not found"))</f>
        <v/>
      </c>
      <c r="E132" s="27"/>
      <c r="F132" s="27"/>
      <c r="G132" s="27"/>
      <c r="H132" s="27"/>
      <c r="I132" s="27"/>
      <c r="J132" s="27"/>
      <c r="K132" s="27"/>
      <c r="L132" s="27"/>
      <c r="M132" s="30" t="str">
        <f aca="false">IF(SUM(J132:K132)=0,"",J132/SUM(J132:K132))</f>
        <v/>
      </c>
      <c r="N132" s="27"/>
      <c r="O132" s="27"/>
    </row>
    <row r="133" customFormat="false" ht="15" hidden="false" customHeight="false" outlineLevel="0" collapsed="false">
      <c r="B133" s="26"/>
      <c r="C133" s="27"/>
      <c r="D133" s="28" t="str">
        <f aca="false">IF(C133="","",IFERROR(INDEX(Players!$C$5:$C$104,MATCH(C133,Players!$B$5:$B$104,0)),"ID not found"))</f>
        <v/>
      </c>
      <c r="E133" s="27"/>
      <c r="F133" s="27"/>
      <c r="G133" s="27"/>
      <c r="H133" s="27"/>
      <c r="I133" s="27"/>
      <c r="J133" s="27"/>
      <c r="K133" s="27"/>
      <c r="L133" s="27"/>
      <c r="M133" s="30" t="str">
        <f aca="false">IF(SUM(J133:K133)=0,"",J133/SUM(J133:K133))</f>
        <v/>
      </c>
      <c r="N133" s="27"/>
      <c r="O133" s="27"/>
    </row>
    <row r="134" customFormat="false" ht="15" hidden="false" customHeight="false" outlineLevel="0" collapsed="false">
      <c r="B134" s="26"/>
      <c r="C134" s="27"/>
      <c r="D134" s="28" t="str">
        <f aca="false">IF(C134="","",IFERROR(INDEX(Players!$C$5:$C$104,MATCH(C134,Players!$B$5:$B$104,0)),"ID not found"))</f>
        <v/>
      </c>
      <c r="E134" s="27"/>
      <c r="F134" s="27"/>
      <c r="G134" s="27"/>
      <c r="H134" s="27"/>
      <c r="I134" s="27"/>
      <c r="J134" s="27"/>
      <c r="K134" s="27"/>
      <c r="L134" s="27"/>
      <c r="M134" s="30" t="str">
        <f aca="false">IF(SUM(J134:K134)=0,"",J134/SUM(J134:K134))</f>
        <v/>
      </c>
      <c r="N134" s="27"/>
      <c r="O134" s="27"/>
    </row>
    <row r="135" customFormat="false" ht="15" hidden="false" customHeight="false" outlineLevel="0" collapsed="false">
      <c r="B135" s="26"/>
      <c r="C135" s="27"/>
      <c r="D135" s="28" t="str">
        <f aca="false">IF(C135="","",IFERROR(INDEX(Players!$C$5:$C$104,MATCH(C135,Players!$B$5:$B$104,0)),"ID not found"))</f>
        <v/>
      </c>
      <c r="E135" s="27"/>
      <c r="F135" s="27"/>
      <c r="G135" s="27"/>
      <c r="H135" s="27"/>
      <c r="I135" s="27"/>
      <c r="J135" s="27"/>
      <c r="K135" s="27"/>
      <c r="L135" s="27"/>
      <c r="M135" s="30" t="str">
        <f aca="false">IF(SUM(J135:K135)=0,"",J135/SUM(J135:K135))</f>
        <v/>
      </c>
      <c r="N135" s="27"/>
      <c r="O135" s="27"/>
    </row>
    <row r="136" customFormat="false" ht="15" hidden="false" customHeight="false" outlineLevel="0" collapsed="false">
      <c r="B136" s="26"/>
      <c r="C136" s="27"/>
      <c r="D136" s="28" t="str">
        <f aca="false">IF(C136="","",IFERROR(INDEX(Players!$C$5:$C$104,MATCH(C136,Players!$B$5:$B$104,0)),"ID not found"))</f>
        <v/>
      </c>
      <c r="E136" s="27"/>
      <c r="F136" s="27"/>
      <c r="G136" s="27"/>
      <c r="H136" s="27"/>
      <c r="I136" s="27"/>
      <c r="J136" s="27"/>
      <c r="K136" s="27"/>
      <c r="L136" s="27"/>
      <c r="M136" s="30" t="str">
        <f aca="false">IF(SUM(J136:K136)=0,"",J136/SUM(J136:K136))</f>
        <v/>
      </c>
      <c r="N136" s="27"/>
      <c r="O136" s="27"/>
    </row>
    <row r="137" customFormat="false" ht="15" hidden="false" customHeight="false" outlineLevel="0" collapsed="false">
      <c r="B137" s="26"/>
      <c r="C137" s="27"/>
      <c r="D137" s="28" t="str">
        <f aca="false">IF(C137="","",IFERROR(INDEX(Players!$C$5:$C$104,MATCH(C137,Players!$B$5:$B$104,0)),"ID not found"))</f>
        <v/>
      </c>
      <c r="E137" s="27"/>
      <c r="F137" s="27"/>
      <c r="G137" s="27"/>
      <c r="H137" s="27"/>
      <c r="I137" s="27"/>
      <c r="J137" s="27"/>
      <c r="K137" s="27"/>
      <c r="L137" s="27"/>
      <c r="M137" s="30" t="str">
        <f aca="false">IF(SUM(J137:K137)=0,"",J137/SUM(J137:K137))</f>
        <v/>
      </c>
      <c r="N137" s="27"/>
      <c r="O137" s="27"/>
    </row>
    <row r="138" customFormat="false" ht="15" hidden="false" customHeight="false" outlineLevel="0" collapsed="false">
      <c r="B138" s="26"/>
      <c r="C138" s="27"/>
      <c r="D138" s="28" t="str">
        <f aca="false">IF(C138="","",IFERROR(INDEX(Players!$C$5:$C$104,MATCH(C138,Players!$B$5:$B$104,0)),"ID not found"))</f>
        <v/>
      </c>
      <c r="E138" s="27"/>
      <c r="F138" s="27"/>
      <c r="G138" s="27"/>
      <c r="H138" s="27"/>
      <c r="I138" s="27"/>
      <c r="J138" s="27"/>
      <c r="K138" s="27"/>
      <c r="L138" s="27"/>
      <c r="M138" s="30" t="str">
        <f aca="false">IF(SUM(J138:K138)=0,"",J138/SUM(J138:K138))</f>
        <v/>
      </c>
      <c r="N138" s="27"/>
      <c r="O138" s="27"/>
    </row>
    <row r="139" customFormat="false" ht="15" hidden="false" customHeight="false" outlineLevel="0" collapsed="false">
      <c r="B139" s="26"/>
      <c r="C139" s="27"/>
      <c r="D139" s="28" t="str">
        <f aca="false">IF(C139="","",IFERROR(INDEX(Players!$C$5:$C$104,MATCH(C139,Players!$B$5:$B$104,0)),"ID not found"))</f>
        <v/>
      </c>
      <c r="E139" s="27"/>
      <c r="F139" s="27"/>
      <c r="G139" s="27"/>
      <c r="H139" s="27"/>
      <c r="I139" s="27"/>
      <c r="J139" s="27"/>
      <c r="K139" s="27"/>
      <c r="L139" s="27"/>
      <c r="M139" s="30" t="str">
        <f aca="false">IF(SUM(J139:K139)=0,"",J139/SUM(J139:K139))</f>
        <v/>
      </c>
      <c r="N139" s="27"/>
      <c r="O139" s="27"/>
    </row>
    <row r="140" customFormat="false" ht="15" hidden="false" customHeight="false" outlineLevel="0" collapsed="false">
      <c r="B140" s="26"/>
      <c r="C140" s="27"/>
      <c r="D140" s="28" t="str">
        <f aca="false">IF(C140="","",IFERROR(INDEX(Players!$C$5:$C$104,MATCH(C140,Players!$B$5:$B$104,0)),"ID not found"))</f>
        <v/>
      </c>
      <c r="E140" s="27"/>
      <c r="F140" s="27"/>
      <c r="G140" s="27"/>
      <c r="H140" s="27"/>
      <c r="I140" s="27"/>
      <c r="J140" s="27"/>
      <c r="K140" s="27"/>
      <c r="L140" s="27"/>
      <c r="M140" s="30" t="str">
        <f aca="false">IF(SUM(J140:K140)=0,"",J140/SUM(J140:K140))</f>
        <v/>
      </c>
      <c r="N140" s="27"/>
      <c r="O140" s="27"/>
    </row>
    <row r="141" customFormat="false" ht="15" hidden="false" customHeight="false" outlineLevel="0" collapsed="false">
      <c r="B141" s="26"/>
      <c r="C141" s="27"/>
      <c r="D141" s="28" t="str">
        <f aca="false">IF(C141="","",IFERROR(INDEX(Players!$C$5:$C$104,MATCH(C141,Players!$B$5:$B$104,0)),"ID not found"))</f>
        <v/>
      </c>
      <c r="E141" s="27"/>
      <c r="F141" s="27"/>
      <c r="G141" s="27"/>
      <c r="H141" s="27"/>
      <c r="I141" s="27"/>
      <c r="J141" s="27"/>
      <c r="K141" s="27"/>
      <c r="L141" s="27"/>
      <c r="M141" s="30" t="str">
        <f aca="false">IF(SUM(J141:K141)=0,"",J141/SUM(J141:K141))</f>
        <v/>
      </c>
      <c r="N141" s="27"/>
      <c r="O141" s="27"/>
    </row>
    <row r="142" customFormat="false" ht="15" hidden="false" customHeight="false" outlineLevel="0" collapsed="false">
      <c r="B142" s="26"/>
      <c r="C142" s="27"/>
      <c r="D142" s="28" t="str">
        <f aca="false">IF(C142="","",IFERROR(INDEX(Players!$C$5:$C$104,MATCH(C142,Players!$B$5:$B$104,0)),"ID not found"))</f>
        <v/>
      </c>
      <c r="E142" s="27"/>
      <c r="F142" s="27"/>
      <c r="G142" s="27"/>
      <c r="H142" s="27"/>
      <c r="I142" s="27"/>
      <c r="J142" s="27"/>
      <c r="K142" s="27"/>
      <c r="L142" s="27"/>
      <c r="M142" s="30" t="str">
        <f aca="false">IF(SUM(J142:K142)=0,"",J142/SUM(J142:K142))</f>
        <v/>
      </c>
      <c r="N142" s="27"/>
      <c r="O142" s="27"/>
    </row>
    <row r="143" customFormat="false" ht="15" hidden="false" customHeight="false" outlineLevel="0" collapsed="false">
      <c r="B143" s="26"/>
      <c r="C143" s="27"/>
      <c r="D143" s="28" t="str">
        <f aca="false">IF(C143="","",IFERROR(INDEX(Players!$C$5:$C$104,MATCH(C143,Players!$B$5:$B$104,0)),"ID not found"))</f>
        <v/>
      </c>
      <c r="E143" s="27"/>
      <c r="F143" s="27"/>
      <c r="G143" s="27"/>
      <c r="H143" s="27"/>
      <c r="I143" s="27"/>
      <c r="J143" s="27"/>
      <c r="K143" s="27"/>
      <c r="L143" s="27"/>
      <c r="M143" s="30" t="str">
        <f aca="false">IF(SUM(J143:K143)=0,"",J143/SUM(J143:K143))</f>
        <v/>
      </c>
      <c r="N143" s="27"/>
      <c r="O143" s="27"/>
    </row>
    <row r="144" customFormat="false" ht="15" hidden="false" customHeight="false" outlineLevel="0" collapsed="false">
      <c r="B144" s="26"/>
      <c r="C144" s="27"/>
      <c r="D144" s="28" t="str">
        <f aca="false">IF(C144="","",IFERROR(INDEX(Players!$C$5:$C$104,MATCH(C144,Players!$B$5:$B$104,0)),"ID not found"))</f>
        <v/>
      </c>
      <c r="E144" s="27"/>
      <c r="F144" s="27"/>
      <c r="G144" s="27"/>
      <c r="H144" s="27"/>
      <c r="I144" s="27"/>
      <c r="J144" s="27"/>
      <c r="K144" s="27"/>
      <c r="L144" s="27"/>
      <c r="M144" s="30" t="str">
        <f aca="false">IF(SUM(J144:K144)=0,"",J144/SUM(J144:K144))</f>
        <v/>
      </c>
      <c r="N144" s="27"/>
      <c r="O144" s="27"/>
    </row>
    <row r="145" customFormat="false" ht="15" hidden="false" customHeight="false" outlineLevel="0" collapsed="false">
      <c r="B145" s="26"/>
      <c r="C145" s="27"/>
      <c r="D145" s="28" t="str">
        <f aca="false">IF(C145="","",IFERROR(INDEX(Players!$C$5:$C$104,MATCH(C145,Players!$B$5:$B$104,0)),"ID not found"))</f>
        <v/>
      </c>
      <c r="E145" s="27"/>
      <c r="F145" s="27"/>
      <c r="G145" s="27"/>
      <c r="H145" s="27"/>
      <c r="I145" s="27"/>
      <c r="J145" s="27"/>
      <c r="K145" s="27"/>
      <c r="L145" s="27"/>
      <c r="M145" s="30" t="str">
        <f aca="false">IF(SUM(J145:K145)=0,"",J145/SUM(J145:K145))</f>
        <v/>
      </c>
      <c r="N145" s="27"/>
      <c r="O145" s="27"/>
    </row>
    <row r="146" customFormat="false" ht="15" hidden="false" customHeight="false" outlineLevel="0" collapsed="false">
      <c r="B146" s="26"/>
      <c r="C146" s="27"/>
      <c r="D146" s="28" t="str">
        <f aca="false">IF(C146="","",IFERROR(INDEX(Players!$C$5:$C$104,MATCH(C146,Players!$B$5:$B$104,0)),"ID not found"))</f>
        <v/>
      </c>
      <c r="E146" s="27"/>
      <c r="F146" s="27"/>
      <c r="G146" s="27"/>
      <c r="H146" s="27"/>
      <c r="I146" s="27"/>
      <c r="J146" s="27"/>
      <c r="K146" s="27"/>
      <c r="L146" s="27"/>
      <c r="M146" s="30" t="str">
        <f aca="false">IF(SUM(J146:K146)=0,"",J146/SUM(J146:K146))</f>
        <v/>
      </c>
      <c r="N146" s="27"/>
      <c r="O146" s="27"/>
    </row>
    <row r="147" customFormat="false" ht="15" hidden="false" customHeight="false" outlineLevel="0" collapsed="false">
      <c r="B147" s="26"/>
      <c r="C147" s="27"/>
      <c r="D147" s="28" t="str">
        <f aca="false">IF(C147="","",IFERROR(INDEX(Players!$C$5:$C$104,MATCH(C147,Players!$B$5:$B$104,0)),"ID not found"))</f>
        <v/>
      </c>
      <c r="E147" s="27"/>
      <c r="F147" s="27"/>
      <c r="G147" s="27"/>
      <c r="H147" s="27"/>
      <c r="I147" s="27"/>
      <c r="J147" s="27"/>
      <c r="K147" s="27"/>
      <c r="L147" s="27"/>
      <c r="M147" s="30" t="str">
        <f aca="false">IF(SUM(J147:K147)=0,"",J147/SUM(J147:K147))</f>
        <v/>
      </c>
      <c r="N147" s="27"/>
      <c r="O147" s="27"/>
    </row>
    <row r="148" customFormat="false" ht="15" hidden="false" customHeight="false" outlineLevel="0" collapsed="false">
      <c r="B148" s="26"/>
      <c r="C148" s="27"/>
      <c r="D148" s="28" t="str">
        <f aca="false">IF(C148="","",IFERROR(INDEX(Players!$C$5:$C$104,MATCH(C148,Players!$B$5:$B$104,0)),"ID not found"))</f>
        <v/>
      </c>
      <c r="E148" s="27"/>
      <c r="F148" s="27"/>
      <c r="G148" s="27"/>
      <c r="H148" s="27"/>
      <c r="I148" s="27"/>
      <c r="J148" s="27"/>
      <c r="K148" s="27"/>
      <c r="L148" s="27"/>
      <c r="M148" s="30" t="str">
        <f aca="false">IF(SUM(J148:K148)=0,"",J148/SUM(J148:K148))</f>
        <v/>
      </c>
      <c r="N148" s="27"/>
      <c r="O148" s="27"/>
    </row>
    <row r="149" customFormat="false" ht="15" hidden="false" customHeight="false" outlineLevel="0" collapsed="false">
      <c r="B149" s="26"/>
      <c r="C149" s="27"/>
      <c r="D149" s="28" t="str">
        <f aca="false">IF(C149="","",IFERROR(INDEX(Players!$C$5:$C$104,MATCH(C149,Players!$B$5:$B$104,0)),"ID not found"))</f>
        <v/>
      </c>
      <c r="E149" s="27"/>
      <c r="F149" s="27"/>
      <c r="G149" s="27"/>
      <c r="H149" s="27"/>
      <c r="I149" s="27"/>
      <c r="J149" s="27"/>
      <c r="K149" s="27"/>
      <c r="L149" s="27"/>
      <c r="M149" s="30" t="str">
        <f aca="false">IF(SUM(J149:K149)=0,"",J149/SUM(J149:K149))</f>
        <v/>
      </c>
      <c r="N149" s="27"/>
      <c r="O149" s="27"/>
    </row>
    <row r="150" customFormat="false" ht="15" hidden="false" customHeight="false" outlineLevel="0" collapsed="false">
      <c r="B150" s="26"/>
      <c r="C150" s="27"/>
      <c r="D150" s="28" t="str">
        <f aca="false">IF(C150="","",IFERROR(INDEX(Players!$C$5:$C$104,MATCH(C150,Players!$B$5:$B$104,0)),"ID not found"))</f>
        <v/>
      </c>
      <c r="E150" s="27"/>
      <c r="F150" s="27"/>
      <c r="G150" s="27"/>
      <c r="H150" s="27"/>
      <c r="I150" s="27"/>
      <c r="J150" s="27"/>
      <c r="K150" s="27"/>
      <c r="L150" s="27"/>
      <c r="M150" s="30" t="str">
        <f aca="false">IF(SUM(J150:K150)=0,"",J150/SUM(J150:K150))</f>
        <v/>
      </c>
      <c r="N150" s="27"/>
      <c r="O150" s="27"/>
    </row>
    <row r="151" customFormat="false" ht="15" hidden="false" customHeight="false" outlineLevel="0" collapsed="false">
      <c r="B151" s="26"/>
      <c r="C151" s="27"/>
      <c r="D151" s="28" t="str">
        <f aca="false">IF(C151="","",IFERROR(INDEX(Players!$C$5:$C$104,MATCH(C151,Players!$B$5:$B$104,0)),"ID not found"))</f>
        <v/>
      </c>
      <c r="E151" s="27"/>
      <c r="F151" s="27"/>
      <c r="G151" s="27"/>
      <c r="H151" s="27"/>
      <c r="I151" s="27"/>
      <c r="J151" s="27"/>
      <c r="K151" s="27"/>
      <c r="L151" s="27"/>
      <c r="M151" s="30" t="str">
        <f aca="false">IF(SUM(J151:K151)=0,"",J151/SUM(J151:K151))</f>
        <v/>
      </c>
      <c r="N151" s="27"/>
      <c r="O151" s="27"/>
    </row>
    <row r="152" customFormat="false" ht="15" hidden="false" customHeight="false" outlineLevel="0" collapsed="false">
      <c r="B152" s="26"/>
      <c r="C152" s="27"/>
      <c r="D152" s="28" t="str">
        <f aca="false">IF(C152="","",IFERROR(INDEX(Players!$C$5:$C$104,MATCH(C152,Players!$B$5:$B$104,0)),"ID not found"))</f>
        <v/>
      </c>
      <c r="E152" s="27"/>
      <c r="F152" s="27"/>
      <c r="G152" s="27"/>
      <c r="H152" s="27"/>
      <c r="I152" s="27"/>
      <c r="J152" s="27"/>
      <c r="K152" s="27"/>
      <c r="L152" s="27"/>
      <c r="M152" s="30" t="str">
        <f aca="false">IF(SUM(J152:K152)=0,"",J152/SUM(J152:K152))</f>
        <v/>
      </c>
      <c r="N152" s="27"/>
      <c r="O152" s="27"/>
    </row>
    <row r="153" customFormat="false" ht="15" hidden="false" customHeight="false" outlineLevel="0" collapsed="false">
      <c r="B153" s="26"/>
      <c r="C153" s="27"/>
      <c r="D153" s="28" t="str">
        <f aca="false">IF(C153="","",IFERROR(INDEX(Players!$C$5:$C$104,MATCH(C153,Players!$B$5:$B$104,0)),"ID not found"))</f>
        <v/>
      </c>
      <c r="E153" s="27"/>
      <c r="F153" s="27"/>
      <c r="G153" s="27"/>
      <c r="H153" s="27"/>
      <c r="I153" s="27"/>
      <c r="J153" s="27"/>
      <c r="K153" s="27"/>
      <c r="L153" s="27"/>
      <c r="M153" s="30" t="str">
        <f aca="false">IF(SUM(J153:K153)=0,"",J153/SUM(J153:K153))</f>
        <v/>
      </c>
      <c r="N153" s="27"/>
      <c r="O153" s="27"/>
    </row>
    <row r="154" customFormat="false" ht="15" hidden="false" customHeight="false" outlineLevel="0" collapsed="false">
      <c r="B154" s="26"/>
      <c r="C154" s="27"/>
      <c r="D154" s="28" t="str">
        <f aca="false">IF(C154="","",IFERROR(INDEX(Players!$C$5:$C$104,MATCH(C154,Players!$B$5:$B$104,0)),"ID not found"))</f>
        <v/>
      </c>
      <c r="E154" s="27"/>
      <c r="F154" s="27"/>
      <c r="G154" s="27"/>
      <c r="H154" s="27"/>
      <c r="I154" s="27"/>
      <c r="J154" s="27"/>
      <c r="K154" s="27"/>
      <c r="L154" s="27"/>
      <c r="M154" s="30" t="str">
        <f aca="false">IF(SUM(J154:K154)=0,"",J154/SUM(J154:K154))</f>
        <v/>
      </c>
      <c r="N154" s="27"/>
      <c r="O154" s="27"/>
    </row>
    <row r="155" customFormat="false" ht="15" hidden="false" customHeight="false" outlineLevel="0" collapsed="false">
      <c r="B155" s="26"/>
      <c r="C155" s="27"/>
      <c r="D155" s="28" t="str">
        <f aca="false">IF(C155="","",IFERROR(INDEX(Players!$C$5:$C$104,MATCH(C155,Players!$B$5:$B$104,0)),"ID not found"))</f>
        <v/>
      </c>
      <c r="E155" s="27"/>
      <c r="F155" s="27"/>
      <c r="G155" s="27"/>
      <c r="H155" s="27"/>
      <c r="I155" s="27"/>
      <c r="J155" s="27"/>
      <c r="K155" s="27"/>
      <c r="L155" s="27"/>
      <c r="M155" s="30" t="str">
        <f aca="false">IF(SUM(J155:K155)=0,"",J155/SUM(J155:K155))</f>
        <v/>
      </c>
      <c r="N155" s="27"/>
      <c r="O155" s="27"/>
    </row>
    <row r="156" customFormat="false" ht="15" hidden="false" customHeight="false" outlineLevel="0" collapsed="false">
      <c r="B156" s="26"/>
      <c r="C156" s="27"/>
      <c r="D156" s="28" t="str">
        <f aca="false">IF(C156="","",IFERROR(INDEX(Players!$C$5:$C$104,MATCH(C156,Players!$B$5:$B$104,0)),"ID not found"))</f>
        <v/>
      </c>
      <c r="E156" s="27"/>
      <c r="F156" s="27"/>
      <c r="G156" s="27"/>
      <c r="H156" s="27"/>
      <c r="I156" s="27"/>
      <c r="J156" s="27"/>
      <c r="K156" s="27"/>
      <c r="L156" s="27"/>
      <c r="M156" s="30" t="str">
        <f aca="false">IF(SUM(J156:K156)=0,"",J156/SUM(J156:K156))</f>
        <v/>
      </c>
      <c r="N156" s="27"/>
      <c r="O156" s="27"/>
    </row>
    <row r="157" customFormat="false" ht="15" hidden="false" customHeight="false" outlineLevel="0" collapsed="false">
      <c r="B157" s="26"/>
      <c r="C157" s="27"/>
      <c r="D157" s="28" t="str">
        <f aca="false">IF(C157="","",IFERROR(INDEX(Players!$C$5:$C$104,MATCH(C157,Players!$B$5:$B$104,0)),"ID not found"))</f>
        <v/>
      </c>
      <c r="E157" s="27"/>
      <c r="F157" s="27"/>
      <c r="G157" s="27"/>
      <c r="H157" s="27"/>
      <c r="I157" s="27"/>
      <c r="J157" s="27"/>
      <c r="K157" s="27"/>
      <c r="L157" s="27"/>
      <c r="M157" s="30" t="str">
        <f aca="false">IF(SUM(J157:K157)=0,"",J157/SUM(J157:K157))</f>
        <v/>
      </c>
      <c r="N157" s="27"/>
      <c r="O157" s="27"/>
    </row>
    <row r="158" customFormat="false" ht="15" hidden="false" customHeight="false" outlineLevel="0" collapsed="false">
      <c r="B158" s="26"/>
      <c r="C158" s="27"/>
      <c r="D158" s="28" t="str">
        <f aca="false">IF(C158="","",IFERROR(INDEX(Players!$C$5:$C$104,MATCH(C158,Players!$B$5:$B$104,0)),"ID not found"))</f>
        <v/>
      </c>
      <c r="E158" s="27"/>
      <c r="F158" s="27"/>
      <c r="G158" s="27"/>
      <c r="H158" s="27"/>
      <c r="I158" s="27"/>
      <c r="J158" s="27"/>
      <c r="K158" s="27"/>
      <c r="L158" s="27"/>
      <c r="M158" s="30" t="str">
        <f aca="false">IF(SUM(J158:K158)=0,"",J158/SUM(J158:K158))</f>
        <v/>
      </c>
      <c r="N158" s="27"/>
      <c r="O158" s="27"/>
    </row>
    <row r="159" customFormat="false" ht="15" hidden="false" customHeight="false" outlineLevel="0" collapsed="false">
      <c r="B159" s="26"/>
      <c r="C159" s="27"/>
      <c r="D159" s="28" t="str">
        <f aca="false">IF(C159="","",IFERROR(INDEX(Players!$C$5:$C$104,MATCH(C159,Players!$B$5:$B$104,0)),"ID not found"))</f>
        <v/>
      </c>
      <c r="E159" s="27"/>
      <c r="F159" s="27"/>
      <c r="G159" s="27"/>
      <c r="H159" s="27"/>
      <c r="I159" s="27"/>
      <c r="J159" s="27"/>
      <c r="K159" s="27"/>
      <c r="L159" s="27"/>
      <c r="M159" s="30" t="str">
        <f aca="false">IF(SUM(J159:K159)=0,"",J159/SUM(J159:K159))</f>
        <v/>
      </c>
      <c r="N159" s="27"/>
      <c r="O159" s="27"/>
    </row>
    <row r="160" customFormat="false" ht="15" hidden="false" customHeight="false" outlineLevel="0" collapsed="false">
      <c r="B160" s="26"/>
      <c r="C160" s="27"/>
      <c r="D160" s="28" t="str">
        <f aca="false">IF(C160="","",IFERROR(INDEX(Players!$C$5:$C$104,MATCH(C160,Players!$B$5:$B$104,0)),"ID not found"))</f>
        <v/>
      </c>
      <c r="E160" s="27"/>
      <c r="F160" s="27"/>
      <c r="G160" s="27"/>
      <c r="H160" s="27"/>
      <c r="I160" s="27"/>
      <c r="J160" s="27"/>
      <c r="K160" s="27"/>
      <c r="L160" s="27"/>
      <c r="M160" s="30" t="str">
        <f aca="false">IF(SUM(J160:K160)=0,"",J160/SUM(J160:K160))</f>
        <v/>
      </c>
      <c r="N160" s="27"/>
      <c r="O160" s="27"/>
    </row>
    <row r="161" customFormat="false" ht="15" hidden="false" customHeight="false" outlineLevel="0" collapsed="false">
      <c r="B161" s="26"/>
      <c r="C161" s="27"/>
      <c r="D161" s="28" t="str">
        <f aca="false">IF(C161="","",IFERROR(INDEX(Players!$C$5:$C$104,MATCH(C161,Players!$B$5:$B$104,0)),"ID not found"))</f>
        <v/>
      </c>
      <c r="E161" s="27"/>
      <c r="F161" s="27"/>
      <c r="G161" s="27"/>
      <c r="H161" s="27"/>
      <c r="I161" s="27"/>
      <c r="J161" s="27"/>
      <c r="K161" s="27"/>
      <c r="L161" s="27"/>
      <c r="M161" s="30" t="str">
        <f aca="false">IF(SUM(J161:K161)=0,"",J161/SUM(J161:K161))</f>
        <v/>
      </c>
      <c r="N161" s="27"/>
      <c r="O161" s="27"/>
    </row>
    <row r="162" customFormat="false" ht="15" hidden="false" customHeight="false" outlineLevel="0" collapsed="false">
      <c r="B162" s="26"/>
      <c r="C162" s="27"/>
      <c r="D162" s="28" t="str">
        <f aca="false">IF(C162="","",IFERROR(INDEX(Players!$C$5:$C$104,MATCH(C162,Players!$B$5:$B$104,0)),"ID not found"))</f>
        <v/>
      </c>
      <c r="E162" s="27"/>
      <c r="F162" s="27"/>
      <c r="G162" s="27"/>
      <c r="H162" s="27"/>
      <c r="I162" s="27"/>
      <c r="J162" s="27"/>
      <c r="K162" s="27"/>
      <c r="L162" s="27"/>
      <c r="M162" s="30" t="str">
        <f aca="false">IF(SUM(J162:K162)=0,"",J162/SUM(J162:K162))</f>
        <v/>
      </c>
      <c r="N162" s="27"/>
      <c r="O162" s="27"/>
    </row>
    <row r="163" customFormat="false" ht="15" hidden="false" customHeight="false" outlineLevel="0" collapsed="false">
      <c r="B163" s="26"/>
      <c r="C163" s="27"/>
      <c r="D163" s="28" t="str">
        <f aca="false">IF(C163="","",IFERROR(INDEX(Players!$C$5:$C$104,MATCH(C163,Players!$B$5:$B$104,0)),"ID not found"))</f>
        <v/>
      </c>
      <c r="E163" s="27"/>
      <c r="F163" s="27"/>
      <c r="G163" s="27"/>
      <c r="H163" s="27"/>
      <c r="I163" s="27"/>
      <c r="J163" s="27"/>
      <c r="K163" s="27"/>
      <c r="L163" s="27"/>
      <c r="M163" s="30" t="str">
        <f aca="false">IF(SUM(J163:K163)=0,"",J163/SUM(J163:K163))</f>
        <v/>
      </c>
      <c r="N163" s="27"/>
      <c r="O163" s="27"/>
    </row>
    <row r="164" customFormat="false" ht="15" hidden="false" customHeight="false" outlineLevel="0" collapsed="false">
      <c r="B164" s="26"/>
      <c r="C164" s="27"/>
      <c r="D164" s="28" t="str">
        <f aca="false">IF(C164="","",IFERROR(INDEX(Players!$C$5:$C$104,MATCH(C164,Players!$B$5:$B$104,0)),"ID not found"))</f>
        <v/>
      </c>
      <c r="E164" s="27"/>
      <c r="F164" s="27"/>
      <c r="G164" s="27"/>
      <c r="H164" s="27"/>
      <c r="I164" s="27"/>
      <c r="J164" s="27"/>
      <c r="K164" s="27"/>
      <c r="L164" s="27"/>
      <c r="M164" s="30" t="str">
        <f aca="false">IF(SUM(J164:K164)=0,"",J164/SUM(J164:K164))</f>
        <v/>
      </c>
      <c r="N164" s="27"/>
      <c r="O164" s="27"/>
    </row>
    <row r="165" customFormat="false" ht="15" hidden="false" customHeight="false" outlineLevel="0" collapsed="false">
      <c r="B165" s="26"/>
      <c r="C165" s="27"/>
      <c r="D165" s="28" t="str">
        <f aca="false">IF(C165="","",IFERROR(INDEX(Players!$C$5:$C$104,MATCH(C165,Players!$B$5:$B$104,0)),"ID not found"))</f>
        <v/>
      </c>
      <c r="E165" s="27"/>
      <c r="F165" s="27"/>
      <c r="G165" s="27"/>
      <c r="H165" s="27"/>
      <c r="I165" s="27"/>
      <c r="J165" s="27"/>
      <c r="K165" s="27"/>
      <c r="L165" s="27"/>
      <c r="M165" s="30" t="str">
        <f aca="false">IF(SUM(J165:K165)=0,"",J165/SUM(J165:K165))</f>
        <v/>
      </c>
      <c r="N165" s="27"/>
      <c r="O165" s="27"/>
    </row>
    <row r="166" customFormat="false" ht="15" hidden="false" customHeight="false" outlineLevel="0" collapsed="false">
      <c r="B166" s="26"/>
      <c r="C166" s="27"/>
      <c r="D166" s="28" t="str">
        <f aca="false">IF(C166="","",IFERROR(INDEX(Players!$C$5:$C$104,MATCH(C166,Players!$B$5:$B$104,0)),"ID not found"))</f>
        <v/>
      </c>
      <c r="E166" s="27"/>
      <c r="F166" s="27"/>
      <c r="G166" s="27"/>
      <c r="H166" s="27"/>
      <c r="I166" s="27"/>
      <c r="J166" s="27"/>
      <c r="K166" s="27"/>
      <c r="L166" s="27"/>
      <c r="M166" s="30" t="str">
        <f aca="false">IF(SUM(J166:K166)=0,"",J166/SUM(J166:K166))</f>
        <v/>
      </c>
      <c r="N166" s="27"/>
      <c r="O166" s="27"/>
    </row>
    <row r="167" customFormat="false" ht="15" hidden="false" customHeight="false" outlineLevel="0" collapsed="false">
      <c r="B167" s="26"/>
      <c r="C167" s="27"/>
      <c r="D167" s="28" t="str">
        <f aca="false">IF(C167="","",IFERROR(INDEX(Players!$C$5:$C$104,MATCH(C167,Players!$B$5:$B$104,0)),"ID not found"))</f>
        <v/>
      </c>
      <c r="E167" s="27"/>
      <c r="F167" s="27"/>
      <c r="G167" s="27"/>
      <c r="H167" s="27"/>
      <c r="I167" s="27"/>
      <c r="J167" s="27"/>
      <c r="K167" s="27"/>
      <c r="L167" s="27"/>
      <c r="M167" s="30" t="str">
        <f aca="false">IF(SUM(J167:K167)=0,"",J167/SUM(J167:K167))</f>
        <v/>
      </c>
      <c r="N167" s="27"/>
      <c r="O167" s="27"/>
    </row>
    <row r="168" customFormat="false" ht="15" hidden="false" customHeight="false" outlineLevel="0" collapsed="false">
      <c r="B168" s="26"/>
      <c r="C168" s="27"/>
      <c r="D168" s="28" t="str">
        <f aca="false">IF(C168="","",IFERROR(INDEX(Players!$C$5:$C$104,MATCH(C168,Players!$B$5:$B$104,0)),"ID not found"))</f>
        <v/>
      </c>
      <c r="E168" s="27"/>
      <c r="F168" s="27"/>
      <c r="G168" s="27"/>
      <c r="H168" s="27"/>
      <c r="I168" s="27"/>
      <c r="J168" s="27"/>
      <c r="K168" s="27"/>
      <c r="L168" s="27"/>
      <c r="M168" s="30" t="str">
        <f aca="false">IF(SUM(J168:K168)=0,"",J168/SUM(J168:K168))</f>
        <v/>
      </c>
      <c r="N168" s="27"/>
      <c r="O168" s="27"/>
    </row>
    <row r="169" customFormat="false" ht="15" hidden="false" customHeight="false" outlineLevel="0" collapsed="false">
      <c r="B169" s="26"/>
      <c r="C169" s="27"/>
      <c r="D169" s="28" t="str">
        <f aca="false">IF(C169="","",IFERROR(INDEX(Players!$C$5:$C$104,MATCH(C169,Players!$B$5:$B$104,0)),"ID not found"))</f>
        <v/>
      </c>
      <c r="E169" s="27"/>
      <c r="F169" s="27"/>
      <c r="G169" s="27"/>
      <c r="H169" s="27"/>
      <c r="I169" s="27"/>
      <c r="J169" s="27"/>
      <c r="K169" s="27"/>
      <c r="L169" s="27"/>
      <c r="M169" s="30" t="str">
        <f aca="false">IF(SUM(J169:K169)=0,"",J169/SUM(J169:K169))</f>
        <v/>
      </c>
      <c r="N169" s="27"/>
      <c r="O169" s="27"/>
    </row>
    <row r="170" customFormat="false" ht="15" hidden="false" customHeight="false" outlineLevel="0" collapsed="false">
      <c r="B170" s="26"/>
      <c r="C170" s="27"/>
      <c r="D170" s="28" t="str">
        <f aca="false">IF(C170="","",IFERROR(INDEX(Players!$C$5:$C$104,MATCH(C170,Players!$B$5:$B$104,0)),"ID not found"))</f>
        <v/>
      </c>
      <c r="E170" s="27"/>
      <c r="F170" s="27"/>
      <c r="G170" s="27"/>
      <c r="H170" s="27"/>
      <c r="I170" s="27"/>
      <c r="J170" s="27"/>
      <c r="K170" s="27"/>
      <c r="L170" s="27"/>
      <c r="M170" s="30" t="str">
        <f aca="false">IF(SUM(J170:K170)=0,"",J170/SUM(J170:K170))</f>
        <v/>
      </c>
      <c r="N170" s="27"/>
      <c r="O170" s="27"/>
    </row>
    <row r="171" customFormat="false" ht="15" hidden="false" customHeight="false" outlineLevel="0" collapsed="false">
      <c r="B171" s="26"/>
      <c r="C171" s="27"/>
      <c r="D171" s="28" t="str">
        <f aca="false">IF(C171="","",IFERROR(INDEX(Players!$C$5:$C$104,MATCH(C171,Players!$B$5:$B$104,0)),"ID not found"))</f>
        <v/>
      </c>
      <c r="E171" s="27"/>
      <c r="F171" s="27"/>
      <c r="G171" s="27"/>
      <c r="H171" s="27"/>
      <c r="I171" s="27"/>
      <c r="J171" s="27"/>
      <c r="K171" s="27"/>
      <c r="L171" s="27"/>
      <c r="M171" s="30" t="str">
        <f aca="false">IF(SUM(J171:K171)=0,"",J171/SUM(J171:K171))</f>
        <v/>
      </c>
      <c r="N171" s="27"/>
      <c r="O171" s="27"/>
    </row>
    <row r="172" customFormat="false" ht="15" hidden="false" customHeight="false" outlineLevel="0" collapsed="false">
      <c r="B172" s="26"/>
      <c r="C172" s="27"/>
      <c r="D172" s="28" t="str">
        <f aca="false">IF(C172="","",IFERROR(INDEX(Players!$C$5:$C$104,MATCH(C172,Players!$B$5:$B$104,0)),"ID not found"))</f>
        <v/>
      </c>
      <c r="E172" s="27"/>
      <c r="F172" s="27"/>
      <c r="G172" s="27"/>
      <c r="H172" s="27"/>
      <c r="I172" s="27"/>
      <c r="J172" s="27"/>
      <c r="K172" s="27"/>
      <c r="L172" s="27"/>
      <c r="M172" s="30" t="str">
        <f aca="false">IF(SUM(J172:K172)=0,"",J172/SUM(J172:K172))</f>
        <v/>
      </c>
      <c r="N172" s="27"/>
      <c r="O172" s="27"/>
    </row>
    <row r="173" customFormat="false" ht="15" hidden="false" customHeight="false" outlineLevel="0" collapsed="false">
      <c r="B173" s="26"/>
      <c r="C173" s="27"/>
      <c r="D173" s="28" t="str">
        <f aca="false">IF(C173="","",IFERROR(INDEX(Players!$C$5:$C$104,MATCH(C173,Players!$B$5:$B$104,0)),"ID not found"))</f>
        <v/>
      </c>
      <c r="E173" s="27"/>
      <c r="F173" s="27"/>
      <c r="G173" s="27"/>
      <c r="H173" s="27"/>
      <c r="I173" s="27"/>
      <c r="J173" s="27"/>
      <c r="K173" s="27"/>
      <c r="L173" s="27"/>
      <c r="M173" s="30" t="str">
        <f aca="false">IF(SUM(J173:K173)=0,"",J173/SUM(J173:K173))</f>
        <v/>
      </c>
      <c r="N173" s="27"/>
      <c r="O173" s="27"/>
    </row>
    <row r="174" customFormat="false" ht="15" hidden="false" customHeight="false" outlineLevel="0" collapsed="false">
      <c r="B174" s="26"/>
      <c r="C174" s="27"/>
      <c r="D174" s="28" t="str">
        <f aca="false">IF(C174="","",IFERROR(INDEX(Players!$C$5:$C$104,MATCH(C174,Players!$B$5:$B$104,0)),"ID not found"))</f>
        <v/>
      </c>
      <c r="E174" s="27"/>
      <c r="F174" s="27"/>
      <c r="G174" s="27"/>
      <c r="H174" s="27"/>
      <c r="I174" s="27"/>
      <c r="J174" s="27"/>
      <c r="K174" s="27"/>
      <c r="L174" s="27"/>
      <c r="M174" s="30" t="str">
        <f aca="false">IF(SUM(J174:K174)=0,"",J174/SUM(J174:K174))</f>
        <v/>
      </c>
      <c r="N174" s="27"/>
      <c r="O174" s="27"/>
    </row>
    <row r="175" customFormat="false" ht="15" hidden="false" customHeight="false" outlineLevel="0" collapsed="false">
      <c r="B175" s="26"/>
      <c r="C175" s="27"/>
      <c r="D175" s="28" t="str">
        <f aca="false">IF(C175="","",IFERROR(INDEX(Players!$C$5:$C$104,MATCH(C175,Players!$B$5:$B$104,0)),"ID not found"))</f>
        <v/>
      </c>
      <c r="E175" s="27"/>
      <c r="F175" s="27"/>
      <c r="G175" s="27"/>
      <c r="H175" s="27"/>
      <c r="I175" s="27"/>
      <c r="J175" s="27"/>
      <c r="K175" s="27"/>
      <c r="L175" s="27"/>
      <c r="M175" s="30" t="str">
        <f aca="false">IF(SUM(J175:K175)=0,"",J175/SUM(J175:K175))</f>
        <v/>
      </c>
      <c r="N175" s="27"/>
      <c r="O175" s="27"/>
    </row>
    <row r="176" customFormat="false" ht="15" hidden="false" customHeight="false" outlineLevel="0" collapsed="false">
      <c r="B176" s="26"/>
      <c r="C176" s="27"/>
      <c r="D176" s="28" t="str">
        <f aca="false">IF(C176="","",IFERROR(INDEX(Players!$C$5:$C$104,MATCH(C176,Players!$B$5:$B$104,0)),"ID not found"))</f>
        <v/>
      </c>
      <c r="E176" s="27"/>
      <c r="F176" s="27"/>
      <c r="G176" s="27"/>
      <c r="H176" s="27"/>
      <c r="I176" s="27"/>
      <c r="J176" s="27"/>
      <c r="K176" s="27"/>
      <c r="L176" s="27"/>
      <c r="M176" s="30" t="str">
        <f aca="false">IF(SUM(J176:K176)=0,"",J176/SUM(J176:K176))</f>
        <v/>
      </c>
      <c r="N176" s="27"/>
      <c r="O176" s="27"/>
    </row>
    <row r="177" customFormat="false" ht="15" hidden="false" customHeight="false" outlineLevel="0" collapsed="false">
      <c r="B177" s="26"/>
      <c r="C177" s="27"/>
      <c r="D177" s="28" t="str">
        <f aca="false">IF(C177="","",IFERROR(INDEX(Players!$C$5:$C$104,MATCH(C177,Players!$B$5:$B$104,0)),"ID not found"))</f>
        <v/>
      </c>
      <c r="E177" s="27"/>
      <c r="F177" s="27"/>
      <c r="G177" s="27"/>
      <c r="H177" s="27"/>
      <c r="I177" s="27"/>
      <c r="J177" s="27"/>
      <c r="K177" s="27"/>
      <c r="L177" s="27"/>
      <c r="M177" s="30" t="str">
        <f aca="false">IF(SUM(J177:K177)=0,"",J177/SUM(J177:K177))</f>
        <v/>
      </c>
      <c r="N177" s="27"/>
      <c r="O177" s="27"/>
    </row>
    <row r="178" customFormat="false" ht="15" hidden="false" customHeight="false" outlineLevel="0" collapsed="false">
      <c r="B178" s="26"/>
      <c r="C178" s="27"/>
      <c r="D178" s="28" t="str">
        <f aca="false">IF(C178="","",IFERROR(INDEX(Players!$C$5:$C$104,MATCH(C178,Players!$B$5:$B$104,0)),"ID not found"))</f>
        <v/>
      </c>
      <c r="E178" s="27"/>
      <c r="F178" s="27"/>
      <c r="G178" s="27"/>
      <c r="H178" s="27"/>
      <c r="I178" s="27"/>
      <c r="J178" s="27"/>
      <c r="K178" s="27"/>
      <c r="L178" s="27"/>
      <c r="M178" s="30" t="str">
        <f aca="false">IF(SUM(J178:K178)=0,"",J178/SUM(J178:K178))</f>
        <v/>
      </c>
      <c r="N178" s="27"/>
      <c r="O178" s="27"/>
    </row>
    <row r="179" customFormat="false" ht="15" hidden="false" customHeight="false" outlineLevel="0" collapsed="false">
      <c r="B179" s="26"/>
      <c r="C179" s="27"/>
      <c r="D179" s="28" t="str">
        <f aca="false">IF(C179="","",IFERROR(INDEX(Players!$C$5:$C$104,MATCH(C179,Players!$B$5:$B$104,0)),"ID not found"))</f>
        <v/>
      </c>
      <c r="E179" s="27"/>
      <c r="F179" s="27"/>
      <c r="G179" s="27"/>
      <c r="H179" s="27"/>
      <c r="I179" s="27"/>
      <c r="J179" s="27"/>
      <c r="K179" s="27"/>
      <c r="L179" s="27"/>
      <c r="M179" s="30" t="str">
        <f aca="false">IF(SUM(J179:K179)=0,"",J179/SUM(J179:K179))</f>
        <v/>
      </c>
      <c r="N179" s="27"/>
      <c r="O179" s="27"/>
    </row>
    <row r="180" customFormat="false" ht="15" hidden="false" customHeight="false" outlineLevel="0" collapsed="false">
      <c r="B180" s="26"/>
      <c r="C180" s="27"/>
      <c r="D180" s="28" t="str">
        <f aca="false">IF(C180="","",IFERROR(INDEX(Players!$C$5:$C$104,MATCH(C180,Players!$B$5:$B$104,0)),"ID not found"))</f>
        <v/>
      </c>
      <c r="E180" s="27"/>
      <c r="F180" s="27"/>
      <c r="G180" s="27"/>
      <c r="H180" s="27"/>
      <c r="I180" s="27"/>
      <c r="J180" s="27"/>
      <c r="K180" s="27"/>
      <c r="L180" s="27"/>
      <c r="M180" s="30" t="str">
        <f aca="false">IF(SUM(J180:K180)=0,"",J180/SUM(J180:K180))</f>
        <v/>
      </c>
      <c r="N180" s="27"/>
      <c r="O180" s="27"/>
    </row>
    <row r="181" customFormat="false" ht="15" hidden="false" customHeight="false" outlineLevel="0" collapsed="false">
      <c r="B181" s="26"/>
      <c r="C181" s="27"/>
      <c r="D181" s="28" t="str">
        <f aca="false">IF(C181="","",IFERROR(INDEX(Players!$C$5:$C$104,MATCH(C181,Players!$B$5:$B$104,0)),"ID not found"))</f>
        <v/>
      </c>
      <c r="E181" s="27"/>
      <c r="F181" s="27"/>
      <c r="G181" s="27"/>
      <c r="H181" s="27"/>
      <c r="I181" s="27"/>
      <c r="J181" s="27"/>
      <c r="K181" s="27"/>
      <c r="L181" s="27"/>
      <c r="M181" s="30" t="str">
        <f aca="false">IF(SUM(J181:K181)=0,"",J181/SUM(J181:K181))</f>
        <v/>
      </c>
      <c r="N181" s="27"/>
      <c r="O181" s="27"/>
    </row>
    <row r="182" customFormat="false" ht="15" hidden="false" customHeight="false" outlineLevel="0" collapsed="false">
      <c r="B182" s="26"/>
      <c r="C182" s="27"/>
      <c r="D182" s="28" t="str">
        <f aca="false">IF(C182="","",IFERROR(INDEX(Players!$C$5:$C$104,MATCH(C182,Players!$B$5:$B$104,0)),"ID not found"))</f>
        <v/>
      </c>
      <c r="E182" s="27"/>
      <c r="F182" s="27"/>
      <c r="G182" s="27"/>
      <c r="H182" s="27"/>
      <c r="I182" s="27"/>
      <c r="J182" s="27"/>
      <c r="K182" s="27"/>
      <c r="L182" s="27"/>
      <c r="M182" s="30" t="str">
        <f aca="false">IF(SUM(J182:K182)=0,"",J182/SUM(J182:K182))</f>
        <v/>
      </c>
      <c r="N182" s="27"/>
      <c r="O182" s="27"/>
    </row>
    <row r="183" customFormat="false" ht="15" hidden="false" customHeight="false" outlineLevel="0" collapsed="false">
      <c r="B183" s="26"/>
      <c r="C183" s="27"/>
      <c r="D183" s="28" t="str">
        <f aca="false">IF(C183="","",IFERROR(INDEX(Players!$C$5:$C$104,MATCH(C183,Players!$B$5:$B$104,0)),"ID not found"))</f>
        <v/>
      </c>
      <c r="E183" s="27"/>
      <c r="F183" s="27"/>
      <c r="G183" s="27"/>
      <c r="H183" s="27"/>
      <c r="I183" s="27"/>
      <c r="J183" s="27"/>
      <c r="K183" s="27"/>
      <c r="L183" s="27"/>
      <c r="M183" s="30" t="str">
        <f aca="false">IF(SUM(J183:K183)=0,"",J183/SUM(J183:K183))</f>
        <v/>
      </c>
      <c r="N183" s="27"/>
      <c r="O183" s="27"/>
    </row>
    <row r="184" customFormat="false" ht="15" hidden="false" customHeight="false" outlineLevel="0" collapsed="false">
      <c r="B184" s="26"/>
      <c r="C184" s="27"/>
      <c r="D184" s="28" t="str">
        <f aca="false">IF(C184="","",IFERROR(INDEX(Players!$C$5:$C$104,MATCH(C184,Players!$B$5:$B$104,0)),"ID not found"))</f>
        <v/>
      </c>
      <c r="E184" s="27"/>
      <c r="F184" s="27"/>
      <c r="G184" s="27"/>
      <c r="H184" s="27"/>
      <c r="I184" s="27"/>
      <c r="J184" s="27"/>
      <c r="K184" s="27"/>
      <c r="L184" s="27"/>
      <c r="M184" s="30" t="str">
        <f aca="false">IF(SUM(J184:K184)=0,"",J184/SUM(J184:K184))</f>
        <v/>
      </c>
      <c r="N184" s="27"/>
      <c r="O184" s="27"/>
    </row>
    <row r="185" customFormat="false" ht="15" hidden="false" customHeight="false" outlineLevel="0" collapsed="false">
      <c r="B185" s="26"/>
      <c r="C185" s="27"/>
      <c r="D185" s="28" t="str">
        <f aca="false">IF(C185="","",IFERROR(INDEX(Players!$C$5:$C$104,MATCH(C185,Players!$B$5:$B$104,0)),"ID not found"))</f>
        <v/>
      </c>
      <c r="E185" s="27"/>
      <c r="F185" s="27"/>
      <c r="G185" s="27"/>
      <c r="H185" s="27"/>
      <c r="I185" s="27"/>
      <c r="J185" s="27"/>
      <c r="K185" s="27"/>
      <c r="L185" s="27"/>
      <c r="M185" s="30" t="str">
        <f aca="false">IF(SUM(J185:K185)=0,"",J185/SUM(J185:K185))</f>
        <v/>
      </c>
      <c r="N185" s="27"/>
      <c r="O185" s="27"/>
    </row>
    <row r="186" customFormat="false" ht="15" hidden="false" customHeight="false" outlineLevel="0" collapsed="false">
      <c r="B186" s="26"/>
      <c r="C186" s="27"/>
      <c r="D186" s="28" t="str">
        <f aca="false">IF(C186="","",IFERROR(INDEX(Players!$C$5:$C$104,MATCH(C186,Players!$B$5:$B$104,0)),"ID not found"))</f>
        <v/>
      </c>
      <c r="E186" s="27"/>
      <c r="F186" s="27"/>
      <c r="G186" s="27"/>
      <c r="H186" s="27"/>
      <c r="I186" s="27"/>
      <c r="J186" s="27"/>
      <c r="K186" s="27"/>
      <c r="L186" s="27"/>
      <c r="M186" s="30" t="str">
        <f aca="false">IF(SUM(J186:K186)=0,"",J186/SUM(J186:K186))</f>
        <v/>
      </c>
      <c r="N186" s="27"/>
      <c r="O186" s="27"/>
    </row>
    <row r="187" customFormat="false" ht="15" hidden="false" customHeight="false" outlineLevel="0" collapsed="false">
      <c r="B187" s="26"/>
      <c r="C187" s="27"/>
      <c r="D187" s="28" t="str">
        <f aca="false">IF(C187="","",IFERROR(INDEX(Players!$C$5:$C$104,MATCH(C187,Players!$B$5:$B$104,0)),"ID not found"))</f>
        <v/>
      </c>
      <c r="E187" s="27"/>
      <c r="F187" s="27"/>
      <c r="G187" s="27"/>
      <c r="H187" s="27"/>
      <c r="I187" s="27"/>
      <c r="J187" s="27"/>
      <c r="K187" s="27"/>
      <c r="L187" s="27"/>
      <c r="M187" s="30" t="str">
        <f aca="false">IF(SUM(J187:K187)=0,"",J187/SUM(J187:K187))</f>
        <v/>
      </c>
      <c r="N187" s="27"/>
      <c r="O187" s="27"/>
    </row>
    <row r="188" customFormat="false" ht="15" hidden="false" customHeight="false" outlineLevel="0" collapsed="false">
      <c r="B188" s="26"/>
      <c r="C188" s="27"/>
      <c r="D188" s="28" t="str">
        <f aca="false">IF(C188="","",IFERROR(INDEX(Players!$C$5:$C$104,MATCH(C188,Players!$B$5:$B$104,0)),"ID not found"))</f>
        <v/>
      </c>
      <c r="E188" s="27"/>
      <c r="F188" s="27"/>
      <c r="G188" s="27"/>
      <c r="H188" s="27"/>
      <c r="I188" s="27"/>
      <c r="J188" s="27"/>
      <c r="K188" s="27"/>
      <c r="L188" s="27"/>
      <c r="M188" s="30" t="str">
        <f aca="false">IF(SUM(J188:K188)=0,"",J188/SUM(J188:K188))</f>
        <v/>
      </c>
      <c r="N188" s="27"/>
      <c r="O188" s="27"/>
    </row>
    <row r="189" customFormat="false" ht="15" hidden="false" customHeight="false" outlineLevel="0" collapsed="false">
      <c r="B189" s="26"/>
      <c r="C189" s="27"/>
      <c r="D189" s="28" t="str">
        <f aca="false">IF(C189="","",IFERROR(INDEX(Players!$C$5:$C$104,MATCH(C189,Players!$B$5:$B$104,0)),"ID not found"))</f>
        <v/>
      </c>
      <c r="E189" s="27"/>
      <c r="F189" s="27"/>
      <c r="G189" s="27"/>
      <c r="H189" s="27"/>
      <c r="I189" s="27"/>
      <c r="J189" s="27"/>
      <c r="K189" s="27"/>
      <c r="L189" s="27"/>
      <c r="M189" s="30" t="str">
        <f aca="false">IF(SUM(J189:K189)=0,"",J189/SUM(J189:K189))</f>
        <v/>
      </c>
      <c r="N189" s="27"/>
      <c r="O189" s="27"/>
    </row>
    <row r="190" customFormat="false" ht="15" hidden="false" customHeight="false" outlineLevel="0" collapsed="false">
      <c r="B190" s="26"/>
      <c r="C190" s="27"/>
      <c r="D190" s="28" t="str">
        <f aca="false">IF(C190="","",IFERROR(INDEX(Players!$C$5:$C$104,MATCH(C190,Players!$B$5:$B$104,0)),"ID not found"))</f>
        <v/>
      </c>
      <c r="E190" s="27"/>
      <c r="F190" s="27"/>
      <c r="G190" s="27"/>
      <c r="H190" s="27"/>
      <c r="I190" s="27"/>
      <c r="J190" s="27"/>
      <c r="K190" s="27"/>
      <c r="L190" s="27"/>
      <c r="M190" s="30" t="str">
        <f aca="false">IF(SUM(J190:K190)=0,"",J190/SUM(J190:K190))</f>
        <v/>
      </c>
      <c r="N190" s="27"/>
      <c r="O190" s="27"/>
    </row>
    <row r="191" customFormat="false" ht="15" hidden="false" customHeight="false" outlineLevel="0" collapsed="false">
      <c r="B191" s="26"/>
      <c r="C191" s="27"/>
      <c r="D191" s="28" t="str">
        <f aca="false">IF(C191="","",IFERROR(INDEX(Players!$C$5:$C$104,MATCH(C191,Players!$B$5:$B$104,0)),"ID not found"))</f>
        <v/>
      </c>
      <c r="E191" s="27"/>
      <c r="F191" s="27"/>
      <c r="G191" s="27"/>
      <c r="H191" s="27"/>
      <c r="I191" s="27"/>
      <c r="J191" s="27"/>
      <c r="K191" s="27"/>
      <c r="L191" s="27"/>
      <c r="M191" s="30" t="str">
        <f aca="false">IF(SUM(J191:K191)=0,"",J191/SUM(J191:K191))</f>
        <v/>
      </c>
      <c r="N191" s="27"/>
      <c r="O191" s="27"/>
    </row>
    <row r="192" customFormat="false" ht="15" hidden="false" customHeight="false" outlineLevel="0" collapsed="false">
      <c r="B192" s="26"/>
      <c r="C192" s="27"/>
      <c r="D192" s="28" t="str">
        <f aca="false">IF(C192="","",IFERROR(INDEX(Players!$C$5:$C$104,MATCH(C192,Players!$B$5:$B$104,0)),"ID not found"))</f>
        <v/>
      </c>
      <c r="E192" s="27"/>
      <c r="F192" s="27"/>
      <c r="G192" s="27"/>
      <c r="H192" s="27"/>
      <c r="I192" s="27"/>
      <c r="J192" s="27"/>
      <c r="K192" s="27"/>
      <c r="L192" s="27"/>
      <c r="M192" s="30" t="str">
        <f aca="false">IF(SUM(J192:K192)=0,"",J192/SUM(J192:K192))</f>
        <v/>
      </c>
      <c r="N192" s="27"/>
      <c r="O192" s="27"/>
    </row>
    <row r="193" customFormat="false" ht="15" hidden="false" customHeight="false" outlineLevel="0" collapsed="false">
      <c r="B193" s="26"/>
      <c r="C193" s="27"/>
      <c r="D193" s="28" t="str">
        <f aca="false">IF(C193="","",IFERROR(INDEX(Players!$C$5:$C$104,MATCH(C193,Players!$B$5:$B$104,0)),"ID not found"))</f>
        <v/>
      </c>
      <c r="E193" s="27"/>
      <c r="F193" s="27"/>
      <c r="G193" s="27"/>
      <c r="H193" s="27"/>
      <c r="I193" s="27"/>
      <c r="J193" s="27"/>
      <c r="K193" s="27"/>
      <c r="L193" s="27"/>
      <c r="M193" s="30" t="str">
        <f aca="false">IF(SUM(J193:K193)=0,"",J193/SUM(J193:K193))</f>
        <v/>
      </c>
      <c r="N193" s="27"/>
      <c r="O193" s="27"/>
    </row>
    <row r="194" customFormat="false" ht="15" hidden="false" customHeight="false" outlineLevel="0" collapsed="false">
      <c r="B194" s="26"/>
      <c r="C194" s="27"/>
      <c r="D194" s="28" t="str">
        <f aca="false">IF(C194="","",IFERROR(INDEX(Players!$C$5:$C$104,MATCH(C194,Players!$B$5:$B$104,0)),"ID not found"))</f>
        <v/>
      </c>
      <c r="E194" s="27"/>
      <c r="F194" s="27"/>
      <c r="G194" s="27"/>
      <c r="H194" s="27"/>
      <c r="I194" s="27"/>
      <c r="J194" s="27"/>
      <c r="K194" s="27"/>
      <c r="L194" s="27"/>
      <c r="M194" s="30" t="str">
        <f aca="false">IF(SUM(J194:K194)=0,"",J194/SUM(J194:K194))</f>
        <v/>
      </c>
      <c r="N194" s="27"/>
      <c r="O194" s="27"/>
    </row>
    <row r="195" customFormat="false" ht="15" hidden="false" customHeight="false" outlineLevel="0" collapsed="false">
      <c r="B195" s="26"/>
      <c r="C195" s="27"/>
      <c r="D195" s="28" t="str">
        <f aca="false">IF(C195="","",IFERROR(INDEX(Players!$C$5:$C$104,MATCH(C195,Players!$B$5:$B$104,0)),"ID not found"))</f>
        <v/>
      </c>
      <c r="E195" s="27"/>
      <c r="F195" s="27"/>
      <c r="G195" s="27"/>
      <c r="H195" s="27"/>
      <c r="I195" s="27"/>
      <c r="J195" s="27"/>
      <c r="K195" s="27"/>
      <c r="L195" s="27"/>
      <c r="M195" s="30" t="str">
        <f aca="false">IF(SUM(J195:K195)=0,"",J195/SUM(J195:K195))</f>
        <v/>
      </c>
      <c r="N195" s="27"/>
      <c r="O195" s="27"/>
    </row>
    <row r="196" customFormat="false" ht="15" hidden="false" customHeight="false" outlineLevel="0" collapsed="false">
      <c r="B196" s="26"/>
      <c r="C196" s="27"/>
      <c r="D196" s="28" t="str">
        <f aca="false">IF(C196="","",IFERROR(INDEX(Players!$C$5:$C$104,MATCH(C196,Players!$B$5:$B$104,0)),"ID not found"))</f>
        <v/>
      </c>
      <c r="E196" s="27"/>
      <c r="F196" s="27"/>
      <c r="G196" s="27"/>
      <c r="H196" s="27"/>
      <c r="I196" s="27"/>
      <c r="J196" s="27"/>
      <c r="K196" s="27"/>
      <c r="L196" s="27"/>
      <c r="M196" s="30" t="str">
        <f aca="false">IF(SUM(J196:K196)=0,"",J196/SUM(J196:K196))</f>
        <v/>
      </c>
      <c r="N196" s="27"/>
      <c r="O196" s="27"/>
    </row>
    <row r="197" customFormat="false" ht="15" hidden="false" customHeight="false" outlineLevel="0" collapsed="false">
      <c r="B197" s="26"/>
      <c r="C197" s="27"/>
      <c r="D197" s="28" t="str">
        <f aca="false">IF(C197="","",IFERROR(INDEX(Players!$C$5:$C$104,MATCH(C197,Players!$B$5:$B$104,0)),"ID not found"))</f>
        <v/>
      </c>
      <c r="E197" s="27"/>
      <c r="F197" s="27"/>
      <c r="G197" s="27"/>
      <c r="H197" s="27"/>
      <c r="I197" s="27"/>
      <c r="J197" s="27"/>
      <c r="K197" s="27"/>
      <c r="L197" s="27"/>
      <c r="M197" s="30" t="str">
        <f aca="false">IF(SUM(J197:K197)=0,"",J197/SUM(J197:K197))</f>
        <v/>
      </c>
      <c r="N197" s="27"/>
      <c r="O197" s="27"/>
    </row>
    <row r="198" customFormat="false" ht="15" hidden="false" customHeight="false" outlineLevel="0" collapsed="false">
      <c r="B198" s="26"/>
      <c r="C198" s="27"/>
      <c r="D198" s="28" t="str">
        <f aca="false">IF(C198="","",IFERROR(INDEX(Players!$C$5:$C$104,MATCH(C198,Players!$B$5:$B$104,0)),"ID not found"))</f>
        <v/>
      </c>
      <c r="E198" s="27"/>
      <c r="F198" s="27"/>
      <c r="G198" s="27"/>
      <c r="H198" s="27"/>
      <c r="I198" s="27"/>
      <c r="J198" s="27"/>
      <c r="K198" s="27"/>
      <c r="L198" s="27"/>
      <c r="M198" s="30" t="str">
        <f aca="false">IF(SUM(J198:K198)=0,"",J198/SUM(J198:K198))</f>
        <v/>
      </c>
      <c r="N198" s="27"/>
      <c r="O198" s="27"/>
    </row>
    <row r="199" customFormat="false" ht="15" hidden="false" customHeight="false" outlineLevel="0" collapsed="false">
      <c r="B199" s="26"/>
      <c r="C199" s="27"/>
      <c r="D199" s="28" t="str">
        <f aca="false">IF(C199="","",IFERROR(INDEX(Players!$C$5:$C$104,MATCH(C199,Players!$B$5:$B$104,0)),"ID not found"))</f>
        <v/>
      </c>
      <c r="E199" s="27"/>
      <c r="F199" s="27"/>
      <c r="G199" s="27"/>
      <c r="H199" s="27"/>
      <c r="I199" s="27"/>
      <c r="J199" s="27"/>
      <c r="K199" s="27"/>
      <c r="L199" s="27"/>
      <c r="M199" s="30" t="str">
        <f aca="false">IF(SUM(J199:K199)=0,"",J199/SUM(J199:K199))</f>
        <v/>
      </c>
      <c r="N199" s="27"/>
      <c r="O199" s="27"/>
    </row>
    <row r="200" customFormat="false" ht="15" hidden="false" customHeight="false" outlineLevel="0" collapsed="false">
      <c r="B200" s="26"/>
      <c r="C200" s="27"/>
      <c r="D200" s="28" t="str">
        <f aca="false">IF(C200="","",IFERROR(INDEX(Players!$C$5:$C$104,MATCH(C200,Players!$B$5:$B$104,0)),"ID not found"))</f>
        <v/>
      </c>
      <c r="E200" s="27"/>
      <c r="F200" s="27"/>
      <c r="G200" s="27"/>
      <c r="H200" s="27"/>
      <c r="I200" s="27"/>
      <c r="J200" s="27"/>
      <c r="K200" s="27"/>
      <c r="L200" s="27"/>
      <c r="M200" s="30" t="str">
        <f aca="false">IF(SUM(J200:K200)=0,"",J200/SUM(J200:K200))</f>
        <v/>
      </c>
      <c r="N200" s="27"/>
      <c r="O200" s="27"/>
    </row>
    <row r="201" customFormat="false" ht="15" hidden="false" customHeight="false" outlineLevel="0" collapsed="false">
      <c r="B201" s="26"/>
      <c r="C201" s="27"/>
      <c r="D201" s="28" t="str">
        <f aca="false">IF(C201="","",IFERROR(INDEX(Players!$C$5:$C$104,MATCH(C201,Players!$B$5:$B$104,0)),"ID not found"))</f>
        <v/>
      </c>
      <c r="E201" s="27"/>
      <c r="F201" s="27"/>
      <c r="G201" s="27"/>
      <c r="H201" s="27"/>
      <c r="I201" s="27"/>
      <c r="J201" s="27"/>
      <c r="K201" s="27"/>
      <c r="L201" s="27"/>
      <c r="M201" s="30" t="str">
        <f aca="false">IF(SUM(J201:K201)=0,"",J201/SUM(J201:K201))</f>
        <v/>
      </c>
      <c r="N201" s="27"/>
      <c r="O201" s="27"/>
    </row>
    <row r="202" customFormat="false" ht="15" hidden="false" customHeight="false" outlineLevel="0" collapsed="false">
      <c r="B202" s="26"/>
      <c r="C202" s="27"/>
      <c r="D202" s="28" t="str">
        <f aca="false">IF(C202="","",IFERROR(INDEX(Players!$C$5:$C$104,MATCH(C202,Players!$B$5:$B$104,0)),"ID not found"))</f>
        <v/>
      </c>
      <c r="E202" s="27"/>
      <c r="F202" s="27"/>
      <c r="G202" s="27"/>
      <c r="H202" s="27"/>
      <c r="I202" s="27"/>
      <c r="J202" s="27"/>
      <c r="K202" s="27"/>
      <c r="L202" s="27"/>
      <c r="M202" s="30" t="str">
        <f aca="false">IF(SUM(J202:K202)=0,"",J202/SUM(J202:K202))</f>
        <v/>
      </c>
      <c r="N202" s="27"/>
      <c r="O202" s="27"/>
    </row>
    <row r="203" customFormat="false" ht="15" hidden="false" customHeight="false" outlineLevel="0" collapsed="false">
      <c r="B203" s="26"/>
      <c r="C203" s="27"/>
      <c r="D203" s="28" t="str">
        <f aca="false">IF(C203="","",IFERROR(INDEX(Players!$C$5:$C$104,MATCH(C203,Players!$B$5:$B$104,0)),"ID not found"))</f>
        <v/>
      </c>
      <c r="E203" s="27"/>
      <c r="F203" s="27"/>
      <c r="G203" s="27"/>
      <c r="H203" s="27"/>
      <c r="I203" s="27"/>
      <c r="J203" s="27"/>
      <c r="K203" s="27"/>
      <c r="L203" s="27"/>
      <c r="M203" s="30" t="str">
        <f aca="false">IF(SUM(J203:K203)=0,"",J203/SUM(J203:K203))</f>
        <v/>
      </c>
      <c r="N203" s="27"/>
      <c r="O203" s="27"/>
    </row>
    <row r="204" customFormat="false" ht="15" hidden="false" customHeight="false" outlineLevel="0" collapsed="false">
      <c r="B204" s="26"/>
      <c r="C204" s="27"/>
      <c r="D204" s="28" t="str">
        <f aca="false">IF(C204="","",IFERROR(INDEX(Players!$C$5:$C$104,MATCH(C204,Players!$B$5:$B$104,0)),"ID not found"))</f>
        <v/>
      </c>
      <c r="E204" s="27"/>
      <c r="F204" s="27"/>
      <c r="G204" s="27"/>
      <c r="H204" s="27"/>
      <c r="I204" s="27"/>
      <c r="J204" s="27"/>
      <c r="K204" s="27"/>
      <c r="L204" s="27"/>
      <c r="M204" s="30" t="str">
        <f aca="false">IF(SUM(J204:K204)=0,"",J204/SUM(J204:K204))</f>
        <v/>
      </c>
      <c r="N204" s="27"/>
      <c r="O204" s="27"/>
    </row>
    <row r="205" customFormat="false" ht="15" hidden="false" customHeight="false" outlineLevel="0" collapsed="false">
      <c r="B205" s="26"/>
      <c r="C205" s="27"/>
      <c r="D205" s="28" t="str">
        <f aca="false">IF(C205="","",IFERROR(INDEX(Players!$C$5:$C$104,MATCH(C205,Players!$B$5:$B$104,0)),"ID not found"))</f>
        <v/>
      </c>
      <c r="E205" s="27"/>
      <c r="F205" s="27"/>
      <c r="G205" s="27"/>
      <c r="H205" s="27"/>
      <c r="I205" s="27"/>
      <c r="J205" s="27"/>
      <c r="K205" s="27"/>
      <c r="L205" s="27"/>
      <c r="M205" s="30" t="str">
        <f aca="false">IF(SUM(J205:K205)=0,"",J205/SUM(J205:K205))</f>
        <v/>
      </c>
      <c r="N205" s="27"/>
      <c r="O205" s="27"/>
    </row>
    <row r="206" customFormat="false" ht="15" hidden="false" customHeight="false" outlineLevel="0" collapsed="false">
      <c r="B206" s="26"/>
      <c r="C206" s="27"/>
      <c r="D206" s="28" t="str">
        <f aca="false">IF(C206="","",IFERROR(INDEX(Players!$C$5:$C$104,MATCH(C206,Players!$B$5:$B$104,0)),"ID not found"))</f>
        <v/>
      </c>
      <c r="E206" s="27"/>
      <c r="F206" s="27"/>
      <c r="G206" s="27"/>
      <c r="H206" s="27"/>
      <c r="I206" s="27"/>
      <c r="J206" s="27"/>
      <c r="K206" s="27"/>
      <c r="L206" s="27"/>
      <c r="M206" s="30" t="str">
        <f aca="false">IF(SUM(J206:K206)=0,"",J206/SUM(J206:K206))</f>
        <v/>
      </c>
      <c r="N206" s="27"/>
      <c r="O206" s="27"/>
    </row>
    <row r="207" customFormat="false" ht="15" hidden="false" customHeight="false" outlineLevel="0" collapsed="false">
      <c r="B207" s="26"/>
      <c r="C207" s="27"/>
      <c r="D207" s="28" t="str">
        <f aca="false">IF(C207="","",IFERROR(INDEX(Players!$C$5:$C$104,MATCH(C207,Players!$B$5:$B$104,0)),"ID not found"))</f>
        <v/>
      </c>
      <c r="E207" s="27"/>
      <c r="F207" s="27"/>
      <c r="G207" s="27"/>
      <c r="H207" s="27"/>
      <c r="I207" s="27"/>
      <c r="J207" s="27"/>
      <c r="K207" s="27"/>
      <c r="L207" s="27"/>
      <c r="M207" s="30" t="str">
        <f aca="false">IF(SUM(J207:K207)=0,"",J207/SUM(J207:K207))</f>
        <v/>
      </c>
      <c r="N207" s="27"/>
      <c r="O207" s="27"/>
    </row>
    <row r="208" customFormat="false" ht="15" hidden="false" customHeight="false" outlineLevel="0" collapsed="false">
      <c r="B208" s="26"/>
      <c r="C208" s="27"/>
      <c r="D208" s="28" t="str">
        <f aca="false">IF(C208="","",IFERROR(INDEX(Players!$C$5:$C$104,MATCH(C208,Players!$B$5:$B$104,0)),"ID not found"))</f>
        <v/>
      </c>
      <c r="E208" s="27"/>
      <c r="F208" s="27"/>
      <c r="G208" s="27"/>
      <c r="H208" s="27"/>
      <c r="I208" s="27"/>
      <c r="J208" s="27"/>
      <c r="K208" s="27"/>
      <c r="L208" s="27"/>
      <c r="M208" s="30" t="str">
        <f aca="false">IF(SUM(J208:K208)=0,"",J208/SUM(J208:K208))</f>
        <v/>
      </c>
      <c r="N208" s="27"/>
      <c r="O208" s="27"/>
    </row>
    <row r="209" customFormat="false" ht="15" hidden="false" customHeight="false" outlineLevel="0" collapsed="false">
      <c r="B209" s="26"/>
      <c r="C209" s="27"/>
      <c r="D209" s="28" t="str">
        <f aca="false">IF(C209="","",IFERROR(INDEX(Players!$C$5:$C$104,MATCH(C209,Players!$B$5:$B$104,0)),"ID not found"))</f>
        <v/>
      </c>
      <c r="E209" s="27"/>
      <c r="F209" s="27"/>
      <c r="G209" s="27"/>
      <c r="H209" s="27"/>
      <c r="I209" s="27"/>
      <c r="J209" s="27"/>
      <c r="K209" s="27"/>
      <c r="L209" s="27"/>
      <c r="M209" s="30" t="str">
        <f aca="false">IF(SUM(J209:K209)=0,"",J209/SUM(J209:K209))</f>
        <v/>
      </c>
      <c r="N209" s="27"/>
      <c r="O209" s="27"/>
    </row>
    <row r="210" customFormat="false" ht="15" hidden="false" customHeight="false" outlineLevel="0" collapsed="false">
      <c r="B210" s="26"/>
      <c r="C210" s="27"/>
      <c r="D210" s="28" t="str">
        <f aca="false">IF(C210="","",IFERROR(INDEX(Players!$C$5:$C$104,MATCH(C210,Players!$B$5:$B$104,0)),"ID not found"))</f>
        <v/>
      </c>
      <c r="E210" s="27"/>
      <c r="F210" s="27"/>
      <c r="G210" s="27"/>
      <c r="H210" s="27"/>
      <c r="I210" s="27"/>
      <c r="J210" s="27"/>
      <c r="K210" s="27"/>
      <c r="L210" s="27"/>
      <c r="M210" s="30" t="str">
        <f aca="false">IF(SUM(J210:K210)=0,"",J210/SUM(J210:K210))</f>
        <v/>
      </c>
      <c r="N210" s="27"/>
      <c r="O210" s="27"/>
    </row>
    <row r="211" customFormat="false" ht="15" hidden="false" customHeight="false" outlineLevel="0" collapsed="false">
      <c r="B211" s="26"/>
      <c r="C211" s="27"/>
      <c r="D211" s="28" t="str">
        <f aca="false">IF(C211="","",IFERROR(INDEX(Players!$C$5:$C$104,MATCH(C211,Players!$B$5:$B$104,0)),"ID not found"))</f>
        <v/>
      </c>
      <c r="E211" s="27"/>
      <c r="F211" s="27"/>
      <c r="G211" s="27"/>
      <c r="H211" s="27"/>
      <c r="I211" s="27"/>
      <c r="J211" s="27"/>
      <c r="K211" s="27"/>
      <c r="L211" s="27"/>
      <c r="M211" s="30" t="str">
        <f aca="false">IF(SUM(J211:K211)=0,"",J211/SUM(J211:K211))</f>
        <v/>
      </c>
      <c r="N211" s="27"/>
      <c r="O211" s="27"/>
    </row>
    <row r="212" customFormat="false" ht="15" hidden="false" customHeight="false" outlineLevel="0" collapsed="false">
      <c r="B212" s="26"/>
      <c r="C212" s="27"/>
      <c r="D212" s="28" t="str">
        <f aca="false">IF(C212="","",IFERROR(INDEX(Players!$C$5:$C$104,MATCH(C212,Players!$B$5:$B$104,0)),"ID not found"))</f>
        <v/>
      </c>
      <c r="E212" s="27"/>
      <c r="F212" s="27"/>
      <c r="G212" s="27"/>
      <c r="H212" s="27"/>
      <c r="I212" s="27"/>
      <c r="J212" s="27"/>
      <c r="K212" s="27"/>
      <c r="L212" s="27"/>
      <c r="M212" s="30" t="str">
        <f aca="false">IF(SUM(J212:K212)=0,"",J212/SUM(J212:K212))</f>
        <v/>
      </c>
      <c r="N212" s="27"/>
      <c r="O212" s="27"/>
    </row>
    <row r="213" customFormat="false" ht="15" hidden="false" customHeight="false" outlineLevel="0" collapsed="false">
      <c r="B213" s="26"/>
      <c r="C213" s="27"/>
      <c r="D213" s="28" t="str">
        <f aca="false">IF(C213="","",IFERROR(INDEX(Players!$C$5:$C$104,MATCH(C213,Players!$B$5:$B$104,0)),"ID not found"))</f>
        <v/>
      </c>
      <c r="E213" s="27"/>
      <c r="F213" s="27"/>
      <c r="G213" s="27"/>
      <c r="H213" s="27"/>
      <c r="I213" s="27"/>
      <c r="J213" s="27"/>
      <c r="K213" s="27"/>
      <c r="L213" s="27"/>
      <c r="M213" s="30" t="str">
        <f aca="false">IF(SUM(J213:K213)=0,"",J213/SUM(J213:K213))</f>
        <v/>
      </c>
      <c r="N213" s="27"/>
      <c r="O213" s="27"/>
    </row>
    <row r="214" customFormat="false" ht="15" hidden="false" customHeight="false" outlineLevel="0" collapsed="false">
      <c r="B214" s="26"/>
      <c r="C214" s="27"/>
      <c r="D214" s="28" t="str">
        <f aca="false">IF(C214="","",IFERROR(INDEX(Players!$C$5:$C$104,MATCH(C214,Players!$B$5:$B$104,0)),"ID not found"))</f>
        <v/>
      </c>
      <c r="E214" s="27"/>
      <c r="F214" s="27"/>
      <c r="G214" s="27"/>
      <c r="H214" s="27"/>
      <c r="I214" s="27"/>
      <c r="J214" s="27"/>
      <c r="K214" s="27"/>
      <c r="L214" s="27"/>
      <c r="M214" s="30" t="str">
        <f aca="false">IF(SUM(J214:K214)=0,"",J214/SUM(J214:K214))</f>
        <v/>
      </c>
      <c r="N214" s="27"/>
      <c r="O214" s="27"/>
    </row>
    <row r="215" customFormat="false" ht="15" hidden="false" customHeight="false" outlineLevel="0" collapsed="false">
      <c r="B215" s="26"/>
      <c r="C215" s="27"/>
      <c r="D215" s="28" t="str">
        <f aca="false">IF(C215="","",IFERROR(INDEX(Players!$C$5:$C$104,MATCH(C215,Players!$B$5:$B$104,0)),"ID not found"))</f>
        <v/>
      </c>
      <c r="E215" s="27"/>
      <c r="F215" s="27"/>
      <c r="G215" s="27"/>
      <c r="H215" s="27"/>
      <c r="I215" s="27"/>
      <c r="J215" s="27"/>
      <c r="K215" s="27"/>
      <c r="L215" s="27"/>
      <c r="M215" s="30" t="str">
        <f aca="false">IF(SUM(J215:K215)=0,"",J215/SUM(J215:K215))</f>
        <v/>
      </c>
      <c r="N215" s="27"/>
      <c r="O215" s="27"/>
    </row>
    <row r="216" customFormat="false" ht="15" hidden="false" customHeight="false" outlineLevel="0" collapsed="false">
      <c r="B216" s="26"/>
      <c r="C216" s="27"/>
      <c r="D216" s="28" t="str">
        <f aca="false">IF(C216="","",IFERROR(INDEX(Players!$C$5:$C$104,MATCH(C216,Players!$B$5:$B$104,0)),"ID not found"))</f>
        <v/>
      </c>
      <c r="E216" s="27"/>
      <c r="F216" s="27"/>
      <c r="G216" s="27"/>
      <c r="H216" s="27"/>
      <c r="I216" s="27"/>
      <c r="J216" s="27"/>
      <c r="K216" s="27"/>
      <c r="L216" s="27"/>
      <c r="M216" s="30" t="str">
        <f aca="false">IF(SUM(J216:K216)=0,"",J216/SUM(J216:K216))</f>
        <v/>
      </c>
      <c r="N216" s="27"/>
      <c r="O216" s="27"/>
    </row>
    <row r="217" customFormat="false" ht="15" hidden="false" customHeight="false" outlineLevel="0" collapsed="false">
      <c r="B217" s="26"/>
      <c r="C217" s="27"/>
      <c r="D217" s="28" t="str">
        <f aca="false">IF(C217="","",IFERROR(INDEX(Players!$C$5:$C$104,MATCH(C217,Players!$B$5:$B$104,0)),"ID not found"))</f>
        <v/>
      </c>
      <c r="E217" s="27"/>
      <c r="F217" s="27"/>
      <c r="G217" s="27"/>
      <c r="H217" s="27"/>
      <c r="I217" s="27"/>
      <c r="J217" s="27"/>
      <c r="K217" s="27"/>
      <c r="L217" s="27"/>
      <c r="M217" s="30" t="str">
        <f aca="false">IF(SUM(J217:K217)=0,"",J217/SUM(J217:K217))</f>
        <v/>
      </c>
      <c r="N217" s="27"/>
      <c r="O217" s="27"/>
    </row>
    <row r="218" customFormat="false" ht="15" hidden="false" customHeight="false" outlineLevel="0" collapsed="false">
      <c r="B218" s="26"/>
      <c r="C218" s="27"/>
      <c r="D218" s="28" t="str">
        <f aca="false">IF(C218="","",IFERROR(INDEX(Players!$C$5:$C$104,MATCH(C218,Players!$B$5:$B$104,0)),"ID not found"))</f>
        <v/>
      </c>
      <c r="E218" s="27"/>
      <c r="F218" s="27"/>
      <c r="G218" s="27"/>
      <c r="H218" s="27"/>
      <c r="I218" s="27"/>
      <c r="J218" s="27"/>
      <c r="K218" s="27"/>
      <c r="L218" s="27"/>
      <c r="M218" s="30" t="str">
        <f aca="false">IF(SUM(J218:K218)=0,"",J218/SUM(J218:K218))</f>
        <v/>
      </c>
      <c r="N218" s="27"/>
      <c r="O218" s="27"/>
    </row>
    <row r="219" customFormat="false" ht="15" hidden="false" customHeight="false" outlineLevel="0" collapsed="false">
      <c r="B219" s="26"/>
      <c r="C219" s="27"/>
      <c r="D219" s="28" t="str">
        <f aca="false">IF(C219="","",IFERROR(INDEX(Players!$C$5:$C$104,MATCH(C219,Players!$B$5:$B$104,0)),"ID not found"))</f>
        <v/>
      </c>
      <c r="E219" s="27"/>
      <c r="F219" s="27"/>
      <c r="G219" s="27"/>
      <c r="H219" s="27"/>
      <c r="I219" s="27"/>
      <c r="J219" s="27"/>
      <c r="K219" s="27"/>
      <c r="L219" s="27"/>
      <c r="M219" s="30" t="str">
        <f aca="false">IF(SUM(J219:K219)=0,"",J219/SUM(J219:K219))</f>
        <v/>
      </c>
      <c r="N219" s="27"/>
      <c r="O219" s="27"/>
    </row>
    <row r="220" customFormat="false" ht="15" hidden="false" customHeight="false" outlineLevel="0" collapsed="false">
      <c r="B220" s="26"/>
      <c r="C220" s="27"/>
      <c r="D220" s="28" t="str">
        <f aca="false">IF(C220="","",IFERROR(INDEX(Players!$C$5:$C$104,MATCH(C220,Players!$B$5:$B$104,0)),"ID not found"))</f>
        <v/>
      </c>
      <c r="E220" s="27"/>
      <c r="F220" s="27"/>
      <c r="G220" s="27"/>
      <c r="H220" s="27"/>
      <c r="I220" s="27"/>
      <c r="J220" s="27"/>
      <c r="K220" s="27"/>
      <c r="L220" s="27"/>
      <c r="M220" s="30" t="str">
        <f aca="false">IF(SUM(J220:K220)=0,"",J220/SUM(J220:K220))</f>
        <v/>
      </c>
      <c r="N220" s="27"/>
      <c r="O220" s="27"/>
    </row>
    <row r="221" customFormat="false" ht="15" hidden="false" customHeight="false" outlineLevel="0" collapsed="false">
      <c r="B221" s="26"/>
      <c r="C221" s="27"/>
      <c r="D221" s="28" t="str">
        <f aca="false">IF(C221="","",IFERROR(INDEX(Players!$C$5:$C$104,MATCH(C221,Players!$B$5:$B$104,0)),"ID not found"))</f>
        <v/>
      </c>
      <c r="E221" s="27"/>
      <c r="F221" s="27"/>
      <c r="G221" s="27"/>
      <c r="H221" s="27"/>
      <c r="I221" s="27"/>
      <c r="J221" s="27"/>
      <c r="K221" s="27"/>
      <c r="L221" s="27"/>
      <c r="M221" s="30" t="str">
        <f aca="false">IF(SUM(J221:K221)=0,"",J221/SUM(J221:K221))</f>
        <v/>
      </c>
      <c r="N221" s="27"/>
      <c r="O221" s="27"/>
    </row>
    <row r="222" customFormat="false" ht="15" hidden="false" customHeight="false" outlineLevel="0" collapsed="false">
      <c r="B222" s="26"/>
      <c r="C222" s="27"/>
      <c r="D222" s="28" t="str">
        <f aca="false">IF(C222="","",IFERROR(INDEX(Players!$C$5:$C$104,MATCH(C222,Players!$B$5:$B$104,0)),"ID not found"))</f>
        <v/>
      </c>
      <c r="E222" s="27"/>
      <c r="F222" s="27"/>
      <c r="G222" s="27"/>
      <c r="H222" s="27"/>
      <c r="I222" s="27"/>
      <c r="J222" s="27"/>
      <c r="K222" s="27"/>
      <c r="L222" s="27"/>
      <c r="M222" s="30" t="str">
        <f aca="false">IF(SUM(J222:K222)=0,"",J222/SUM(J222:K222))</f>
        <v/>
      </c>
      <c r="N222" s="27"/>
      <c r="O222" s="27"/>
    </row>
    <row r="223" customFormat="false" ht="15" hidden="false" customHeight="false" outlineLevel="0" collapsed="false">
      <c r="B223" s="26"/>
      <c r="C223" s="27"/>
      <c r="D223" s="28" t="str">
        <f aca="false">IF(C223="","",IFERROR(INDEX(Players!$C$5:$C$104,MATCH(C223,Players!$B$5:$B$104,0)),"ID not found"))</f>
        <v/>
      </c>
      <c r="E223" s="27"/>
      <c r="F223" s="27"/>
      <c r="G223" s="27"/>
      <c r="H223" s="27"/>
      <c r="I223" s="27"/>
      <c r="J223" s="27"/>
      <c r="K223" s="27"/>
      <c r="L223" s="27"/>
      <c r="M223" s="30" t="str">
        <f aca="false">IF(SUM(J223:K223)=0,"",J223/SUM(J223:K223))</f>
        <v/>
      </c>
      <c r="N223" s="27"/>
      <c r="O223" s="27"/>
    </row>
    <row r="224" customFormat="false" ht="15" hidden="false" customHeight="false" outlineLevel="0" collapsed="false">
      <c r="B224" s="26"/>
      <c r="C224" s="27"/>
      <c r="D224" s="28" t="str">
        <f aca="false">IF(C224="","",IFERROR(INDEX(Players!$C$5:$C$104,MATCH(C224,Players!$B$5:$B$104,0)),"ID not found"))</f>
        <v/>
      </c>
      <c r="E224" s="27"/>
      <c r="F224" s="27"/>
      <c r="G224" s="27"/>
      <c r="H224" s="27"/>
      <c r="I224" s="27"/>
      <c r="J224" s="27"/>
      <c r="K224" s="27"/>
      <c r="L224" s="27"/>
      <c r="M224" s="30" t="str">
        <f aca="false">IF(SUM(J224:K224)=0,"",J224/SUM(J224:K224))</f>
        <v/>
      </c>
      <c r="N224" s="27"/>
      <c r="O224" s="27"/>
    </row>
    <row r="225" customFormat="false" ht="15" hidden="false" customHeight="false" outlineLevel="0" collapsed="false">
      <c r="B225" s="26"/>
      <c r="C225" s="27"/>
      <c r="D225" s="28" t="str">
        <f aca="false">IF(C225="","",IFERROR(INDEX(Players!$C$5:$C$104,MATCH(C225,Players!$B$5:$B$104,0)),"ID not found"))</f>
        <v/>
      </c>
      <c r="E225" s="27"/>
      <c r="F225" s="27"/>
      <c r="G225" s="27"/>
      <c r="H225" s="27"/>
      <c r="I225" s="27"/>
      <c r="J225" s="27"/>
      <c r="K225" s="27"/>
      <c r="L225" s="27"/>
      <c r="M225" s="30" t="str">
        <f aca="false">IF(SUM(J225:K225)=0,"",J225/SUM(J225:K225))</f>
        <v/>
      </c>
      <c r="N225" s="27"/>
      <c r="O225" s="27"/>
    </row>
    <row r="226" customFormat="false" ht="15" hidden="false" customHeight="false" outlineLevel="0" collapsed="false">
      <c r="B226" s="26"/>
      <c r="C226" s="27"/>
      <c r="D226" s="28" t="str">
        <f aca="false">IF(C226="","",IFERROR(INDEX(Players!$C$5:$C$104,MATCH(C226,Players!$B$5:$B$104,0)),"ID not found"))</f>
        <v/>
      </c>
      <c r="E226" s="27"/>
      <c r="F226" s="27"/>
      <c r="G226" s="27"/>
      <c r="H226" s="27"/>
      <c r="I226" s="27"/>
      <c r="J226" s="27"/>
      <c r="K226" s="27"/>
      <c r="L226" s="27"/>
      <c r="M226" s="30" t="str">
        <f aca="false">IF(SUM(J226:K226)=0,"",J226/SUM(J226:K226))</f>
        <v/>
      </c>
      <c r="N226" s="27"/>
      <c r="O226" s="27"/>
    </row>
    <row r="227" customFormat="false" ht="15" hidden="false" customHeight="false" outlineLevel="0" collapsed="false">
      <c r="B227" s="26"/>
      <c r="C227" s="27"/>
      <c r="D227" s="28" t="str">
        <f aca="false">IF(C227="","",IFERROR(INDEX(Players!$C$5:$C$104,MATCH(C227,Players!$B$5:$B$104,0)),"ID not found"))</f>
        <v/>
      </c>
      <c r="E227" s="27"/>
      <c r="F227" s="27"/>
      <c r="G227" s="27"/>
      <c r="H227" s="27"/>
      <c r="I227" s="27"/>
      <c r="J227" s="27"/>
      <c r="K227" s="27"/>
      <c r="L227" s="27"/>
      <c r="M227" s="30" t="str">
        <f aca="false">IF(SUM(J227:K227)=0,"",J227/SUM(J227:K227))</f>
        <v/>
      </c>
      <c r="N227" s="27"/>
      <c r="O227" s="27"/>
    </row>
    <row r="228" customFormat="false" ht="15" hidden="false" customHeight="false" outlineLevel="0" collapsed="false">
      <c r="B228" s="26"/>
      <c r="C228" s="27"/>
      <c r="D228" s="28" t="str">
        <f aca="false">IF(C228="","",IFERROR(INDEX(Players!$C$5:$C$104,MATCH(C228,Players!$B$5:$B$104,0)),"ID not found"))</f>
        <v/>
      </c>
      <c r="E228" s="27"/>
      <c r="F228" s="27"/>
      <c r="G228" s="27"/>
      <c r="H228" s="27"/>
      <c r="I228" s="27"/>
      <c r="J228" s="27"/>
      <c r="K228" s="27"/>
      <c r="L228" s="27"/>
      <c r="M228" s="30" t="str">
        <f aca="false">IF(SUM(J228:K228)=0,"",J228/SUM(J228:K228))</f>
        <v/>
      </c>
      <c r="N228" s="27"/>
      <c r="O228" s="27"/>
    </row>
    <row r="229" customFormat="false" ht="15" hidden="false" customHeight="false" outlineLevel="0" collapsed="false">
      <c r="B229" s="26"/>
      <c r="C229" s="27"/>
      <c r="D229" s="28" t="str">
        <f aca="false">IF(C229="","",IFERROR(INDEX(Players!$C$5:$C$104,MATCH(C229,Players!$B$5:$B$104,0)),"ID not found"))</f>
        <v/>
      </c>
      <c r="E229" s="27"/>
      <c r="F229" s="27"/>
      <c r="G229" s="27"/>
      <c r="H229" s="27"/>
      <c r="I229" s="27"/>
      <c r="J229" s="27"/>
      <c r="K229" s="27"/>
      <c r="L229" s="27"/>
      <c r="M229" s="30" t="str">
        <f aca="false">IF(SUM(J229:K229)=0,"",J229/SUM(J229:K229))</f>
        <v/>
      </c>
      <c r="N229" s="27"/>
      <c r="O229" s="27"/>
    </row>
    <row r="230" customFormat="false" ht="15" hidden="false" customHeight="false" outlineLevel="0" collapsed="false">
      <c r="B230" s="26"/>
      <c r="C230" s="27"/>
      <c r="D230" s="28" t="str">
        <f aca="false">IF(C230="","",IFERROR(INDEX(Players!$C$5:$C$104,MATCH(C230,Players!$B$5:$B$104,0)),"ID not found"))</f>
        <v/>
      </c>
      <c r="E230" s="27"/>
      <c r="F230" s="27"/>
      <c r="G230" s="27"/>
      <c r="H230" s="27"/>
      <c r="I230" s="27"/>
      <c r="J230" s="27"/>
      <c r="K230" s="27"/>
      <c r="L230" s="27"/>
      <c r="M230" s="30" t="str">
        <f aca="false">IF(SUM(J230:K230)=0,"",J230/SUM(J230:K230))</f>
        <v/>
      </c>
      <c r="N230" s="27"/>
      <c r="O230" s="27"/>
    </row>
    <row r="231" customFormat="false" ht="15" hidden="false" customHeight="false" outlineLevel="0" collapsed="false">
      <c r="B231" s="26"/>
      <c r="C231" s="27"/>
      <c r="D231" s="28" t="str">
        <f aca="false">IF(C231="","",IFERROR(INDEX(Players!$C$5:$C$104,MATCH(C231,Players!$B$5:$B$104,0)),"ID not found"))</f>
        <v/>
      </c>
      <c r="E231" s="27"/>
      <c r="F231" s="27"/>
      <c r="G231" s="27"/>
      <c r="H231" s="27"/>
      <c r="I231" s="27"/>
      <c r="J231" s="27"/>
      <c r="K231" s="27"/>
      <c r="L231" s="27"/>
      <c r="M231" s="30" t="str">
        <f aca="false">IF(SUM(J231:K231)=0,"",J231/SUM(J231:K231))</f>
        <v/>
      </c>
      <c r="N231" s="27"/>
      <c r="O231" s="27"/>
    </row>
    <row r="232" customFormat="false" ht="15" hidden="false" customHeight="false" outlineLevel="0" collapsed="false">
      <c r="B232" s="26"/>
      <c r="C232" s="27"/>
      <c r="D232" s="28" t="str">
        <f aca="false">IF(C232="","",IFERROR(INDEX(Players!$C$5:$C$104,MATCH(C232,Players!$B$5:$B$104,0)),"ID not found"))</f>
        <v/>
      </c>
      <c r="E232" s="27"/>
      <c r="F232" s="27"/>
      <c r="G232" s="27"/>
      <c r="H232" s="27"/>
      <c r="I232" s="27"/>
      <c r="J232" s="27"/>
      <c r="K232" s="27"/>
      <c r="L232" s="27"/>
      <c r="M232" s="30" t="str">
        <f aca="false">IF(SUM(J232:K232)=0,"",J232/SUM(J232:K232))</f>
        <v/>
      </c>
      <c r="N232" s="27"/>
      <c r="O232" s="27"/>
    </row>
    <row r="233" customFormat="false" ht="15" hidden="false" customHeight="false" outlineLevel="0" collapsed="false">
      <c r="B233" s="26"/>
      <c r="C233" s="27"/>
      <c r="D233" s="28" t="str">
        <f aca="false">IF(C233="","",IFERROR(INDEX(Players!$C$5:$C$104,MATCH(C233,Players!$B$5:$B$104,0)),"ID not found"))</f>
        <v/>
      </c>
      <c r="E233" s="27"/>
      <c r="F233" s="27"/>
      <c r="G233" s="27"/>
      <c r="H233" s="27"/>
      <c r="I233" s="27"/>
      <c r="J233" s="27"/>
      <c r="K233" s="27"/>
      <c r="L233" s="27"/>
      <c r="M233" s="30" t="str">
        <f aca="false">IF(SUM(J233:K233)=0,"",J233/SUM(J233:K233))</f>
        <v/>
      </c>
      <c r="N233" s="27"/>
      <c r="O233" s="27"/>
    </row>
    <row r="234" customFormat="false" ht="15" hidden="false" customHeight="false" outlineLevel="0" collapsed="false">
      <c r="B234" s="26"/>
      <c r="C234" s="27"/>
      <c r="D234" s="28" t="str">
        <f aca="false">IF(C234="","",IFERROR(INDEX(Players!$C$5:$C$104,MATCH(C234,Players!$B$5:$B$104,0)),"ID not found"))</f>
        <v/>
      </c>
      <c r="E234" s="27"/>
      <c r="F234" s="27"/>
      <c r="G234" s="27"/>
      <c r="H234" s="27"/>
      <c r="I234" s="27"/>
      <c r="J234" s="27"/>
      <c r="K234" s="27"/>
      <c r="L234" s="27"/>
      <c r="M234" s="30" t="str">
        <f aca="false">IF(SUM(J234:K234)=0,"",J234/SUM(J234:K234))</f>
        <v/>
      </c>
      <c r="N234" s="27"/>
      <c r="O234" s="27"/>
    </row>
    <row r="235" customFormat="false" ht="15" hidden="false" customHeight="false" outlineLevel="0" collapsed="false">
      <c r="B235" s="26"/>
      <c r="C235" s="27"/>
      <c r="D235" s="28" t="str">
        <f aca="false">IF(C235="","",IFERROR(INDEX(Players!$C$5:$C$104,MATCH(C235,Players!$B$5:$B$104,0)),"ID not found"))</f>
        <v/>
      </c>
      <c r="E235" s="27"/>
      <c r="F235" s="27"/>
      <c r="G235" s="27"/>
      <c r="H235" s="27"/>
      <c r="I235" s="27"/>
      <c r="J235" s="27"/>
      <c r="K235" s="27"/>
      <c r="L235" s="27"/>
      <c r="M235" s="30" t="str">
        <f aca="false">IF(SUM(J235:K235)=0,"",J235/SUM(J235:K235))</f>
        <v/>
      </c>
      <c r="N235" s="27"/>
      <c r="O235" s="27"/>
    </row>
    <row r="236" customFormat="false" ht="15" hidden="false" customHeight="false" outlineLevel="0" collapsed="false">
      <c r="B236" s="26"/>
      <c r="C236" s="27"/>
      <c r="D236" s="28" t="str">
        <f aca="false">IF(C236="","",IFERROR(INDEX(Players!$C$5:$C$104,MATCH(C236,Players!$B$5:$B$104,0)),"ID not found"))</f>
        <v/>
      </c>
      <c r="E236" s="27"/>
      <c r="F236" s="27"/>
      <c r="G236" s="27"/>
      <c r="H236" s="27"/>
      <c r="I236" s="27"/>
      <c r="J236" s="27"/>
      <c r="K236" s="27"/>
      <c r="L236" s="27"/>
      <c r="M236" s="30" t="str">
        <f aca="false">IF(SUM(J236:K236)=0,"",J236/SUM(J236:K236))</f>
        <v/>
      </c>
      <c r="N236" s="27"/>
      <c r="O236" s="27"/>
    </row>
    <row r="237" customFormat="false" ht="15" hidden="false" customHeight="false" outlineLevel="0" collapsed="false">
      <c r="B237" s="26"/>
      <c r="C237" s="27"/>
      <c r="D237" s="28" t="str">
        <f aca="false">IF(C237="","",IFERROR(INDEX(Players!$C$5:$C$104,MATCH(C237,Players!$B$5:$B$104,0)),"ID not found"))</f>
        <v/>
      </c>
      <c r="E237" s="27"/>
      <c r="F237" s="27"/>
      <c r="G237" s="27"/>
      <c r="H237" s="27"/>
      <c r="I237" s="27"/>
      <c r="J237" s="27"/>
      <c r="K237" s="27"/>
      <c r="L237" s="27"/>
      <c r="M237" s="30" t="str">
        <f aca="false">IF(SUM(J237:K237)=0,"",J237/SUM(J237:K237))</f>
        <v/>
      </c>
      <c r="N237" s="27"/>
      <c r="O237" s="27"/>
    </row>
    <row r="238" customFormat="false" ht="15" hidden="false" customHeight="false" outlineLevel="0" collapsed="false">
      <c r="B238" s="26"/>
      <c r="C238" s="27"/>
      <c r="D238" s="28" t="str">
        <f aca="false">IF(C238="","",IFERROR(INDEX(Players!$C$5:$C$104,MATCH(C238,Players!$B$5:$B$104,0)),"ID not found"))</f>
        <v/>
      </c>
      <c r="E238" s="27"/>
      <c r="F238" s="27"/>
      <c r="G238" s="27"/>
      <c r="H238" s="27"/>
      <c r="I238" s="27"/>
      <c r="J238" s="27"/>
      <c r="K238" s="27"/>
      <c r="L238" s="27"/>
      <c r="M238" s="30" t="str">
        <f aca="false">IF(SUM(J238:K238)=0,"",J238/SUM(J238:K238))</f>
        <v/>
      </c>
      <c r="N238" s="27"/>
      <c r="O238" s="27"/>
    </row>
    <row r="239" customFormat="false" ht="15" hidden="false" customHeight="false" outlineLevel="0" collapsed="false">
      <c r="B239" s="26"/>
      <c r="C239" s="27"/>
      <c r="D239" s="28" t="str">
        <f aca="false">IF(C239="","",IFERROR(INDEX(Players!$C$5:$C$104,MATCH(C239,Players!$B$5:$B$104,0)),"ID not found"))</f>
        <v/>
      </c>
      <c r="E239" s="27"/>
      <c r="F239" s="27"/>
      <c r="G239" s="27"/>
      <c r="H239" s="27"/>
      <c r="I239" s="27"/>
      <c r="J239" s="27"/>
      <c r="K239" s="27"/>
      <c r="L239" s="27"/>
      <c r="M239" s="30" t="str">
        <f aca="false">IF(SUM(J239:K239)=0,"",J239/SUM(J239:K239))</f>
        <v/>
      </c>
      <c r="N239" s="27"/>
      <c r="O239" s="27"/>
    </row>
    <row r="240" customFormat="false" ht="15" hidden="false" customHeight="false" outlineLevel="0" collapsed="false">
      <c r="B240" s="26"/>
      <c r="C240" s="27"/>
      <c r="D240" s="28" t="str">
        <f aca="false">IF(C240="","",IFERROR(INDEX(Players!$C$5:$C$104,MATCH(C240,Players!$B$5:$B$104,0)),"ID not found"))</f>
        <v/>
      </c>
      <c r="E240" s="27"/>
      <c r="F240" s="27"/>
      <c r="G240" s="27"/>
      <c r="H240" s="27"/>
      <c r="I240" s="27"/>
      <c r="J240" s="27"/>
      <c r="K240" s="27"/>
      <c r="L240" s="27"/>
      <c r="M240" s="30" t="str">
        <f aca="false">IF(SUM(J240:K240)=0,"",J240/SUM(J240:K240))</f>
        <v/>
      </c>
      <c r="N240" s="27"/>
      <c r="O240" s="27"/>
    </row>
    <row r="241" customFormat="false" ht="15" hidden="false" customHeight="false" outlineLevel="0" collapsed="false">
      <c r="B241" s="26"/>
      <c r="C241" s="27"/>
      <c r="D241" s="28" t="str">
        <f aca="false">IF(C241="","",IFERROR(INDEX(Players!$C$5:$C$104,MATCH(C241,Players!$B$5:$B$104,0)),"ID not found"))</f>
        <v/>
      </c>
      <c r="E241" s="27"/>
      <c r="F241" s="27"/>
      <c r="G241" s="27"/>
      <c r="H241" s="27"/>
      <c r="I241" s="27"/>
      <c r="J241" s="27"/>
      <c r="K241" s="27"/>
      <c r="L241" s="27"/>
      <c r="M241" s="30" t="str">
        <f aca="false">IF(SUM(J241:K241)=0,"",J241/SUM(J241:K241))</f>
        <v/>
      </c>
      <c r="N241" s="27"/>
      <c r="O241" s="27"/>
    </row>
    <row r="242" customFormat="false" ht="15" hidden="false" customHeight="false" outlineLevel="0" collapsed="false">
      <c r="B242" s="26"/>
      <c r="C242" s="27"/>
      <c r="D242" s="28" t="str">
        <f aca="false">IF(C242="","",IFERROR(INDEX(Players!$C$5:$C$104,MATCH(C242,Players!$B$5:$B$104,0)),"ID not found"))</f>
        <v/>
      </c>
      <c r="E242" s="27"/>
      <c r="F242" s="27"/>
      <c r="G242" s="27"/>
      <c r="H242" s="27"/>
      <c r="I242" s="27"/>
      <c r="J242" s="27"/>
      <c r="K242" s="27"/>
      <c r="L242" s="27"/>
      <c r="M242" s="30" t="str">
        <f aca="false">IF(SUM(J242:K242)=0,"",J242/SUM(J242:K242))</f>
        <v/>
      </c>
      <c r="N242" s="27"/>
      <c r="O242" s="27"/>
    </row>
    <row r="243" customFormat="false" ht="15" hidden="false" customHeight="false" outlineLevel="0" collapsed="false">
      <c r="B243" s="26"/>
      <c r="C243" s="27"/>
      <c r="D243" s="28" t="str">
        <f aca="false">IF(C243="","",IFERROR(INDEX(Players!$C$5:$C$104,MATCH(C243,Players!$B$5:$B$104,0)),"ID not found"))</f>
        <v/>
      </c>
      <c r="E243" s="27"/>
      <c r="F243" s="27"/>
      <c r="G243" s="27"/>
      <c r="H243" s="27"/>
      <c r="I243" s="27"/>
      <c r="J243" s="27"/>
      <c r="K243" s="27"/>
      <c r="L243" s="27"/>
      <c r="M243" s="30" t="str">
        <f aca="false">IF(SUM(J243:K243)=0,"",J243/SUM(J243:K243))</f>
        <v/>
      </c>
      <c r="N243" s="27"/>
      <c r="O243" s="27"/>
    </row>
    <row r="244" customFormat="false" ht="15" hidden="false" customHeight="false" outlineLevel="0" collapsed="false">
      <c r="B244" s="26"/>
      <c r="C244" s="27"/>
      <c r="D244" s="28" t="str">
        <f aca="false">IF(C244="","",IFERROR(INDEX(Players!$C$5:$C$104,MATCH(C244,Players!$B$5:$B$104,0)),"ID not found"))</f>
        <v/>
      </c>
      <c r="E244" s="27"/>
      <c r="F244" s="27"/>
      <c r="G244" s="27"/>
      <c r="H244" s="27"/>
      <c r="I244" s="27"/>
      <c r="J244" s="27"/>
      <c r="K244" s="27"/>
      <c r="L244" s="27"/>
      <c r="M244" s="30" t="str">
        <f aca="false">IF(SUM(J244:K244)=0,"",J244/SUM(J244:K244))</f>
        <v/>
      </c>
      <c r="N244" s="27"/>
      <c r="O244" s="27"/>
    </row>
    <row r="245" customFormat="false" ht="15" hidden="false" customHeight="false" outlineLevel="0" collapsed="false">
      <c r="B245" s="26"/>
      <c r="C245" s="27"/>
      <c r="D245" s="28" t="str">
        <f aca="false">IF(C245="","",IFERROR(INDEX(Players!$C$5:$C$104,MATCH(C245,Players!$B$5:$B$104,0)),"ID not found"))</f>
        <v/>
      </c>
      <c r="E245" s="27"/>
      <c r="F245" s="27"/>
      <c r="G245" s="27"/>
      <c r="H245" s="27"/>
      <c r="I245" s="27"/>
      <c r="J245" s="27"/>
      <c r="K245" s="27"/>
      <c r="L245" s="27"/>
      <c r="M245" s="30" t="str">
        <f aca="false">IF(SUM(J245:K245)=0,"",J245/SUM(J245:K245))</f>
        <v/>
      </c>
      <c r="N245" s="27"/>
      <c r="O245" s="27"/>
    </row>
    <row r="246" customFormat="false" ht="15" hidden="false" customHeight="false" outlineLevel="0" collapsed="false">
      <c r="B246" s="26"/>
      <c r="C246" s="27"/>
      <c r="D246" s="28" t="str">
        <f aca="false">IF(C246="","",IFERROR(INDEX(Players!$C$5:$C$104,MATCH(C246,Players!$B$5:$B$104,0)),"ID not found"))</f>
        <v/>
      </c>
      <c r="E246" s="27"/>
      <c r="F246" s="27"/>
      <c r="G246" s="27"/>
      <c r="H246" s="27"/>
      <c r="I246" s="27"/>
      <c r="J246" s="27"/>
      <c r="K246" s="27"/>
      <c r="L246" s="27"/>
      <c r="M246" s="30" t="str">
        <f aca="false">IF(SUM(J246:K246)=0,"",J246/SUM(J246:K246))</f>
        <v/>
      </c>
      <c r="N246" s="27"/>
      <c r="O246" s="27"/>
    </row>
    <row r="247" customFormat="false" ht="15" hidden="false" customHeight="false" outlineLevel="0" collapsed="false">
      <c r="B247" s="26"/>
      <c r="C247" s="27"/>
      <c r="D247" s="28" t="str">
        <f aca="false">IF(C247="","",IFERROR(INDEX(Players!$C$5:$C$104,MATCH(C247,Players!$B$5:$B$104,0)),"ID not found"))</f>
        <v/>
      </c>
      <c r="E247" s="27"/>
      <c r="F247" s="27"/>
      <c r="G247" s="27"/>
      <c r="H247" s="27"/>
      <c r="I247" s="27"/>
      <c r="J247" s="27"/>
      <c r="K247" s="27"/>
      <c r="L247" s="27"/>
      <c r="M247" s="30" t="str">
        <f aca="false">IF(SUM(J247:K247)=0,"",J247/SUM(J247:K247))</f>
        <v/>
      </c>
      <c r="N247" s="27"/>
      <c r="O247" s="27"/>
    </row>
    <row r="248" customFormat="false" ht="15" hidden="false" customHeight="false" outlineLevel="0" collapsed="false">
      <c r="B248" s="26"/>
      <c r="C248" s="27"/>
      <c r="D248" s="28" t="str">
        <f aca="false">IF(C248="","",IFERROR(INDEX(Players!$C$5:$C$104,MATCH(C248,Players!$B$5:$B$104,0)),"ID not found"))</f>
        <v/>
      </c>
      <c r="E248" s="27"/>
      <c r="F248" s="27"/>
      <c r="G248" s="27"/>
      <c r="H248" s="27"/>
      <c r="I248" s="27"/>
      <c r="J248" s="27"/>
      <c r="K248" s="27"/>
      <c r="L248" s="27"/>
      <c r="M248" s="30" t="str">
        <f aca="false">IF(SUM(J248:K248)=0,"",J248/SUM(J248:K248))</f>
        <v/>
      </c>
      <c r="N248" s="27"/>
      <c r="O248" s="27"/>
    </row>
    <row r="249" customFormat="false" ht="15" hidden="false" customHeight="false" outlineLevel="0" collapsed="false">
      <c r="B249" s="26"/>
      <c r="C249" s="27"/>
      <c r="D249" s="28" t="str">
        <f aca="false">IF(C249="","",IFERROR(INDEX(Players!$C$5:$C$104,MATCH(C249,Players!$B$5:$B$104,0)),"ID not found"))</f>
        <v/>
      </c>
      <c r="E249" s="27"/>
      <c r="F249" s="27"/>
      <c r="G249" s="27"/>
      <c r="H249" s="27"/>
      <c r="I249" s="27"/>
      <c r="J249" s="27"/>
      <c r="K249" s="27"/>
      <c r="L249" s="27"/>
      <c r="M249" s="30" t="str">
        <f aca="false">IF(SUM(J249:K249)=0,"",J249/SUM(J249:K249))</f>
        <v/>
      </c>
      <c r="N249" s="27"/>
      <c r="O249" s="27"/>
    </row>
    <row r="250" customFormat="false" ht="15" hidden="false" customHeight="false" outlineLevel="0" collapsed="false">
      <c r="B250" s="26"/>
      <c r="C250" s="27"/>
      <c r="D250" s="28" t="str">
        <f aca="false">IF(C250="","",IFERROR(INDEX(Players!$C$5:$C$104,MATCH(C250,Players!$B$5:$B$104,0)),"ID not found"))</f>
        <v/>
      </c>
      <c r="E250" s="27"/>
      <c r="F250" s="27"/>
      <c r="G250" s="27"/>
      <c r="H250" s="27"/>
      <c r="I250" s="27"/>
      <c r="J250" s="27"/>
      <c r="K250" s="27"/>
      <c r="L250" s="27"/>
      <c r="M250" s="30" t="str">
        <f aca="false">IF(SUM(J250:K250)=0,"",J250/SUM(J250:K250))</f>
        <v/>
      </c>
      <c r="N250" s="27"/>
      <c r="O250" s="27"/>
    </row>
    <row r="251" customFormat="false" ht="15" hidden="false" customHeight="false" outlineLevel="0" collapsed="false">
      <c r="B251" s="26"/>
      <c r="C251" s="27"/>
      <c r="D251" s="28" t="str">
        <f aca="false">IF(C251="","",IFERROR(INDEX(Players!$C$5:$C$104,MATCH(C251,Players!$B$5:$B$104,0)),"ID not found"))</f>
        <v/>
      </c>
      <c r="E251" s="27"/>
      <c r="F251" s="27"/>
      <c r="G251" s="27"/>
      <c r="H251" s="27"/>
      <c r="I251" s="27"/>
      <c r="J251" s="27"/>
      <c r="K251" s="27"/>
      <c r="L251" s="27"/>
      <c r="M251" s="30" t="str">
        <f aca="false">IF(SUM(J251:K251)=0,"",J251/SUM(J251:K251))</f>
        <v/>
      </c>
      <c r="N251" s="27"/>
      <c r="O251" s="27"/>
    </row>
    <row r="252" customFormat="false" ht="15" hidden="false" customHeight="false" outlineLevel="0" collapsed="false">
      <c r="B252" s="26"/>
      <c r="C252" s="27"/>
      <c r="D252" s="28" t="str">
        <f aca="false">IF(C252="","",IFERROR(INDEX(Players!$C$5:$C$104,MATCH(C252,Players!$B$5:$B$104,0)),"ID not found"))</f>
        <v/>
      </c>
      <c r="E252" s="27"/>
      <c r="F252" s="27"/>
      <c r="G252" s="27"/>
      <c r="H252" s="27"/>
      <c r="I252" s="27"/>
      <c r="J252" s="27"/>
      <c r="K252" s="27"/>
      <c r="L252" s="27"/>
      <c r="M252" s="30" t="str">
        <f aca="false">IF(SUM(J252:K252)=0,"",J252/SUM(J252:K252))</f>
        <v/>
      </c>
      <c r="N252" s="27"/>
      <c r="O252" s="27"/>
    </row>
    <row r="253" customFormat="false" ht="15" hidden="false" customHeight="false" outlineLevel="0" collapsed="false">
      <c r="B253" s="26"/>
      <c r="C253" s="27"/>
      <c r="D253" s="28" t="str">
        <f aca="false">IF(C253="","",IFERROR(INDEX(Players!$C$5:$C$104,MATCH(C253,Players!$B$5:$B$104,0)),"ID not found"))</f>
        <v/>
      </c>
      <c r="E253" s="27"/>
      <c r="F253" s="27"/>
      <c r="G253" s="27"/>
      <c r="H253" s="27"/>
      <c r="I253" s="27"/>
      <c r="J253" s="27"/>
      <c r="K253" s="27"/>
      <c r="L253" s="27"/>
      <c r="M253" s="30" t="str">
        <f aca="false">IF(SUM(J253:K253)=0,"",J253/SUM(J253:K253))</f>
        <v/>
      </c>
      <c r="N253" s="27"/>
      <c r="O253" s="27"/>
    </row>
    <row r="254" customFormat="false" ht="15" hidden="false" customHeight="false" outlineLevel="0" collapsed="false">
      <c r="B254" s="26"/>
      <c r="C254" s="27"/>
      <c r="D254" s="28" t="str">
        <f aca="false">IF(C254="","",IFERROR(INDEX(Players!$C$5:$C$104,MATCH(C254,Players!$B$5:$B$104,0)),"ID not found"))</f>
        <v/>
      </c>
      <c r="E254" s="27"/>
      <c r="F254" s="27"/>
      <c r="G254" s="27"/>
      <c r="H254" s="27"/>
      <c r="I254" s="27"/>
      <c r="J254" s="27"/>
      <c r="K254" s="27"/>
      <c r="L254" s="27"/>
      <c r="M254" s="30" t="str">
        <f aca="false">IF(SUM(J254:K254)=0,"",J254/SUM(J254:K254))</f>
        <v/>
      </c>
      <c r="N254" s="27"/>
      <c r="O254" s="27"/>
    </row>
    <row r="255" customFormat="false" ht="15" hidden="false" customHeight="false" outlineLevel="0" collapsed="false">
      <c r="B255" s="26"/>
      <c r="C255" s="27"/>
      <c r="D255" s="28" t="str">
        <f aca="false">IF(C255="","",IFERROR(INDEX(Players!$C$5:$C$104,MATCH(C255,Players!$B$5:$B$104,0)),"ID not found"))</f>
        <v/>
      </c>
      <c r="E255" s="27"/>
      <c r="F255" s="27"/>
      <c r="G255" s="27"/>
      <c r="H255" s="27"/>
      <c r="I255" s="27"/>
      <c r="J255" s="27"/>
      <c r="K255" s="27"/>
      <c r="L255" s="27"/>
      <c r="M255" s="30" t="str">
        <f aca="false">IF(SUM(J255:K255)=0,"",J255/SUM(J255:K255))</f>
        <v/>
      </c>
      <c r="N255" s="27"/>
      <c r="O255" s="27"/>
    </row>
    <row r="256" customFormat="false" ht="15" hidden="false" customHeight="false" outlineLevel="0" collapsed="false">
      <c r="B256" s="26"/>
      <c r="C256" s="27"/>
      <c r="D256" s="28" t="str">
        <f aca="false">IF(C256="","",IFERROR(INDEX(Players!$C$5:$C$104,MATCH(C256,Players!$B$5:$B$104,0)),"ID not found"))</f>
        <v/>
      </c>
      <c r="E256" s="27"/>
      <c r="F256" s="27"/>
      <c r="G256" s="27"/>
      <c r="H256" s="27"/>
      <c r="I256" s="27"/>
      <c r="J256" s="27"/>
      <c r="K256" s="27"/>
      <c r="L256" s="27"/>
      <c r="M256" s="30" t="str">
        <f aca="false">IF(SUM(J256:K256)=0,"",J256/SUM(J256:K256))</f>
        <v/>
      </c>
      <c r="N256" s="27"/>
      <c r="O256" s="27"/>
    </row>
    <row r="257" customFormat="false" ht="15" hidden="false" customHeight="false" outlineLevel="0" collapsed="false">
      <c r="B257" s="26"/>
      <c r="C257" s="27"/>
      <c r="D257" s="28" t="str">
        <f aca="false">IF(C257="","",IFERROR(INDEX(Players!$C$5:$C$104,MATCH(C257,Players!$B$5:$B$104,0)),"ID not found"))</f>
        <v/>
      </c>
      <c r="E257" s="27"/>
      <c r="F257" s="27"/>
      <c r="G257" s="27"/>
      <c r="H257" s="27"/>
      <c r="I257" s="27"/>
      <c r="J257" s="27"/>
      <c r="K257" s="27"/>
      <c r="L257" s="27"/>
      <c r="M257" s="30" t="str">
        <f aca="false">IF(SUM(J257:K257)=0,"",J257/SUM(J257:K257))</f>
        <v/>
      </c>
      <c r="N257" s="27"/>
      <c r="O257" s="27"/>
    </row>
    <row r="258" customFormat="false" ht="15" hidden="false" customHeight="false" outlineLevel="0" collapsed="false">
      <c r="B258" s="26"/>
      <c r="C258" s="27"/>
      <c r="D258" s="28" t="str">
        <f aca="false">IF(C258="","",IFERROR(INDEX(Players!$C$5:$C$104,MATCH(C258,Players!$B$5:$B$104,0)),"ID not found"))</f>
        <v/>
      </c>
      <c r="E258" s="27"/>
      <c r="F258" s="27"/>
      <c r="G258" s="27"/>
      <c r="H258" s="27"/>
      <c r="I258" s="27"/>
      <c r="J258" s="27"/>
      <c r="K258" s="27"/>
      <c r="L258" s="27"/>
      <c r="M258" s="30" t="str">
        <f aca="false">IF(SUM(J258:K258)=0,"",J258/SUM(J258:K258))</f>
        <v/>
      </c>
      <c r="N258" s="27"/>
      <c r="O258" s="27"/>
    </row>
    <row r="259" customFormat="false" ht="15" hidden="false" customHeight="false" outlineLevel="0" collapsed="false">
      <c r="B259" s="26"/>
      <c r="C259" s="27"/>
      <c r="D259" s="28" t="str">
        <f aca="false">IF(C259="","",IFERROR(INDEX(Players!$C$5:$C$104,MATCH(C259,Players!$B$5:$B$104,0)),"ID not found"))</f>
        <v/>
      </c>
      <c r="E259" s="27"/>
      <c r="F259" s="27"/>
      <c r="G259" s="27"/>
      <c r="H259" s="27"/>
      <c r="I259" s="27"/>
      <c r="J259" s="27"/>
      <c r="K259" s="27"/>
      <c r="L259" s="27"/>
      <c r="M259" s="30" t="str">
        <f aca="false">IF(SUM(J259:K259)=0,"",J259/SUM(J259:K259))</f>
        <v/>
      </c>
      <c r="N259" s="27"/>
      <c r="O259" s="27"/>
    </row>
    <row r="260" customFormat="false" ht="15" hidden="false" customHeight="false" outlineLevel="0" collapsed="false">
      <c r="B260" s="26"/>
      <c r="C260" s="27"/>
      <c r="D260" s="28" t="str">
        <f aca="false">IF(C260="","",IFERROR(INDEX(Players!$C$5:$C$104,MATCH(C260,Players!$B$5:$B$104,0)),"ID not found"))</f>
        <v/>
      </c>
      <c r="E260" s="27"/>
      <c r="F260" s="27"/>
      <c r="G260" s="27"/>
      <c r="H260" s="27"/>
      <c r="I260" s="27"/>
      <c r="J260" s="27"/>
      <c r="K260" s="27"/>
      <c r="L260" s="27"/>
      <c r="M260" s="30" t="str">
        <f aca="false">IF(SUM(J260:K260)=0,"",J260/SUM(J260:K260))</f>
        <v/>
      </c>
      <c r="N260" s="27"/>
      <c r="O260" s="27"/>
    </row>
    <row r="261" customFormat="false" ht="15" hidden="false" customHeight="false" outlineLevel="0" collapsed="false">
      <c r="B261" s="26"/>
      <c r="C261" s="27"/>
      <c r="D261" s="28" t="str">
        <f aca="false">IF(C261="","",IFERROR(INDEX(Players!$C$5:$C$104,MATCH(C261,Players!$B$5:$B$104,0)),"ID not found"))</f>
        <v/>
      </c>
      <c r="E261" s="27"/>
      <c r="F261" s="27"/>
      <c r="G261" s="27"/>
      <c r="H261" s="27"/>
      <c r="I261" s="27"/>
      <c r="J261" s="27"/>
      <c r="K261" s="27"/>
      <c r="L261" s="27"/>
      <c r="M261" s="30" t="str">
        <f aca="false">IF(SUM(J261:K261)=0,"",J261/SUM(J261:K261))</f>
        <v/>
      </c>
      <c r="N261" s="27"/>
      <c r="O261" s="27"/>
    </row>
    <row r="262" customFormat="false" ht="15" hidden="false" customHeight="false" outlineLevel="0" collapsed="false">
      <c r="B262" s="26"/>
      <c r="C262" s="27"/>
      <c r="D262" s="28" t="str">
        <f aca="false">IF(C262="","",IFERROR(INDEX(Players!$C$5:$C$104,MATCH(C262,Players!$B$5:$B$104,0)),"ID not found"))</f>
        <v/>
      </c>
      <c r="E262" s="27"/>
      <c r="F262" s="27"/>
      <c r="G262" s="27"/>
      <c r="H262" s="27"/>
      <c r="I262" s="27"/>
      <c r="J262" s="27"/>
      <c r="K262" s="27"/>
      <c r="L262" s="27"/>
      <c r="M262" s="30" t="str">
        <f aca="false">IF(SUM(J262:K262)=0,"",J262/SUM(J262:K262))</f>
        <v/>
      </c>
      <c r="N262" s="27"/>
      <c r="O262" s="27"/>
    </row>
    <row r="263" customFormat="false" ht="15" hidden="false" customHeight="false" outlineLevel="0" collapsed="false">
      <c r="B263" s="26"/>
      <c r="C263" s="27"/>
      <c r="D263" s="28" t="str">
        <f aca="false">IF(C263="","",IFERROR(INDEX(Players!$C$5:$C$104,MATCH(C263,Players!$B$5:$B$104,0)),"ID not found"))</f>
        <v/>
      </c>
      <c r="E263" s="27"/>
      <c r="F263" s="27"/>
      <c r="G263" s="27"/>
      <c r="H263" s="27"/>
      <c r="I263" s="27"/>
      <c r="J263" s="27"/>
      <c r="K263" s="27"/>
      <c r="L263" s="27"/>
      <c r="M263" s="30" t="str">
        <f aca="false">IF(SUM(J263:K263)=0,"",J263/SUM(J263:K263))</f>
        <v/>
      </c>
      <c r="N263" s="27"/>
      <c r="O263" s="27"/>
    </row>
    <row r="264" customFormat="false" ht="15" hidden="false" customHeight="false" outlineLevel="0" collapsed="false">
      <c r="B264" s="26"/>
      <c r="C264" s="27"/>
      <c r="D264" s="28" t="str">
        <f aca="false">IF(C264="","",IFERROR(INDEX(Players!$C$5:$C$104,MATCH(C264,Players!$B$5:$B$104,0)),"ID not found"))</f>
        <v/>
      </c>
      <c r="E264" s="27"/>
      <c r="F264" s="27"/>
      <c r="G264" s="27"/>
      <c r="H264" s="27"/>
      <c r="I264" s="27"/>
      <c r="J264" s="27"/>
      <c r="K264" s="27"/>
      <c r="L264" s="27"/>
      <c r="M264" s="30" t="str">
        <f aca="false">IF(SUM(J264:K264)=0,"",J264/SUM(J264:K264))</f>
        <v/>
      </c>
      <c r="N264" s="27"/>
      <c r="O264" s="27"/>
    </row>
    <row r="265" customFormat="false" ht="15" hidden="false" customHeight="false" outlineLevel="0" collapsed="false">
      <c r="B265" s="26"/>
      <c r="C265" s="27"/>
      <c r="D265" s="28" t="str">
        <f aca="false">IF(C265="","",IFERROR(INDEX(Players!$C$5:$C$104,MATCH(C265,Players!$B$5:$B$104,0)),"ID not found"))</f>
        <v/>
      </c>
      <c r="E265" s="27"/>
      <c r="F265" s="27"/>
      <c r="G265" s="27"/>
      <c r="H265" s="27"/>
      <c r="I265" s="27"/>
      <c r="J265" s="27"/>
      <c r="K265" s="27"/>
      <c r="L265" s="27"/>
      <c r="M265" s="30" t="str">
        <f aca="false">IF(SUM(J265:K265)=0,"",J265/SUM(J265:K265))</f>
        <v/>
      </c>
      <c r="N265" s="27"/>
      <c r="O265" s="27"/>
    </row>
    <row r="266" customFormat="false" ht="15" hidden="false" customHeight="false" outlineLevel="0" collapsed="false">
      <c r="B266" s="26"/>
      <c r="C266" s="27"/>
      <c r="D266" s="28" t="str">
        <f aca="false">IF(C266="","",IFERROR(INDEX(Players!$C$5:$C$104,MATCH(C266,Players!$B$5:$B$104,0)),"ID not found"))</f>
        <v/>
      </c>
      <c r="E266" s="27"/>
      <c r="F266" s="27"/>
      <c r="G266" s="27"/>
      <c r="H266" s="27"/>
      <c r="I266" s="27"/>
      <c r="J266" s="27"/>
      <c r="K266" s="27"/>
      <c r="L266" s="27"/>
      <c r="M266" s="30" t="str">
        <f aca="false">IF(SUM(J266:K266)=0,"",J266/SUM(J266:K266))</f>
        <v/>
      </c>
      <c r="N266" s="27"/>
      <c r="O266" s="27"/>
    </row>
    <row r="267" customFormat="false" ht="15" hidden="false" customHeight="false" outlineLevel="0" collapsed="false">
      <c r="B267" s="26"/>
      <c r="C267" s="27"/>
      <c r="D267" s="28" t="str">
        <f aca="false">IF(C267="","",IFERROR(INDEX(Players!$C$5:$C$104,MATCH(C267,Players!$B$5:$B$104,0)),"ID not found"))</f>
        <v/>
      </c>
      <c r="E267" s="27"/>
      <c r="F267" s="27"/>
      <c r="G267" s="27"/>
      <c r="H267" s="27"/>
      <c r="I267" s="27"/>
      <c r="J267" s="27"/>
      <c r="K267" s="27"/>
      <c r="L267" s="27"/>
      <c r="M267" s="30" t="str">
        <f aca="false">IF(SUM(J267:K267)=0,"",J267/SUM(J267:K267))</f>
        <v/>
      </c>
      <c r="N267" s="27"/>
      <c r="O267" s="27"/>
    </row>
    <row r="268" customFormat="false" ht="15" hidden="false" customHeight="false" outlineLevel="0" collapsed="false">
      <c r="B268" s="26"/>
      <c r="C268" s="27"/>
      <c r="D268" s="28" t="str">
        <f aca="false">IF(C268="","",IFERROR(INDEX(Players!$C$5:$C$104,MATCH(C268,Players!$B$5:$B$104,0)),"ID not found"))</f>
        <v/>
      </c>
      <c r="E268" s="27"/>
      <c r="F268" s="27"/>
      <c r="G268" s="27"/>
      <c r="H268" s="27"/>
      <c r="I268" s="27"/>
      <c r="J268" s="27"/>
      <c r="K268" s="27"/>
      <c r="L268" s="27"/>
      <c r="M268" s="30" t="str">
        <f aca="false">IF(SUM(J268:K268)=0,"",J268/SUM(J268:K268))</f>
        <v/>
      </c>
      <c r="N268" s="27"/>
      <c r="O268" s="27"/>
    </row>
    <row r="269" customFormat="false" ht="15" hidden="false" customHeight="false" outlineLevel="0" collapsed="false">
      <c r="B269" s="26"/>
      <c r="C269" s="27"/>
      <c r="D269" s="28" t="str">
        <f aca="false">IF(C269="","",IFERROR(INDEX(Players!$C$5:$C$104,MATCH(C269,Players!$B$5:$B$104,0)),"ID not found"))</f>
        <v/>
      </c>
      <c r="E269" s="27"/>
      <c r="F269" s="27"/>
      <c r="G269" s="27"/>
      <c r="H269" s="27"/>
      <c r="I269" s="27"/>
      <c r="J269" s="27"/>
      <c r="K269" s="27"/>
      <c r="L269" s="27"/>
      <c r="M269" s="30" t="str">
        <f aca="false">IF(SUM(J269:K269)=0,"",J269/SUM(J269:K269))</f>
        <v/>
      </c>
      <c r="N269" s="27"/>
      <c r="O269" s="27"/>
    </row>
    <row r="270" customFormat="false" ht="15" hidden="false" customHeight="false" outlineLevel="0" collapsed="false">
      <c r="B270" s="26"/>
      <c r="C270" s="27"/>
      <c r="D270" s="28" t="str">
        <f aca="false">IF(C270="","",IFERROR(INDEX(Players!$C$5:$C$104,MATCH(C270,Players!$B$5:$B$104,0)),"ID not found"))</f>
        <v/>
      </c>
      <c r="E270" s="27"/>
      <c r="F270" s="27"/>
      <c r="G270" s="27"/>
      <c r="H270" s="27"/>
      <c r="I270" s="27"/>
      <c r="J270" s="27"/>
      <c r="K270" s="27"/>
      <c r="L270" s="27"/>
      <c r="M270" s="30" t="str">
        <f aca="false">IF(SUM(J270:K270)=0,"",J270/SUM(J270:K270))</f>
        <v/>
      </c>
      <c r="N270" s="27"/>
      <c r="O270" s="27"/>
    </row>
    <row r="271" customFormat="false" ht="15" hidden="false" customHeight="false" outlineLevel="0" collapsed="false">
      <c r="B271" s="26"/>
      <c r="C271" s="27"/>
      <c r="D271" s="28" t="str">
        <f aca="false">IF(C271="","",IFERROR(INDEX(Players!$C$5:$C$104,MATCH(C271,Players!$B$5:$B$104,0)),"ID not found"))</f>
        <v/>
      </c>
      <c r="E271" s="27"/>
      <c r="F271" s="27"/>
      <c r="G271" s="27"/>
      <c r="H271" s="27"/>
      <c r="I271" s="27"/>
      <c r="J271" s="27"/>
      <c r="K271" s="27"/>
      <c r="L271" s="27"/>
      <c r="M271" s="30" t="str">
        <f aca="false">IF(SUM(J271:K271)=0,"",J271/SUM(J271:K271))</f>
        <v/>
      </c>
      <c r="N271" s="27"/>
      <c r="O271" s="27"/>
    </row>
    <row r="272" customFormat="false" ht="15" hidden="false" customHeight="false" outlineLevel="0" collapsed="false">
      <c r="B272" s="26"/>
      <c r="C272" s="27"/>
      <c r="D272" s="28" t="str">
        <f aca="false">IF(C272="","",IFERROR(INDEX(Players!$C$5:$C$104,MATCH(C272,Players!$B$5:$B$104,0)),"ID not found"))</f>
        <v/>
      </c>
      <c r="E272" s="27"/>
      <c r="F272" s="27"/>
      <c r="G272" s="27"/>
      <c r="H272" s="27"/>
      <c r="I272" s="27"/>
      <c r="J272" s="27"/>
      <c r="K272" s="27"/>
      <c r="L272" s="27"/>
      <c r="M272" s="30" t="str">
        <f aca="false">IF(SUM(J272:K272)=0,"",J272/SUM(J272:K272))</f>
        <v/>
      </c>
      <c r="N272" s="27"/>
      <c r="O272" s="27"/>
    </row>
    <row r="273" customFormat="false" ht="15" hidden="false" customHeight="false" outlineLevel="0" collapsed="false">
      <c r="B273" s="26"/>
      <c r="C273" s="27"/>
      <c r="D273" s="28" t="str">
        <f aca="false">IF(C273="","",IFERROR(INDEX(Players!$C$5:$C$104,MATCH(C273,Players!$B$5:$B$104,0)),"ID not found"))</f>
        <v/>
      </c>
      <c r="E273" s="27"/>
      <c r="F273" s="27"/>
      <c r="G273" s="27"/>
      <c r="H273" s="27"/>
      <c r="I273" s="27"/>
      <c r="J273" s="27"/>
      <c r="K273" s="27"/>
      <c r="L273" s="27"/>
      <c r="M273" s="30" t="str">
        <f aca="false">IF(SUM(J273:K273)=0,"",J273/SUM(J273:K273))</f>
        <v/>
      </c>
      <c r="N273" s="27"/>
      <c r="O273" s="27"/>
    </row>
    <row r="274" customFormat="false" ht="15" hidden="false" customHeight="false" outlineLevel="0" collapsed="false">
      <c r="B274" s="26"/>
      <c r="C274" s="27"/>
      <c r="D274" s="28" t="str">
        <f aca="false">IF(C274="","",IFERROR(INDEX(Players!$C$5:$C$104,MATCH(C274,Players!$B$5:$B$104,0)),"ID not found"))</f>
        <v/>
      </c>
      <c r="E274" s="27"/>
      <c r="F274" s="27"/>
      <c r="G274" s="27"/>
      <c r="H274" s="27"/>
      <c r="I274" s="27"/>
      <c r="J274" s="27"/>
      <c r="K274" s="27"/>
      <c r="L274" s="27"/>
      <c r="M274" s="30" t="str">
        <f aca="false">IF(SUM(J274:K274)=0,"",J274/SUM(J274:K274))</f>
        <v/>
      </c>
      <c r="N274" s="27"/>
      <c r="O274" s="27"/>
    </row>
    <row r="275" customFormat="false" ht="15" hidden="false" customHeight="false" outlineLevel="0" collapsed="false">
      <c r="B275" s="26"/>
      <c r="C275" s="27"/>
      <c r="D275" s="28" t="str">
        <f aca="false">IF(C275="","",IFERROR(INDEX(Players!$C$5:$C$104,MATCH(C275,Players!$B$5:$B$104,0)),"ID not found"))</f>
        <v/>
      </c>
      <c r="E275" s="27"/>
      <c r="F275" s="27"/>
      <c r="G275" s="27"/>
      <c r="H275" s="27"/>
      <c r="I275" s="27"/>
      <c r="J275" s="27"/>
      <c r="K275" s="27"/>
      <c r="L275" s="27"/>
      <c r="M275" s="30" t="str">
        <f aca="false">IF(SUM(J275:K275)=0,"",J275/SUM(J275:K275))</f>
        <v/>
      </c>
      <c r="N275" s="27"/>
      <c r="O275" s="27"/>
    </row>
    <row r="276" customFormat="false" ht="15" hidden="false" customHeight="false" outlineLevel="0" collapsed="false">
      <c r="B276" s="26"/>
      <c r="C276" s="27"/>
      <c r="D276" s="28" t="str">
        <f aca="false">IF(C276="","",IFERROR(INDEX(Players!$C$5:$C$104,MATCH(C276,Players!$B$5:$B$104,0)),"ID not found"))</f>
        <v/>
      </c>
      <c r="E276" s="27"/>
      <c r="F276" s="27"/>
      <c r="G276" s="27"/>
      <c r="H276" s="27"/>
      <c r="I276" s="27"/>
      <c r="J276" s="27"/>
      <c r="K276" s="27"/>
      <c r="L276" s="27"/>
      <c r="M276" s="30" t="str">
        <f aca="false">IF(SUM(J276:K276)=0,"",J276/SUM(J276:K276))</f>
        <v/>
      </c>
      <c r="N276" s="27"/>
      <c r="O276" s="27"/>
    </row>
    <row r="277" customFormat="false" ht="15" hidden="false" customHeight="false" outlineLevel="0" collapsed="false">
      <c r="B277" s="26"/>
      <c r="C277" s="27"/>
      <c r="D277" s="28" t="str">
        <f aca="false">IF(C277="","",IFERROR(INDEX(Players!$C$5:$C$104,MATCH(C277,Players!$B$5:$B$104,0)),"ID not found"))</f>
        <v/>
      </c>
      <c r="E277" s="27"/>
      <c r="F277" s="27"/>
      <c r="G277" s="27"/>
      <c r="H277" s="27"/>
      <c r="I277" s="27"/>
      <c r="J277" s="27"/>
      <c r="K277" s="27"/>
      <c r="L277" s="27"/>
      <c r="M277" s="30" t="str">
        <f aca="false">IF(SUM(J277:K277)=0,"",J277/SUM(J277:K277))</f>
        <v/>
      </c>
      <c r="N277" s="27"/>
      <c r="O277" s="27"/>
    </row>
    <row r="278" customFormat="false" ht="15" hidden="false" customHeight="false" outlineLevel="0" collapsed="false">
      <c r="B278" s="26"/>
      <c r="C278" s="27"/>
      <c r="D278" s="28" t="str">
        <f aca="false">IF(C278="","",IFERROR(INDEX(Players!$C$5:$C$104,MATCH(C278,Players!$B$5:$B$104,0)),"ID not found"))</f>
        <v/>
      </c>
      <c r="E278" s="27"/>
      <c r="F278" s="27"/>
      <c r="G278" s="27"/>
      <c r="H278" s="27"/>
      <c r="I278" s="27"/>
      <c r="J278" s="27"/>
      <c r="K278" s="27"/>
      <c r="L278" s="27"/>
      <c r="M278" s="30" t="str">
        <f aca="false">IF(SUM(J278:K278)=0,"",J278/SUM(J278:K278))</f>
        <v/>
      </c>
      <c r="N278" s="27"/>
      <c r="O278" s="27"/>
    </row>
    <row r="279" customFormat="false" ht="15" hidden="false" customHeight="false" outlineLevel="0" collapsed="false">
      <c r="B279" s="26"/>
      <c r="C279" s="27"/>
      <c r="D279" s="28" t="str">
        <f aca="false">IF(C279="","",IFERROR(INDEX(Players!$C$5:$C$104,MATCH(C279,Players!$B$5:$B$104,0)),"ID not found"))</f>
        <v/>
      </c>
      <c r="E279" s="27"/>
      <c r="F279" s="27"/>
      <c r="G279" s="27"/>
      <c r="H279" s="27"/>
      <c r="I279" s="27"/>
      <c r="J279" s="27"/>
      <c r="K279" s="27"/>
      <c r="L279" s="27"/>
      <c r="M279" s="30" t="str">
        <f aca="false">IF(SUM(J279:K279)=0,"",J279/SUM(J279:K279))</f>
        <v/>
      </c>
      <c r="N279" s="27"/>
      <c r="O279" s="27"/>
    </row>
    <row r="280" customFormat="false" ht="15" hidden="false" customHeight="false" outlineLevel="0" collapsed="false">
      <c r="B280" s="26"/>
      <c r="C280" s="27"/>
      <c r="D280" s="28" t="str">
        <f aca="false">IF(C280="","",IFERROR(INDEX(Players!$C$5:$C$104,MATCH(C280,Players!$B$5:$B$104,0)),"ID not found"))</f>
        <v/>
      </c>
      <c r="E280" s="27"/>
      <c r="F280" s="27"/>
      <c r="G280" s="27"/>
      <c r="H280" s="27"/>
      <c r="I280" s="27"/>
      <c r="J280" s="27"/>
      <c r="K280" s="27"/>
      <c r="L280" s="27"/>
      <c r="M280" s="30" t="str">
        <f aca="false">IF(SUM(J280:K280)=0,"",J280/SUM(J280:K280))</f>
        <v/>
      </c>
      <c r="N280" s="27"/>
      <c r="O280" s="27"/>
    </row>
    <row r="281" customFormat="false" ht="15" hidden="false" customHeight="false" outlineLevel="0" collapsed="false">
      <c r="B281" s="26"/>
      <c r="C281" s="27"/>
      <c r="D281" s="28" t="str">
        <f aca="false">IF(C281="","",IFERROR(INDEX(Players!$C$5:$C$104,MATCH(C281,Players!$B$5:$B$104,0)),"ID not found"))</f>
        <v/>
      </c>
      <c r="E281" s="27"/>
      <c r="F281" s="27"/>
      <c r="G281" s="27"/>
      <c r="H281" s="27"/>
      <c r="I281" s="27"/>
      <c r="J281" s="27"/>
      <c r="K281" s="27"/>
      <c r="L281" s="27"/>
      <c r="M281" s="30" t="str">
        <f aca="false">IF(SUM(J281:K281)=0,"",J281/SUM(J281:K281))</f>
        <v/>
      </c>
      <c r="N281" s="27"/>
      <c r="O281" s="27"/>
    </row>
    <row r="282" customFormat="false" ht="15" hidden="false" customHeight="false" outlineLevel="0" collapsed="false">
      <c r="B282" s="26"/>
      <c r="C282" s="27"/>
      <c r="D282" s="28" t="str">
        <f aca="false">IF(C282="","",IFERROR(INDEX(Players!$C$5:$C$104,MATCH(C282,Players!$B$5:$B$104,0)),"ID not found"))</f>
        <v/>
      </c>
      <c r="E282" s="27"/>
      <c r="F282" s="27"/>
      <c r="G282" s="27"/>
      <c r="H282" s="27"/>
      <c r="I282" s="27"/>
      <c r="J282" s="27"/>
      <c r="K282" s="27"/>
      <c r="L282" s="27"/>
      <c r="M282" s="30" t="str">
        <f aca="false">IF(SUM(J282:K282)=0,"",J282/SUM(J282:K282))</f>
        <v/>
      </c>
      <c r="N282" s="27"/>
      <c r="O282" s="27"/>
    </row>
    <row r="283" customFormat="false" ht="15" hidden="false" customHeight="false" outlineLevel="0" collapsed="false">
      <c r="B283" s="26"/>
      <c r="C283" s="27"/>
      <c r="D283" s="28" t="str">
        <f aca="false">IF(C283="","",IFERROR(INDEX(Players!$C$5:$C$104,MATCH(C283,Players!$B$5:$B$104,0)),"ID not found"))</f>
        <v/>
      </c>
      <c r="E283" s="27"/>
      <c r="F283" s="27"/>
      <c r="G283" s="27"/>
      <c r="H283" s="27"/>
      <c r="I283" s="27"/>
      <c r="J283" s="27"/>
      <c r="K283" s="27"/>
      <c r="L283" s="27"/>
      <c r="M283" s="30" t="str">
        <f aca="false">IF(SUM(J283:K283)=0,"",J283/SUM(J283:K283))</f>
        <v/>
      </c>
      <c r="N283" s="27"/>
      <c r="O283" s="27"/>
    </row>
    <row r="284" customFormat="false" ht="15" hidden="false" customHeight="false" outlineLevel="0" collapsed="false">
      <c r="B284" s="26"/>
      <c r="C284" s="27"/>
      <c r="D284" s="28" t="str">
        <f aca="false">IF(C284="","",IFERROR(INDEX(Players!$C$5:$C$104,MATCH(C284,Players!$B$5:$B$104,0)),"ID not found"))</f>
        <v/>
      </c>
      <c r="E284" s="27"/>
      <c r="F284" s="27"/>
      <c r="G284" s="27"/>
      <c r="H284" s="27"/>
      <c r="I284" s="27"/>
      <c r="J284" s="27"/>
      <c r="K284" s="27"/>
      <c r="L284" s="27"/>
      <c r="M284" s="30" t="str">
        <f aca="false">IF(SUM(J284:K284)=0,"",J284/SUM(J284:K284))</f>
        <v/>
      </c>
      <c r="N284" s="27"/>
      <c r="O284" s="27"/>
    </row>
    <row r="285" customFormat="false" ht="15" hidden="false" customHeight="false" outlineLevel="0" collapsed="false">
      <c r="B285" s="26"/>
      <c r="C285" s="27"/>
      <c r="D285" s="28" t="str">
        <f aca="false">IF(C285="","",IFERROR(INDEX(Players!$C$5:$C$104,MATCH(C285,Players!$B$5:$B$104,0)),"ID not found"))</f>
        <v/>
      </c>
      <c r="E285" s="27"/>
      <c r="F285" s="27"/>
      <c r="G285" s="27"/>
      <c r="H285" s="27"/>
      <c r="I285" s="27"/>
      <c r="J285" s="27"/>
      <c r="K285" s="27"/>
      <c r="L285" s="27"/>
      <c r="M285" s="30" t="str">
        <f aca="false">IF(SUM(J285:K285)=0,"",J285/SUM(J285:K285))</f>
        <v/>
      </c>
      <c r="N285" s="27"/>
      <c r="O285" s="27"/>
    </row>
    <row r="286" customFormat="false" ht="15" hidden="false" customHeight="false" outlineLevel="0" collapsed="false">
      <c r="B286" s="26"/>
      <c r="C286" s="27"/>
      <c r="D286" s="28" t="str">
        <f aca="false">IF(C286="","",IFERROR(INDEX(Players!$C$5:$C$104,MATCH(C286,Players!$B$5:$B$104,0)),"ID not found"))</f>
        <v/>
      </c>
      <c r="E286" s="27"/>
      <c r="F286" s="27"/>
      <c r="G286" s="27"/>
      <c r="H286" s="27"/>
      <c r="I286" s="27"/>
      <c r="J286" s="27"/>
      <c r="K286" s="27"/>
      <c r="L286" s="27"/>
      <c r="M286" s="30" t="str">
        <f aca="false">IF(SUM(J286:K286)=0,"",J286/SUM(J286:K286))</f>
        <v/>
      </c>
      <c r="N286" s="27"/>
      <c r="O286" s="27"/>
    </row>
    <row r="287" customFormat="false" ht="15" hidden="false" customHeight="false" outlineLevel="0" collapsed="false">
      <c r="B287" s="26"/>
      <c r="C287" s="27"/>
      <c r="D287" s="28" t="str">
        <f aca="false">IF(C287="","",IFERROR(INDEX(Players!$C$5:$C$104,MATCH(C287,Players!$B$5:$B$104,0)),"ID not found"))</f>
        <v/>
      </c>
      <c r="E287" s="27"/>
      <c r="F287" s="27"/>
      <c r="G287" s="27"/>
      <c r="H287" s="27"/>
      <c r="I287" s="27"/>
      <c r="J287" s="27"/>
      <c r="K287" s="27"/>
      <c r="L287" s="27"/>
      <c r="M287" s="30" t="str">
        <f aca="false">IF(SUM(J287:K287)=0,"",J287/SUM(J287:K287))</f>
        <v/>
      </c>
      <c r="N287" s="27"/>
      <c r="O287" s="27"/>
    </row>
    <row r="288" customFormat="false" ht="15" hidden="false" customHeight="false" outlineLevel="0" collapsed="false">
      <c r="B288" s="26"/>
      <c r="C288" s="27"/>
      <c r="D288" s="28" t="str">
        <f aca="false">IF(C288="","",IFERROR(INDEX(Players!$C$5:$C$104,MATCH(C288,Players!$B$5:$B$104,0)),"ID not found"))</f>
        <v/>
      </c>
      <c r="E288" s="27"/>
      <c r="F288" s="27"/>
      <c r="G288" s="27"/>
      <c r="H288" s="27"/>
      <c r="I288" s="27"/>
      <c r="J288" s="27"/>
      <c r="K288" s="27"/>
      <c r="L288" s="27"/>
      <c r="M288" s="30" t="str">
        <f aca="false">IF(SUM(J288:K288)=0,"",J288/SUM(J288:K288))</f>
        <v/>
      </c>
      <c r="N288" s="27"/>
      <c r="O288" s="27"/>
    </row>
    <row r="289" customFormat="false" ht="15" hidden="false" customHeight="false" outlineLevel="0" collapsed="false">
      <c r="B289" s="26"/>
      <c r="C289" s="27"/>
      <c r="D289" s="28" t="str">
        <f aca="false">IF(C289="","",IFERROR(INDEX(Players!$C$5:$C$104,MATCH(C289,Players!$B$5:$B$104,0)),"ID not found"))</f>
        <v/>
      </c>
      <c r="E289" s="27"/>
      <c r="F289" s="27"/>
      <c r="G289" s="27"/>
      <c r="H289" s="27"/>
      <c r="I289" s="27"/>
      <c r="J289" s="27"/>
      <c r="K289" s="27"/>
      <c r="L289" s="27"/>
      <c r="M289" s="30" t="str">
        <f aca="false">IF(SUM(J289:K289)=0,"",J289/SUM(J289:K289))</f>
        <v/>
      </c>
      <c r="N289" s="27"/>
      <c r="O289" s="27"/>
    </row>
    <row r="290" customFormat="false" ht="15" hidden="false" customHeight="false" outlineLevel="0" collapsed="false">
      <c r="B290" s="26"/>
      <c r="C290" s="27"/>
      <c r="D290" s="28" t="str">
        <f aca="false">IF(C290="","",IFERROR(INDEX(Players!$C$5:$C$104,MATCH(C290,Players!$B$5:$B$104,0)),"ID not found"))</f>
        <v/>
      </c>
      <c r="E290" s="27"/>
      <c r="F290" s="27"/>
      <c r="G290" s="27"/>
      <c r="H290" s="27"/>
      <c r="I290" s="27"/>
      <c r="J290" s="27"/>
      <c r="K290" s="27"/>
      <c r="L290" s="27"/>
      <c r="M290" s="30" t="str">
        <f aca="false">IF(SUM(J290:K290)=0,"",J290/SUM(J290:K290))</f>
        <v/>
      </c>
      <c r="N290" s="27"/>
      <c r="O290" s="27"/>
    </row>
    <row r="291" customFormat="false" ht="15" hidden="false" customHeight="false" outlineLevel="0" collapsed="false">
      <c r="B291" s="26"/>
      <c r="C291" s="27"/>
      <c r="D291" s="28" t="str">
        <f aca="false">IF(C291="","",IFERROR(INDEX(Players!$C$5:$C$104,MATCH(C291,Players!$B$5:$B$104,0)),"ID not found"))</f>
        <v/>
      </c>
      <c r="E291" s="27"/>
      <c r="F291" s="27"/>
      <c r="G291" s="27"/>
      <c r="H291" s="27"/>
      <c r="I291" s="27"/>
      <c r="J291" s="27"/>
      <c r="K291" s="27"/>
      <c r="L291" s="27"/>
      <c r="M291" s="30" t="str">
        <f aca="false">IF(SUM(J291:K291)=0,"",J291/SUM(J291:K291))</f>
        <v/>
      </c>
      <c r="N291" s="27"/>
      <c r="O291" s="27"/>
    </row>
    <row r="292" customFormat="false" ht="15" hidden="false" customHeight="false" outlineLevel="0" collapsed="false">
      <c r="B292" s="26"/>
      <c r="C292" s="27"/>
      <c r="D292" s="28" t="str">
        <f aca="false">IF(C292="","",IFERROR(INDEX(Players!$C$5:$C$104,MATCH(C292,Players!$B$5:$B$104,0)),"ID not found"))</f>
        <v/>
      </c>
      <c r="E292" s="27"/>
      <c r="F292" s="27"/>
      <c r="G292" s="27"/>
      <c r="H292" s="27"/>
      <c r="I292" s="27"/>
      <c r="J292" s="27"/>
      <c r="K292" s="27"/>
      <c r="L292" s="27"/>
      <c r="M292" s="30" t="str">
        <f aca="false">IF(SUM(J292:K292)=0,"",J292/SUM(J292:K292))</f>
        <v/>
      </c>
      <c r="N292" s="27"/>
      <c r="O292" s="27"/>
    </row>
    <row r="293" customFormat="false" ht="15" hidden="false" customHeight="false" outlineLevel="0" collapsed="false">
      <c r="B293" s="26"/>
      <c r="C293" s="27"/>
      <c r="D293" s="28" t="str">
        <f aca="false">IF(C293="","",IFERROR(INDEX(Players!$C$5:$C$104,MATCH(C293,Players!$B$5:$B$104,0)),"ID not found"))</f>
        <v/>
      </c>
      <c r="E293" s="27"/>
      <c r="F293" s="27"/>
      <c r="G293" s="27"/>
      <c r="H293" s="27"/>
      <c r="I293" s="27"/>
      <c r="J293" s="27"/>
      <c r="K293" s="27"/>
      <c r="L293" s="27"/>
      <c r="M293" s="30" t="str">
        <f aca="false">IF(SUM(J293:K293)=0,"",J293/SUM(J293:K293))</f>
        <v/>
      </c>
      <c r="N293" s="27"/>
      <c r="O293" s="27"/>
    </row>
    <row r="294" customFormat="false" ht="15" hidden="false" customHeight="false" outlineLevel="0" collapsed="false">
      <c r="B294" s="26"/>
      <c r="C294" s="27"/>
      <c r="D294" s="28" t="str">
        <f aca="false">IF(C294="","",IFERROR(INDEX(Players!$C$5:$C$104,MATCH(C294,Players!$B$5:$B$104,0)),"ID not found"))</f>
        <v/>
      </c>
      <c r="E294" s="27"/>
      <c r="F294" s="27"/>
      <c r="G294" s="27"/>
      <c r="H294" s="27"/>
      <c r="I294" s="27"/>
      <c r="J294" s="27"/>
      <c r="K294" s="27"/>
      <c r="L294" s="27"/>
      <c r="M294" s="30" t="str">
        <f aca="false">IF(SUM(J294:K294)=0,"",J294/SUM(J294:K294))</f>
        <v/>
      </c>
      <c r="N294" s="27"/>
      <c r="O294" s="27"/>
    </row>
    <row r="295" customFormat="false" ht="15" hidden="false" customHeight="false" outlineLevel="0" collapsed="false">
      <c r="B295" s="26"/>
      <c r="C295" s="27"/>
      <c r="D295" s="28" t="str">
        <f aca="false">IF(C295="","",IFERROR(INDEX(Players!$C$5:$C$104,MATCH(C295,Players!$B$5:$B$104,0)),"ID not found"))</f>
        <v/>
      </c>
      <c r="E295" s="27"/>
      <c r="F295" s="27"/>
      <c r="G295" s="27"/>
      <c r="H295" s="27"/>
      <c r="I295" s="27"/>
      <c r="J295" s="27"/>
      <c r="K295" s="27"/>
      <c r="L295" s="27"/>
      <c r="M295" s="30" t="str">
        <f aca="false">IF(SUM(J295:K295)=0,"",J295/SUM(J295:K295))</f>
        <v/>
      </c>
      <c r="N295" s="27"/>
      <c r="O295" s="27"/>
    </row>
    <row r="296" customFormat="false" ht="15" hidden="false" customHeight="false" outlineLevel="0" collapsed="false">
      <c r="B296" s="26"/>
      <c r="C296" s="27"/>
      <c r="D296" s="28" t="str">
        <f aca="false">IF(C296="","",IFERROR(INDEX(Players!$C$5:$C$104,MATCH(C296,Players!$B$5:$B$104,0)),"ID not found"))</f>
        <v/>
      </c>
      <c r="E296" s="27"/>
      <c r="F296" s="27"/>
      <c r="G296" s="27"/>
      <c r="H296" s="27"/>
      <c r="I296" s="27"/>
      <c r="J296" s="27"/>
      <c r="K296" s="27"/>
      <c r="L296" s="27"/>
      <c r="M296" s="30" t="str">
        <f aca="false">IF(SUM(J296:K296)=0,"",J296/SUM(J296:K296))</f>
        <v/>
      </c>
      <c r="N296" s="27"/>
      <c r="O296" s="27"/>
    </row>
    <row r="297" customFormat="false" ht="15" hidden="false" customHeight="false" outlineLevel="0" collapsed="false">
      <c r="B297" s="26"/>
      <c r="C297" s="27"/>
      <c r="D297" s="28" t="str">
        <f aca="false">IF(C297="","",IFERROR(INDEX(Players!$C$5:$C$104,MATCH(C297,Players!$B$5:$B$104,0)),"ID not found"))</f>
        <v/>
      </c>
      <c r="E297" s="27"/>
      <c r="F297" s="27"/>
      <c r="G297" s="27"/>
      <c r="H297" s="27"/>
      <c r="I297" s="27"/>
      <c r="J297" s="27"/>
      <c r="K297" s="27"/>
      <c r="L297" s="27"/>
      <c r="M297" s="30" t="str">
        <f aca="false">IF(SUM(J297:K297)=0,"",J297/SUM(J297:K297))</f>
        <v/>
      </c>
      <c r="N297" s="27"/>
      <c r="O297" s="27"/>
    </row>
    <row r="298" customFormat="false" ht="15" hidden="false" customHeight="false" outlineLevel="0" collapsed="false">
      <c r="B298" s="26"/>
      <c r="C298" s="27"/>
      <c r="D298" s="28" t="str">
        <f aca="false">IF(C298="","",IFERROR(INDEX(Players!$C$5:$C$104,MATCH(C298,Players!$B$5:$B$104,0)),"ID not found"))</f>
        <v/>
      </c>
      <c r="E298" s="27"/>
      <c r="F298" s="27"/>
      <c r="G298" s="27"/>
      <c r="H298" s="27"/>
      <c r="I298" s="27"/>
      <c r="J298" s="27"/>
      <c r="K298" s="27"/>
      <c r="L298" s="27"/>
      <c r="M298" s="30" t="str">
        <f aca="false">IF(SUM(J298:K298)=0,"",J298/SUM(J298:K298))</f>
        <v/>
      </c>
      <c r="N298" s="27"/>
      <c r="O298" s="27"/>
    </row>
    <row r="299" customFormat="false" ht="15" hidden="false" customHeight="false" outlineLevel="0" collapsed="false">
      <c r="B299" s="26"/>
      <c r="C299" s="27"/>
      <c r="D299" s="28" t="str">
        <f aca="false">IF(C299="","",IFERROR(INDEX(Players!$C$5:$C$104,MATCH(C299,Players!$B$5:$B$104,0)),"ID not found"))</f>
        <v/>
      </c>
      <c r="E299" s="27"/>
      <c r="F299" s="27"/>
      <c r="G299" s="27"/>
      <c r="H299" s="27"/>
      <c r="I299" s="27"/>
      <c r="J299" s="27"/>
      <c r="K299" s="27"/>
      <c r="L299" s="27"/>
      <c r="M299" s="30" t="str">
        <f aca="false">IF(SUM(J299:K299)=0,"",J299/SUM(J299:K299))</f>
        <v/>
      </c>
      <c r="N299" s="27"/>
      <c r="O299" s="27"/>
    </row>
    <row r="300" customFormat="false" ht="15" hidden="false" customHeight="false" outlineLevel="0" collapsed="false">
      <c r="B300" s="26"/>
      <c r="C300" s="27"/>
      <c r="D300" s="28" t="str">
        <f aca="false">IF(C300="","",IFERROR(INDEX(Players!$C$5:$C$104,MATCH(C300,Players!$B$5:$B$104,0)),"ID not found"))</f>
        <v/>
      </c>
      <c r="E300" s="27"/>
      <c r="F300" s="27"/>
      <c r="G300" s="27"/>
      <c r="H300" s="27"/>
      <c r="I300" s="27"/>
      <c r="J300" s="27"/>
      <c r="K300" s="27"/>
      <c r="L300" s="27"/>
      <c r="M300" s="30" t="str">
        <f aca="false">IF(SUM(J300:K300)=0,"",J300/SUM(J300:K300))</f>
        <v/>
      </c>
      <c r="N300" s="27"/>
      <c r="O300" s="27"/>
    </row>
    <row r="301" customFormat="false" ht="15" hidden="false" customHeight="false" outlineLevel="0" collapsed="false">
      <c r="B301" s="26"/>
      <c r="C301" s="27"/>
      <c r="D301" s="28" t="str">
        <f aca="false">IF(C301="","",IFERROR(INDEX(Players!$C$5:$C$104,MATCH(C301,Players!$B$5:$B$104,0)),"ID not found"))</f>
        <v/>
      </c>
      <c r="E301" s="27"/>
      <c r="F301" s="27"/>
      <c r="G301" s="27"/>
      <c r="H301" s="27"/>
      <c r="I301" s="27"/>
      <c r="J301" s="27"/>
      <c r="K301" s="27"/>
      <c r="L301" s="27"/>
      <c r="M301" s="30" t="str">
        <f aca="false">IF(SUM(J301:K301)=0,"",J301/SUM(J301:K301))</f>
        <v/>
      </c>
      <c r="N301" s="27"/>
      <c r="O301" s="27"/>
    </row>
    <row r="302" customFormat="false" ht="15" hidden="false" customHeight="false" outlineLevel="0" collapsed="false">
      <c r="B302" s="26"/>
      <c r="C302" s="27"/>
      <c r="D302" s="28" t="str">
        <f aca="false">IF(C302="","",IFERROR(INDEX(Players!$C$5:$C$104,MATCH(C302,Players!$B$5:$B$104,0)),"ID not found"))</f>
        <v/>
      </c>
      <c r="E302" s="27"/>
      <c r="F302" s="27"/>
      <c r="G302" s="27"/>
      <c r="H302" s="27"/>
      <c r="I302" s="27"/>
      <c r="J302" s="27"/>
      <c r="K302" s="27"/>
      <c r="L302" s="27"/>
      <c r="M302" s="30" t="str">
        <f aca="false">IF(SUM(J302:K302)=0,"",J302/SUM(J302:K302))</f>
        <v/>
      </c>
      <c r="N302" s="27"/>
      <c r="O302" s="27"/>
    </row>
    <row r="303" customFormat="false" ht="15" hidden="false" customHeight="false" outlineLevel="0" collapsed="false">
      <c r="B303" s="26"/>
      <c r="C303" s="27"/>
      <c r="D303" s="28" t="str">
        <f aca="false">IF(C303="","",IFERROR(INDEX(Players!$C$5:$C$104,MATCH(C303,Players!$B$5:$B$104,0)),"ID not found"))</f>
        <v/>
      </c>
      <c r="E303" s="27"/>
      <c r="F303" s="27"/>
      <c r="G303" s="27"/>
      <c r="H303" s="27"/>
      <c r="I303" s="27"/>
      <c r="J303" s="27"/>
      <c r="K303" s="27"/>
      <c r="L303" s="27"/>
      <c r="M303" s="30" t="str">
        <f aca="false">IF(SUM(J303:K303)=0,"",J303/SUM(J303:K303))</f>
        <v/>
      </c>
      <c r="N303" s="27"/>
      <c r="O303" s="27"/>
    </row>
    <row r="304" customFormat="false" ht="15" hidden="false" customHeight="false" outlineLevel="0" collapsed="false">
      <c r="B304" s="26"/>
      <c r="C304" s="27"/>
      <c r="D304" s="28" t="str">
        <f aca="false">IF(C304="","",IFERROR(INDEX(Players!$C$5:$C$104,MATCH(C304,Players!$B$5:$B$104,0)),"ID not found"))</f>
        <v/>
      </c>
      <c r="E304" s="27"/>
      <c r="F304" s="27"/>
      <c r="G304" s="27"/>
      <c r="H304" s="27"/>
      <c r="I304" s="27"/>
      <c r="J304" s="27"/>
      <c r="K304" s="27"/>
      <c r="L304" s="27"/>
      <c r="M304" s="30" t="str">
        <f aca="false">IF(SUM(J304:K304)=0,"",J304/SUM(J304:K304))</f>
        <v/>
      </c>
      <c r="N304" s="27"/>
      <c r="O304" s="27"/>
    </row>
  </sheetData>
  <dataValidations count="4">
    <dataValidation allowBlank="true" errorStyle="stop" operator="between" showDropDown="false" showErrorMessage="false" showInputMessage="false" sqref="C5:C304" type="list">
      <formula1>Players!$B$5:$B$104</formula1>
      <formula2>0</formula2>
    </dataValidation>
    <dataValidation allowBlank="true" errorStyle="stop" operator="between" showDropDown="false" showErrorMessage="false" showInputMessage="false" sqref="E5:E304" type="list">
      <formula1>"Tee,Toss,Live,Home,Other"</formula1>
      <formula2>0</formula2>
    </dataValidation>
    <dataValidation allowBlank="true" errorStyle="stop" operator="between" showDropDown="false" showErrorMessage="false" showInputMessage="false" sqref="G5:G304" type="list">
      <formula1>"Chest-facing,Pitcher-facing (protected),Rear,Overhead,Other"</formula1>
      <formula2>0</formula2>
    </dataValidation>
    <dataValidation allowBlank="true" errorStyle="stop" operator="between" showDropDown="false" showErrorMessage="false" showInputMessage="false" sqref="H5:H304" type="list">
      <formula1>"Front-foot landing,Bailout,Casting,Hand drop,Contact depth,Posture,Timing,Other"</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1:J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8"/>
    <col collapsed="false" customWidth="true" hidden="false" outlineLevel="0" max="4" min="4" style="0" width="20"/>
    <col collapsed="false" customWidth="true" hidden="false" outlineLevel="0" max="5" min="5" style="0" width="18"/>
    <col collapsed="false" customWidth="true" hidden="false" outlineLevel="0" max="8" min="6" style="0" width="14"/>
  </cols>
  <sheetData>
    <row r="1" customFormat="false" ht="15" hidden="false" customHeight="false" outlineLevel="0" collapsed="false">
      <c r="B1" s="12" t="s">
        <v>24</v>
      </c>
    </row>
    <row r="2" customFormat="false" ht="22.05" hidden="false" customHeight="false" outlineLevel="0" collapsed="false">
      <c r="B2" s="13" t="s">
        <v>1666</v>
      </c>
    </row>
    <row r="3" customFormat="false" ht="15" hidden="false" customHeight="false" outlineLevel="0" collapsed="false">
      <c r="B3" s="14" t="s">
        <v>1667</v>
      </c>
    </row>
    <row r="4" customFormat="false" ht="15" hidden="false" customHeight="false" outlineLevel="0" collapsed="false">
      <c r="B4" s="31" t="s">
        <v>1668</v>
      </c>
    </row>
    <row r="5" customFormat="false" ht="15" hidden="false" customHeight="false" outlineLevel="0" collapsed="false">
      <c r="B5" s="6" t="s">
        <v>151</v>
      </c>
      <c r="C5" s="32"/>
      <c r="E5" s="33" t="str">
        <f aca="false">IF(C5="","Select a Player ID",IF(OR(NOT(ISNUMBER(C7)),NOT(ISNUMBER(C8))),"Enter start and end dates",IF(C8&lt;C7,"End date is before start date","Ready")))</f>
        <v>Select a Player ID</v>
      </c>
      <c r="F5" s="33"/>
    </row>
    <row r="6" customFormat="false" ht="15" hidden="false" customHeight="false" outlineLevel="0" collapsed="false">
      <c r="B6" s="6" t="s">
        <v>152</v>
      </c>
      <c r="C6" s="34" t="str">
        <f aca="false">IF(C5="","",IFERROR(INDEX(Players!$C$5:$C$104,MATCH(C5,Players!$B$5:$B$104,0)),"ID not found"))</f>
        <v/>
      </c>
      <c r="D6" s="34"/>
    </row>
    <row r="7" customFormat="false" ht="15" hidden="false" customHeight="false" outlineLevel="0" collapsed="false">
      <c r="B7" s="6" t="s">
        <v>1669</v>
      </c>
      <c r="C7" s="35"/>
    </row>
    <row r="8" customFormat="false" ht="15" hidden="false" customHeight="false" outlineLevel="0" collapsed="false">
      <c r="B8" s="6" t="s">
        <v>1670</v>
      </c>
      <c r="C8" s="35"/>
    </row>
    <row r="9" customFormat="false" ht="15" hidden="false" customHeight="false" outlineLevel="0" collapsed="false">
      <c r="B9" s="6" t="s">
        <v>1671</v>
      </c>
      <c r="C9" s="32" t="s">
        <v>171</v>
      </c>
      <c r="E9" s="36" t="str">
        <f aca="false">IF(OR(C9="",C9="All"),"*",C9)</f>
        <v>*</v>
      </c>
      <c r="F9" s="36" t="s">
        <v>1672</v>
      </c>
    </row>
    <row r="10" customFormat="false" ht="15" hidden="false" customHeight="false" outlineLevel="0" collapsed="false">
      <c r="B10" s="6" t="s">
        <v>1673</v>
      </c>
      <c r="C10" s="35"/>
    </row>
    <row r="11" customFormat="false" ht="15" hidden="false" customHeight="false" outlineLevel="0" collapsed="false">
      <c r="B11" s="6" t="s">
        <v>1674</v>
      </c>
      <c r="C11" s="35"/>
    </row>
    <row r="12" customFormat="false" ht="15" hidden="false" customHeight="false" outlineLevel="0" collapsed="false">
      <c r="B12" s="31" t="s">
        <v>1675</v>
      </c>
    </row>
    <row r="13" customFormat="false" ht="15" hidden="false" customHeight="false" outlineLevel="0" collapsed="false">
      <c r="B13" s="15" t="s">
        <v>1676</v>
      </c>
      <c r="C13" s="15" t="s">
        <v>1677</v>
      </c>
      <c r="D13" s="15" t="s">
        <v>1678</v>
      </c>
      <c r="E13" s="15" t="s">
        <v>1679</v>
      </c>
      <c r="F13" s="15" t="s">
        <v>1680</v>
      </c>
    </row>
    <row r="14" customFormat="false" ht="15" hidden="false" customHeight="false" outlineLevel="0" collapsed="false">
      <c r="B14" s="37" t="s">
        <v>1681</v>
      </c>
      <c r="C14" s="38" t="str">
        <f aca="false">IF(NOT(AND($C$5&lt;&gt;"",ISNUMBER($C$7),ISNUMBER($C$8),$C$8&gt;=$C$7)),"",IF($E$9="*",SUMIFS('Practice Log'!$S$5:$S$1004,'Practice Log'!$C$5:$C$1004,$C$5,'Practice Log'!$B$5:$B$1004,"&gt;="&amp;$C$7,'Practice Log'!$B$5:$B$1004,"&lt;="&amp;$C$8),SUMIFS('Practice Log'!$T$5:$T$1004,'Practice Log'!$C$5:$C$1004,$C$5,'Practice Log'!$B$5:$B$1004,"&gt;="&amp;$C$7,'Practice Log'!$B$5:$B$1004,"&lt;="&amp;$C$8,'Practice Log'!$E$5:$E$1004,$E$9)))</f>
        <v/>
      </c>
      <c r="D14" s="37" t="s">
        <v>1682</v>
      </c>
      <c r="E14" s="39" t="str">
        <f aca="false">IF(NOT(AND($C$5&lt;&gt;"",ISNUMBER($C$10),ISNUMBER($C$11),$C$11&gt;=$C$10)),"",IF($E$9="*",SUMIFS('Practice Log'!$S$5:$S$1004,'Practice Log'!$C$5:$C$1004,$C$5,'Practice Log'!$B$5:$B$1004,"&gt;="&amp;$C$10,'Practice Log'!$B$5:$B$1004,"&lt;="&amp;$C$11),SUMIFS('Practice Log'!$T$5:$T$1004,'Practice Log'!$C$5:$C$1004,$C$5,'Practice Log'!$B$5:$B$1004,"&gt;="&amp;$C$10,'Practice Log'!$B$5:$B$1004,"&lt;="&amp;$C$11,'Practice Log'!$E$5:$E$1004,$E$9)))</f>
        <v/>
      </c>
      <c r="F14" s="40" t="str">
        <f aca="false">IF(AND(ISNUMBER(C14),ISNUMBER(E14)),C14-E14,"")</f>
        <v/>
      </c>
    </row>
    <row r="15" customFormat="false" ht="15" hidden="false" customHeight="false" outlineLevel="0" collapsed="false">
      <c r="B15" s="37" t="s">
        <v>1683</v>
      </c>
      <c r="C15" s="38" t="str">
        <f aca="false">IF(NOT(AND($C$5&lt;&gt;"",ISNUMBER($C$7),ISNUMBER($C$8),$C$8&gt;=$C$7)),"",COUNTIFS('Practice Log'!$C$5:$C$1004,$C$5,'Practice Log'!$B$5:$B$1004,"&gt;="&amp;$C$7,'Practice Log'!$B$5:$B$1004,"&lt;="&amp;$C$8,'Practice Log'!$E$5:$E$1004,$E$9))</f>
        <v/>
      </c>
      <c r="D15" s="37" t="s">
        <v>1684</v>
      </c>
      <c r="E15" s="39" t="str">
        <f aca="false">IF(NOT(AND($C$5&lt;&gt;"",ISNUMBER($C$10),ISNUMBER($C$11),$C$11&gt;=$C$10)),"",COUNTIFS('Practice Log'!$C$5:$C$1004,$C$5,'Practice Log'!$B$5:$B$1004,"&gt;="&amp;$C$10,'Practice Log'!$B$5:$B$1004,"&lt;="&amp;$C$11,'Practice Log'!$E$5:$E$1004,$E$9))</f>
        <v/>
      </c>
      <c r="F15" s="40" t="str">
        <f aca="false">IF(AND(ISNUMBER(C15),ISNUMBER(E15)),C15-E15,"")</f>
        <v/>
      </c>
    </row>
    <row r="16" customFormat="false" ht="15" hidden="false" customHeight="false" outlineLevel="0" collapsed="false">
      <c r="B16" s="37" t="s">
        <v>113</v>
      </c>
      <c r="C16" s="38" t="str">
        <f aca="false">IF(NOT(AND($C$5&lt;&gt;"",ISNUMBER($C$7),ISNUMBER($C$8),$C$8&gt;=$C$7)),"",SUMIFS('Practice Log'!$H$5:$H$1004,'Practice Log'!$C$5:$C$1004,$C$5,'Practice Log'!$B$5:$B$1004,"&gt;="&amp;$C$7,'Practice Log'!$B$5:$B$1004,"&lt;="&amp;$C$8,'Practice Log'!$E$5:$E$1004,$E$9))</f>
        <v/>
      </c>
      <c r="D16" s="37" t="s">
        <v>1685</v>
      </c>
      <c r="E16" s="39" t="str">
        <f aca="false">IF(NOT(AND($C$5&lt;&gt;"",ISNUMBER($C$10),ISNUMBER($C$11),$C$11&gt;=$C$10)),"",SUMIFS('Practice Log'!$H$5:$H$1004,'Practice Log'!$C$5:$C$1004,$C$5,'Practice Log'!$B$5:$B$1004,"&gt;="&amp;$C$10,'Practice Log'!$B$5:$B$1004,"&lt;="&amp;$C$11,'Practice Log'!$E$5:$E$1004,$E$9))</f>
        <v/>
      </c>
      <c r="F16" s="40" t="str">
        <f aca="false">IF(AND(ISNUMBER(C16),ISNUMBER(E16)),C16-E16,"")</f>
        <v/>
      </c>
    </row>
    <row r="17" customFormat="false" ht="15" hidden="false" customHeight="false" outlineLevel="0" collapsed="false">
      <c r="B17" s="37" t="s">
        <v>1561</v>
      </c>
      <c r="C17" s="38" t="str">
        <f aca="false">IF(NOT(AND($C$5&lt;&gt;"",ISNUMBER($C$7),ISNUMBER($C$8),$C$8&gt;=$C$7)),"",SUMIFS('Practice Log'!$I$5:$I$1004,'Practice Log'!$C$5:$C$1004,$C$5,'Practice Log'!$B$5:$B$1004,"&gt;="&amp;$C$7,'Practice Log'!$B$5:$B$1004,"&lt;="&amp;$C$8,'Practice Log'!$E$5:$E$1004,$E$9))</f>
        <v/>
      </c>
      <c r="D17" s="37" t="s">
        <v>1686</v>
      </c>
      <c r="E17" s="39" t="str">
        <f aca="false">IF(NOT(AND($C$5&lt;&gt;"",ISNUMBER($C$10),ISNUMBER($C$11),$C$11&gt;=$C$10)),"",SUMIFS('Practice Log'!$I$5:$I$1004,'Practice Log'!$C$5:$C$1004,$C$5,'Practice Log'!$B$5:$B$1004,"&gt;="&amp;$C$10,'Practice Log'!$B$5:$B$1004,"&lt;="&amp;$C$11,'Practice Log'!$E$5:$E$1004,$E$9))</f>
        <v/>
      </c>
      <c r="F17" s="40" t="str">
        <f aca="false">IF(AND(ISNUMBER(C17),ISNUMBER(E17)),C17-E17,"")</f>
        <v/>
      </c>
    </row>
    <row r="18" customFormat="false" ht="15" hidden="false" customHeight="false" outlineLevel="0" collapsed="false">
      <c r="B18" s="37" t="s">
        <v>1687</v>
      </c>
      <c r="C18" s="41" t="str">
        <f aca="false">IF(NOT(AND($C$5&lt;&gt;"",ISNUMBER($C$7),ISNUMBER($C$8),$C$8&gt;=$C$7)),"",IF(SUMIFS('Practice Log'!$I$5:$I$1004,'Practice Log'!$C$5:$C$1004,$C$5,'Practice Log'!$B$5:$B$1004,"&gt;="&amp;$C$7,'Practice Log'!$B$5:$B$1004,"&lt;="&amp;$C$8,'Practice Log'!$E$5:$E$1004,$E$9)=0,"No data",SUMIFS('Practice Log'!$J$5:$J$1004,'Practice Log'!$C$5:$C$1004,$C$5,'Practice Log'!$B$5:$B$1004,"&gt;="&amp;$C$7,'Practice Log'!$B$5:$B$1004,"&lt;="&amp;$C$8,'Practice Log'!$E$5:$E$1004,$E$9)/SUMIFS('Practice Log'!$I$5:$I$1004,'Practice Log'!$C$5:$C$1004,$C$5,'Practice Log'!$B$5:$B$1004,"&gt;="&amp;$C$7,'Practice Log'!$B$5:$B$1004,"&lt;="&amp;$C$8,'Practice Log'!$E$5:$E$1004,$E$9)))</f>
        <v/>
      </c>
      <c r="D18" s="37" t="str">
        <f aca="false">IF(NOT(AND($C$5&lt;&gt;"",ISNUMBER($C$7),ISNUMBER($C$8),$C$8&gt;=$C$7)),"",SUMIFS('Practice Log'!$J$5:$J$1004,'Practice Log'!$C$5:$C$1004,$C$5,'Practice Log'!$B$5:$B$1004,"&gt;="&amp;$C$7,'Practice Log'!$B$5:$B$1004,"&lt;="&amp;$C$8,'Practice Log'!$E$5:$E$1004,$E$9)&amp;" of "&amp;SUMIFS('Practice Log'!$I$5:$I$1004,'Practice Log'!$C$5:$C$1004,$C$5,'Practice Log'!$B$5:$B$1004,"&gt;="&amp;$C$7,'Practice Log'!$B$5:$B$1004,"&lt;="&amp;$C$8,'Practice Log'!$E$5:$E$1004,$E$9)&amp;" swings")</f>
        <v/>
      </c>
      <c r="E18" s="42" t="str">
        <f aca="false">IF(NOT(AND($C$5&lt;&gt;"",ISNUMBER($C$10),ISNUMBER($C$11),$C$11&gt;=$C$10)),"",IF(SUMIFS('Practice Log'!$I$5:$I$1004,'Practice Log'!$C$5:$C$1004,$C$5,'Practice Log'!$B$5:$B$1004,"&gt;="&amp;$C$10,'Practice Log'!$B$5:$B$1004,"&lt;="&amp;$C$11,'Practice Log'!$E$5:$E$1004,$E$9)=0,"No data",SUMIFS('Practice Log'!$J$5:$J$1004,'Practice Log'!$C$5:$C$1004,$C$5,'Practice Log'!$B$5:$B$1004,"&gt;="&amp;$C$10,'Practice Log'!$B$5:$B$1004,"&lt;="&amp;$C$11,'Practice Log'!$E$5:$E$1004,$E$9)/SUMIFS('Practice Log'!$I$5:$I$1004,'Practice Log'!$C$5:$C$1004,$C$5,'Practice Log'!$B$5:$B$1004,"&gt;="&amp;$C$10,'Practice Log'!$B$5:$B$1004,"&lt;="&amp;$C$11,'Practice Log'!$E$5:$E$1004,$E$9)))</f>
        <v/>
      </c>
      <c r="F18" s="43" t="str">
        <f aca="false">IF(AND(ISNUMBER(C18),ISNUMBER(E18)),C18-E18,"")</f>
        <v/>
      </c>
    </row>
    <row r="19" customFormat="false" ht="15" hidden="false" customHeight="false" outlineLevel="0" collapsed="false">
      <c r="B19" s="37" t="s">
        <v>1688</v>
      </c>
      <c r="C19" s="41" t="str">
        <f aca="false">IF(NOT(AND($C$5&lt;&gt;"",ISNUMBER($C$7),ISNUMBER($C$8),$C$8&gt;=$C$7)),"",IF(SUMIFS('Practice Log'!$K$5:$K$1004,'Practice Log'!$C$5:$C$1004,$C$5,'Practice Log'!$B$5:$B$1004,"&gt;="&amp;$C$7,'Practice Log'!$B$5:$B$1004,"&lt;="&amp;$C$8,'Practice Log'!$E$5:$E$1004,$E$9)=0,"No data",SUMIFS('Practice Log'!$L$5:$L$1004,'Practice Log'!$C$5:$C$1004,$C$5,'Practice Log'!$B$5:$B$1004,"&gt;="&amp;$C$7,'Practice Log'!$B$5:$B$1004,"&lt;="&amp;$C$8,'Practice Log'!$E$5:$E$1004,$E$9)/SUMIFS('Practice Log'!$K$5:$K$1004,'Practice Log'!$C$5:$C$1004,$C$5,'Practice Log'!$B$5:$B$1004,"&gt;="&amp;$C$7,'Practice Log'!$B$5:$B$1004,"&lt;="&amp;$C$8,'Practice Log'!$E$5:$E$1004,$E$9)))</f>
        <v/>
      </c>
      <c r="D19" s="37" t="str">
        <f aca="false">IF(NOT(AND($C$5&lt;&gt;"",ISNUMBER($C$7),ISNUMBER($C$8),$C$8&gt;=$C$7)),"",SUMIFS('Practice Log'!$L$5:$L$1004,'Practice Log'!$C$5:$C$1004,$C$5,'Practice Log'!$B$5:$B$1004,"&gt;="&amp;$C$7,'Practice Log'!$B$5:$B$1004,"&lt;="&amp;$C$8,'Practice Log'!$E$5:$E$1004,$E$9)&amp;" of "&amp;SUMIFS('Practice Log'!$K$5:$K$1004,'Practice Log'!$C$5:$C$1004,$C$5,'Practice Log'!$B$5:$B$1004,"&gt;="&amp;$C$7,'Practice Log'!$B$5:$B$1004,"&lt;="&amp;$C$8,'Practice Log'!$E$5:$E$1004,$E$9)&amp;" pitches")</f>
        <v/>
      </c>
      <c r="E19" s="42" t="str">
        <f aca="false">IF(NOT(AND($C$5&lt;&gt;"",ISNUMBER($C$10),ISNUMBER($C$11),$C$11&gt;=$C$10)),"",IF(SUMIFS('Practice Log'!$K$5:$K$1004,'Practice Log'!$C$5:$C$1004,$C$5,'Practice Log'!$B$5:$B$1004,"&gt;="&amp;$C$10,'Practice Log'!$B$5:$B$1004,"&lt;="&amp;$C$11,'Practice Log'!$E$5:$E$1004,$E$9)=0,"No data",SUMIFS('Practice Log'!$L$5:$L$1004,'Practice Log'!$C$5:$C$1004,$C$5,'Practice Log'!$B$5:$B$1004,"&gt;="&amp;$C$10,'Practice Log'!$B$5:$B$1004,"&lt;="&amp;$C$11,'Practice Log'!$E$5:$E$1004,$E$9)/SUMIFS('Practice Log'!$K$5:$K$1004,'Practice Log'!$C$5:$C$1004,$C$5,'Practice Log'!$B$5:$B$1004,"&gt;="&amp;$C$10,'Practice Log'!$B$5:$B$1004,"&lt;="&amp;$C$11,'Practice Log'!$E$5:$E$1004,$E$9)))</f>
        <v/>
      </c>
      <c r="F19" s="43" t="str">
        <f aca="false">IF(AND(ISNUMBER(C19),ISNUMBER(E19)),C19-E19,"")</f>
        <v/>
      </c>
    </row>
    <row r="20" customFormat="false" ht="15" hidden="false" customHeight="false" outlineLevel="0" collapsed="false">
      <c r="B20" s="37" t="s">
        <v>1689</v>
      </c>
      <c r="C20" s="41" t="str">
        <f aca="false">IF(NOT(AND($C$5&lt;&gt;"",ISNUMBER($C$7),ISNUMBER($C$8),$C$8&gt;=$C$7)),"",IF(SUMIFS('Practice Log'!$M$5:$M$1004,'Practice Log'!$C$5:$C$1004,$C$5,'Practice Log'!$B$5:$B$1004,"&gt;="&amp;$C$7,'Practice Log'!$B$5:$B$1004,"&lt;="&amp;$C$8,'Practice Log'!$E$5:$E$1004,$E$9)=0,"No data",SUMIFS('Practice Log'!$N$5:$N$1004,'Practice Log'!$C$5:$C$1004,$C$5,'Practice Log'!$B$5:$B$1004,"&gt;="&amp;$C$7,'Practice Log'!$B$5:$B$1004,"&lt;="&amp;$C$8,'Practice Log'!$E$5:$E$1004,$E$9)/SUMIFS('Practice Log'!$M$5:$M$1004,'Practice Log'!$C$5:$C$1004,$C$5,'Practice Log'!$B$5:$B$1004,"&gt;="&amp;$C$7,'Practice Log'!$B$5:$B$1004,"&lt;="&amp;$C$8,'Practice Log'!$E$5:$E$1004,$E$9)))</f>
        <v/>
      </c>
      <c r="D20" s="37" t="str">
        <f aca="false">IF(NOT(AND($C$5&lt;&gt;"",ISNUMBER($C$7),ISNUMBER($C$8),$C$8&gt;=$C$7)),"",SUMIFS('Practice Log'!$N$5:$N$1004,'Practice Log'!$C$5:$C$1004,$C$5,'Practice Log'!$B$5:$B$1004,"&gt;="&amp;$C$7,'Practice Log'!$B$5:$B$1004,"&lt;="&amp;$C$8,'Practice Log'!$E$5:$E$1004,$E$9)&amp;" of "&amp;SUMIFS('Practice Log'!$M$5:$M$1004,'Practice Log'!$C$5:$C$1004,$C$5,'Practice Log'!$B$5:$B$1004,"&gt;="&amp;$C$7,'Practice Log'!$B$5:$B$1004,"&lt;="&amp;$C$8,'Practice Log'!$E$5:$E$1004,$E$9)&amp;" landings")</f>
        <v/>
      </c>
      <c r="E20" s="42" t="str">
        <f aca="false">IF(NOT(AND($C$5&lt;&gt;"",ISNUMBER($C$10),ISNUMBER($C$11),$C$11&gt;=$C$10)),"",IF(SUMIFS('Practice Log'!$M$5:$M$1004,'Practice Log'!$C$5:$C$1004,$C$5,'Practice Log'!$B$5:$B$1004,"&gt;="&amp;$C$10,'Practice Log'!$B$5:$B$1004,"&lt;="&amp;$C$11,'Practice Log'!$E$5:$E$1004,$E$9)=0,"No data",SUMIFS('Practice Log'!$N$5:$N$1004,'Practice Log'!$C$5:$C$1004,$C$5,'Practice Log'!$B$5:$B$1004,"&gt;="&amp;$C$10,'Practice Log'!$B$5:$B$1004,"&lt;="&amp;$C$11,'Practice Log'!$E$5:$E$1004,$E$9)/SUMIFS('Practice Log'!$M$5:$M$1004,'Practice Log'!$C$5:$C$1004,$C$5,'Practice Log'!$B$5:$B$1004,"&gt;="&amp;$C$10,'Practice Log'!$B$5:$B$1004,"&lt;="&amp;$C$11,'Practice Log'!$E$5:$E$1004,$E$9)))</f>
        <v/>
      </c>
      <c r="F20" s="43" t="str">
        <f aca="false">IF(AND(ISNUMBER(C20),ISNUMBER(E20)),C20-E20,"")</f>
        <v/>
      </c>
    </row>
    <row r="21" customFormat="false" ht="15" hidden="false" customHeight="false" outlineLevel="0" collapsed="false">
      <c r="B21" s="37" t="s">
        <v>1690</v>
      </c>
      <c r="C21" s="44" t="str">
        <f aca="false">IF(NOT(AND($C$5&lt;&gt;"",ISNUMBER($C$7),ISNUMBER($C$8),$C$8&gt;=$C$7)),"",IFERROR(AVERAGEIFS('Practice Log'!$O$5:$O$1004,'Practice Log'!$C$5:$C$1004,$C$5,'Practice Log'!$B$5:$B$1004,"&gt;="&amp;$C$7,'Practice Log'!$B$5:$B$1004,"&lt;="&amp;$C$8,'Practice Log'!$E$5:$E$1004,$E$9),"No data"))</f>
        <v/>
      </c>
      <c r="D21" s="37" t="s">
        <v>1691</v>
      </c>
      <c r="E21" s="45" t="str">
        <f aca="false">IF(NOT(AND($C$5&lt;&gt;"",ISNUMBER($C$10),ISNUMBER($C$11),$C$11&gt;=$C$10)),"",IFERROR(AVERAGEIFS('Practice Log'!$O$5:$O$1004,'Practice Log'!$C$5:$C$1004,$C$5,'Practice Log'!$B$5:$B$1004,"&gt;="&amp;$C$10,'Practice Log'!$B$5:$B$1004,"&lt;="&amp;$C$11,'Practice Log'!$E$5:$E$1004,$E$9),"No data"))</f>
        <v/>
      </c>
      <c r="F21" s="46" t="str">
        <f aca="false">IF(AND(ISNUMBER(C21),ISNUMBER(E21)),C21-E21,"")</f>
        <v/>
      </c>
    </row>
    <row r="22" customFormat="false" ht="15" hidden="false" customHeight="false" outlineLevel="0" collapsed="false">
      <c r="B22" s="37" t="s">
        <v>1692</v>
      </c>
      <c r="C22" s="47" t="str">
        <f aca="false">IF(NOT(AND($C$5&lt;&gt;"",ISNUMBER($C$7),ISNUMBER($C$8),$C$8&gt;=$C$7)),"",COUNTIFS('Practice Log'!$C$5:$C$1004,$C$5,'Practice Log'!$B$5:$B$1004,"&gt;="&amp;$C$7,'Practice Log'!$B$5:$B$1004,"&lt;="&amp;$C$8,'Practice Log'!$E$5:$E$1004,$E$9,'Practice Log'!$P$5:$P$1004,"Y"))</f>
        <v/>
      </c>
      <c r="D22" s="37" t="s">
        <v>1693</v>
      </c>
      <c r="E22" s="39" t="str">
        <f aca="false">IF(NOT(AND($C$5&lt;&gt;"",ISNUMBER($C$10),ISNUMBER($C$11),$C$11&gt;=$C$10)),"",COUNTIFS('Practice Log'!$C$5:$C$1004,$C$5,'Practice Log'!$B$5:$B$1004,"&gt;="&amp;$C$10,'Practice Log'!$B$5:$B$1004,"&lt;="&amp;$C$11,'Practice Log'!$E$5:$E$1004,$E$9,'Practice Log'!$P$5:$P$1004,"Y"))</f>
        <v/>
      </c>
      <c r="F22" s="40" t="str">
        <f aca="false">IF(AND(ISNUMBER(C22),ISNUMBER(E22)),C22-E22,"")</f>
        <v/>
      </c>
    </row>
    <row r="23" customFormat="false" ht="15" hidden="false" customHeight="false" outlineLevel="0" collapsed="false">
      <c r="B23" s="37" t="s">
        <v>1694</v>
      </c>
      <c r="C23" s="47" t="str">
        <f aca="false">IF(NOT(AND($C$5&lt;&gt;"",ISNUMBER($C$7),ISNUMBER($C$8),$C$8&gt;=$C$7)),"",COUNTIFS('Practice Log'!$C$5:$C$1004,$C$5,'Practice Log'!$B$5:$B$1004,"&gt;="&amp;$C$7,'Practice Log'!$B$5:$B$1004,"&lt;="&amp;$C$8,'Practice Log'!$E$5:$E$1004,$E$9,'Practice Log'!$U$5:$U$1004,"Check*"))</f>
        <v/>
      </c>
      <c r="D23" s="37" t="s">
        <v>1695</v>
      </c>
      <c r="E23" s="39"/>
      <c r="F23" s="40" t="str">
        <f aca="false">IF(AND(ISNUMBER(C23),ISNUMBER(E23)),C23-E23,"")</f>
        <v/>
      </c>
    </row>
    <row r="24" customFormat="false" ht="15" hidden="false" customHeight="false" outlineLevel="0" collapsed="false">
      <c r="B24" s="48" t="s">
        <v>1696</v>
      </c>
    </row>
    <row r="26" customFormat="false" ht="15" hidden="false" customHeight="false" outlineLevel="0" collapsed="false">
      <c r="B26" s="31" t="s">
        <v>1697</v>
      </c>
    </row>
    <row r="27" customFormat="false" ht="15" hidden="false" customHeight="false" outlineLevel="0" collapsed="false">
      <c r="B27" s="15" t="s">
        <v>1623</v>
      </c>
      <c r="C27" s="15" t="s">
        <v>1698</v>
      </c>
      <c r="D27" s="15" t="s">
        <v>1561</v>
      </c>
      <c r="E27" s="15" t="s">
        <v>1687</v>
      </c>
      <c r="F27" s="15" t="s">
        <v>1688</v>
      </c>
      <c r="G27" s="15" t="s">
        <v>1699</v>
      </c>
    </row>
    <row r="28" customFormat="false" ht="15" hidden="false" customHeight="false" outlineLevel="0" collapsed="false">
      <c r="B28" s="49" t="s">
        <v>1421</v>
      </c>
      <c r="C28" s="50" t="str">
        <f aca="false">IF(NOT(AND($C$5&lt;&gt;"",ISNUMBER($C$7),ISNUMBER($C$8),$C$8&gt;=$C$7)),"",COUNTIFS('Practice Log'!$C$5:$C$1004,$C$5,'Practice Log'!$B$5:$B$1004,"&gt;="&amp;$C$7,'Practice Log'!$B$5:$B$1004,"&lt;="&amp;$C$8,'Practice Log'!$E$5:$E$1004,$B28))</f>
        <v/>
      </c>
      <c r="D28" s="50" t="str">
        <f aca="false">IF(NOT(AND($C$5&lt;&gt;"",ISNUMBER($C$7),ISNUMBER($C$8),$C$8&gt;=$C$7)),"",SUMIFS('Practice Log'!$I$5:$I$1004,'Practice Log'!$C$5:$C$1004,$C$5,'Practice Log'!$B$5:$B$1004,"&gt;="&amp;$C$7,'Practice Log'!$B$5:$B$1004,"&lt;="&amp;$C$8,'Practice Log'!$E$5:$E$1004,$B28))</f>
        <v/>
      </c>
      <c r="E28" s="51" t="str">
        <f aca="false">IF(NOT(AND($C$5&lt;&gt;"",ISNUMBER($C$7),ISNUMBER($C$8),$C$8&gt;=$C$7)),"",IF(SUMIFS('Practice Log'!$I$5:$I$1004,'Practice Log'!$C$5:$C$1004,$C$5,'Practice Log'!$B$5:$B$1004,"&gt;="&amp;$C$7,'Practice Log'!$B$5:$B$1004,"&lt;="&amp;$C$8,'Practice Log'!$E$5:$E$1004,$B28)=0,"",SUMIFS('Practice Log'!$J$5:$J$1004,'Practice Log'!$C$5:$C$1004,$C$5,'Practice Log'!$B$5:$B$1004,"&gt;="&amp;$C$7,'Practice Log'!$B$5:$B$1004,"&lt;="&amp;$C$8,'Practice Log'!$E$5:$E$1004,$B28)/SUMIFS('Practice Log'!$I$5:$I$1004,'Practice Log'!$C$5:$C$1004,$C$5,'Practice Log'!$B$5:$B$1004,"&gt;="&amp;$C$7,'Practice Log'!$B$5:$B$1004,"&lt;="&amp;$C$8,'Practice Log'!$E$5:$E$1004,$B28)))</f>
        <v/>
      </c>
      <c r="F28" s="51" t="str">
        <f aca="false">IF(NOT(AND($C$5&lt;&gt;"",ISNUMBER($C$7),ISNUMBER($C$8),$C$8&gt;=$C$7)),"",IF(SUMIFS('Practice Log'!$K$5:$K$1004,'Practice Log'!$C$5:$C$1004,$C$5,'Practice Log'!$B$5:$B$1004,"&gt;="&amp;$C$7,'Practice Log'!$B$5:$B$1004,"&lt;="&amp;$C$8,'Practice Log'!$E$5:$E$1004,$B28)=0,"",SUMIFS('Practice Log'!$L$5:$L$1004,'Practice Log'!$C$5:$C$1004,$C$5,'Practice Log'!$B$5:$B$1004,"&gt;="&amp;$C$7,'Practice Log'!$B$5:$B$1004,"&lt;="&amp;$C$8,'Practice Log'!$E$5:$E$1004,$B28)/SUMIFS('Practice Log'!$K$5:$K$1004,'Practice Log'!$C$5:$C$1004,$C$5,'Practice Log'!$B$5:$B$1004,"&gt;="&amp;$C$7,'Practice Log'!$B$5:$B$1004,"&lt;="&amp;$C$8,'Practice Log'!$E$5:$E$1004,$B28)))</f>
        <v/>
      </c>
      <c r="G28" s="51" t="str">
        <f aca="false">IF(NOT(AND($C$5&lt;&gt;"",ISNUMBER($C$7),ISNUMBER($C$8),$C$8&gt;=$C$7)),"",IF(SUMIFS('Practice Log'!$M$5:$M$1004,'Practice Log'!$C$5:$C$1004,$C$5,'Practice Log'!$B$5:$B$1004,"&gt;="&amp;$C$7,'Practice Log'!$B$5:$B$1004,"&lt;="&amp;$C$8,'Practice Log'!$E$5:$E$1004,$B28)=0,"",SUMIFS('Practice Log'!$N$5:$N$1004,'Practice Log'!$C$5:$C$1004,$C$5,'Practice Log'!$B$5:$B$1004,"&gt;="&amp;$C$7,'Practice Log'!$B$5:$B$1004,"&lt;="&amp;$C$8,'Practice Log'!$E$5:$E$1004,$B28)/SUMIFS('Practice Log'!$M$5:$M$1004,'Practice Log'!$C$5:$C$1004,$C$5,'Practice Log'!$B$5:$B$1004,"&gt;="&amp;$C$7,'Practice Log'!$B$5:$B$1004,"&lt;="&amp;$C$8,'Practice Log'!$E$5:$E$1004,$B28)))</f>
        <v/>
      </c>
    </row>
    <row r="29" customFormat="false" ht="15" hidden="false" customHeight="false" outlineLevel="0" collapsed="false">
      <c r="B29" s="49" t="s">
        <v>1453</v>
      </c>
      <c r="C29" s="50" t="str">
        <f aca="false">IF(NOT(AND($C$5&lt;&gt;"",ISNUMBER($C$7),ISNUMBER($C$8),$C$8&gt;=$C$7)),"",COUNTIFS('Practice Log'!$C$5:$C$1004,$C$5,'Practice Log'!$B$5:$B$1004,"&gt;="&amp;$C$7,'Practice Log'!$B$5:$B$1004,"&lt;="&amp;$C$8,'Practice Log'!$E$5:$E$1004,$B29))</f>
        <v/>
      </c>
      <c r="D29" s="50" t="str">
        <f aca="false">IF(NOT(AND($C$5&lt;&gt;"",ISNUMBER($C$7),ISNUMBER($C$8),$C$8&gt;=$C$7)),"",SUMIFS('Practice Log'!$I$5:$I$1004,'Practice Log'!$C$5:$C$1004,$C$5,'Practice Log'!$B$5:$B$1004,"&gt;="&amp;$C$7,'Practice Log'!$B$5:$B$1004,"&lt;="&amp;$C$8,'Practice Log'!$E$5:$E$1004,$B29))</f>
        <v/>
      </c>
      <c r="E29" s="51" t="str">
        <f aca="false">IF(NOT(AND($C$5&lt;&gt;"",ISNUMBER($C$7),ISNUMBER($C$8),$C$8&gt;=$C$7)),"",IF(SUMIFS('Practice Log'!$I$5:$I$1004,'Practice Log'!$C$5:$C$1004,$C$5,'Practice Log'!$B$5:$B$1004,"&gt;="&amp;$C$7,'Practice Log'!$B$5:$B$1004,"&lt;="&amp;$C$8,'Practice Log'!$E$5:$E$1004,$B29)=0,"",SUMIFS('Practice Log'!$J$5:$J$1004,'Practice Log'!$C$5:$C$1004,$C$5,'Practice Log'!$B$5:$B$1004,"&gt;="&amp;$C$7,'Practice Log'!$B$5:$B$1004,"&lt;="&amp;$C$8,'Practice Log'!$E$5:$E$1004,$B29)/SUMIFS('Practice Log'!$I$5:$I$1004,'Practice Log'!$C$5:$C$1004,$C$5,'Practice Log'!$B$5:$B$1004,"&gt;="&amp;$C$7,'Practice Log'!$B$5:$B$1004,"&lt;="&amp;$C$8,'Practice Log'!$E$5:$E$1004,$B29)))</f>
        <v/>
      </c>
      <c r="F29" s="51" t="str">
        <f aca="false">IF(NOT(AND($C$5&lt;&gt;"",ISNUMBER($C$7),ISNUMBER($C$8),$C$8&gt;=$C$7)),"",IF(SUMIFS('Practice Log'!$K$5:$K$1004,'Practice Log'!$C$5:$C$1004,$C$5,'Practice Log'!$B$5:$B$1004,"&gt;="&amp;$C$7,'Practice Log'!$B$5:$B$1004,"&lt;="&amp;$C$8,'Practice Log'!$E$5:$E$1004,$B29)=0,"",SUMIFS('Practice Log'!$L$5:$L$1004,'Practice Log'!$C$5:$C$1004,$C$5,'Practice Log'!$B$5:$B$1004,"&gt;="&amp;$C$7,'Practice Log'!$B$5:$B$1004,"&lt;="&amp;$C$8,'Practice Log'!$E$5:$E$1004,$B29)/SUMIFS('Practice Log'!$K$5:$K$1004,'Practice Log'!$C$5:$C$1004,$C$5,'Practice Log'!$B$5:$B$1004,"&gt;="&amp;$C$7,'Practice Log'!$B$5:$B$1004,"&lt;="&amp;$C$8,'Practice Log'!$E$5:$E$1004,$B29)))</f>
        <v/>
      </c>
      <c r="G29" s="51" t="str">
        <f aca="false">IF(NOT(AND($C$5&lt;&gt;"",ISNUMBER($C$7),ISNUMBER($C$8),$C$8&gt;=$C$7)),"",IF(SUMIFS('Practice Log'!$M$5:$M$1004,'Practice Log'!$C$5:$C$1004,$C$5,'Practice Log'!$B$5:$B$1004,"&gt;="&amp;$C$7,'Practice Log'!$B$5:$B$1004,"&lt;="&amp;$C$8,'Practice Log'!$E$5:$E$1004,$B29)=0,"",SUMIFS('Practice Log'!$N$5:$N$1004,'Practice Log'!$C$5:$C$1004,$C$5,'Practice Log'!$B$5:$B$1004,"&gt;="&amp;$C$7,'Practice Log'!$B$5:$B$1004,"&lt;="&amp;$C$8,'Practice Log'!$E$5:$E$1004,$B29)/SUMIFS('Practice Log'!$M$5:$M$1004,'Practice Log'!$C$5:$C$1004,$C$5,'Practice Log'!$B$5:$B$1004,"&gt;="&amp;$C$7,'Practice Log'!$B$5:$B$1004,"&lt;="&amp;$C$8,'Practice Log'!$E$5:$E$1004,$B29)))</f>
        <v/>
      </c>
    </row>
    <row r="30" customFormat="false" ht="15" hidden="false" customHeight="false" outlineLevel="0" collapsed="false">
      <c r="B30" s="49" t="s">
        <v>1485</v>
      </c>
      <c r="C30" s="50" t="str">
        <f aca="false">IF(NOT(AND($C$5&lt;&gt;"",ISNUMBER($C$7),ISNUMBER($C$8),$C$8&gt;=$C$7)),"",COUNTIFS('Practice Log'!$C$5:$C$1004,$C$5,'Practice Log'!$B$5:$B$1004,"&gt;="&amp;$C$7,'Practice Log'!$B$5:$B$1004,"&lt;="&amp;$C$8,'Practice Log'!$E$5:$E$1004,$B30))</f>
        <v/>
      </c>
      <c r="D30" s="50" t="str">
        <f aca="false">IF(NOT(AND($C$5&lt;&gt;"",ISNUMBER($C$7),ISNUMBER($C$8),$C$8&gt;=$C$7)),"",SUMIFS('Practice Log'!$I$5:$I$1004,'Practice Log'!$C$5:$C$1004,$C$5,'Practice Log'!$B$5:$B$1004,"&gt;="&amp;$C$7,'Practice Log'!$B$5:$B$1004,"&lt;="&amp;$C$8,'Practice Log'!$E$5:$E$1004,$B30))</f>
        <v/>
      </c>
      <c r="E30" s="51" t="str">
        <f aca="false">IF(NOT(AND($C$5&lt;&gt;"",ISNUMBER($C$7),ISNUMBER($C$8),$C$8&gt;=$C$7)),"",IF(SUMIFS('Practice Log'!$I$5:$I$1004,'Practice Log'!$C$5:$C$1004,$C$5,'Practice Log'!$B$5:$B$1004,"&gt;="&amp;$C$7,'Practice Log'!$B$5:$B$1004,"&lt;="&amp;$C$8,'Practice Log'!$E$5:$E$1004,$B30)=0,"",SUMIFS('Practice Log'!$J$5:$J$1004,'Practice Log'!$C$5:$C$1004,$C$5,'Practice Log'!$B$5:$B$1004,"&gt;="&amp;$C$7,'Practice Log'!$B$5:$B$1004,"&lt;="&amp;$C$8,'Practice Log'!$E$5:$E$1004,$B30)/SUMIFS('Practice Log'!$I$5:$I$1004,'Practice Log'!$C$5:$C$1004,$C$5,'Practice Log'!$B$5:$B$1004,"&gt;="&amp;$C$7,'Practice Log'!$B$5:$B$1004,"&lt;="&amp;$C$8,'Practice Log'!$E$5:$E$1004,$B30)))</f>
        <v/>
      </c>
      <c r="F30" s="51" t="str">
        <f aca="false">IF(NOT(AND($C$5&lt;&gt;"",ISNUMBER($C$7),ISNUMBER($C$8),$C$8&gt;=$C$7)),"",IF(SUMIFS('Practice Log'!$K$5:$K$1004,'Practice Log'!$C$5:$C$1004,$C$5,'Practice Log'!$B$5:$B$1004,"&gt;="&amp;$C$7,'Practice Log'!$B$5:$B$1004,"&lt;="&amp;$C$8,'Practice Log'!$E$5:$E$1004,$B30)=0,"",SUMIFS('Practice Log'!$L$5:$L$1004,'Practice Log'!$C$5:$C$1004,$C$5,'Practice Log'!$B$5:$B$1004,"&gt;="&amp;$C$7,'Practice Log'!$B$5:$B$1004,"&lt;="&amp;$C$8,'Practice Log'!$E$5:$E$1004,$B30)/SUMIFS('Practice Log'!$K$5:$K$1004,'Practice Log'!$C$5:$C$1004,$C$5,'Practice Log'!$B$5:$B$1004,"&gt;="&amp;$C$7,'Practice Log'!$B$5:$B$1004,"&lt;="&amp;$C$8,'Practice Log'!$E$5:$E$1004,$B30)))</f>
        <v/>
      </c>
      <c r="G30" s="51" t="str">
        <f aca="false">IF(NOT(AND($C$5&lt;&gt;"",ISNUMBER($C$7),ISNUMBER($C$8),$C$8&gt;=$C$7)),"",IF(SUMIFS('Practice Log'!$M$5:$M$1004,'Practice Log'!$C$5:$C$1004,$C$5,'Practice Log'!$B$5:$B$1004,"&gt;="&amp;$C$7,'Practice Log'!$B$5:$B$1004,"&lt;="&amp;$C$8,'Practice Log'!$E$5:$E$1004,$B30)=0,"",SUMIFS('Practice Log'!$N$5:$N$1004,'Practice Log'!$C$5:$C$1004,$C$5,'Practice Log'!$B$5:$B$1004,"&gt;="&amp;$C$7,'Practice Log'!$B$5:$B$1004,"&lt;="&amp;$C$8,'Practice Log'!$E$5:$E$1004,$B30)/SUMIFS('Practice Log'!$M$5:$M$1004,'Practice Log'!$C$5:$C$1004,$C$5,'Practice Log'!$B$5:$B$1004,"&gt;="&amp;$C$7,'Practice Log'!$B$5:$B$1004,"&lt;="&amp;$C$8,'Practice Log'!$E$5:$E$1004,$B30)))</f>
        <v/>
      </c>
    </row>
    <row r="31" customFormat="false" ht="15" hidden="false" customHeight="false" outlineLevel="0" collapsed="false">
      <c r="B31" s="49" t="s">
        <v>1700</v>
      </c>
      <c r="C31" s="50" t="str">
        <f aca="false">IF(NOT(AND($C$5&lt;&gt;"",ISNUMBER($C$7),ISNUMBER($C$8),$C$8&gt;=$C$7)),"",COUNTIFS('Practice Log'!$C$5:$C$1004,$C$5,'Practice Log'!$B$5:$B$1004,"&gt;="&amp;$C$7,'Practice Log'!$B$5:$B$1004,"&lt;="&amp;$C$8,'Practice Log'!$E$5:$E$1004,$B31))</f>
        <v/>
      </c>
      <c r="D31" s="50" t="str">
        <f aca="false">IF(NOT(AND($C$5&lt;&gt;"",ISNUMBER($C$7),ISNUMBER($C$8),$C$8&gt;=$C$7)),"",SUMIFS('Practice Log'!$I$5:$I$1004,'Practice Log'!$C$5:$C$1004,$C$5,'Practice Log'!$B$5:$B$1004,"&gt;="&amp;$C$7,'Practice Log'!$B$5:$B$1004,"&lt;="&amp;$C$8,'Practice Log'!$E$5:$E$1004,$B31))</f>
        <v/>
      </c>
      <c r="E31" s="51" t="str">
        <f aca="false">IF(NOT(AND($C$5&lt;&gt;"",ISNUMBER($C$7),ISNUMBER($C$8),$C$8&gt;=$C$7)),"",IF(SUMIFS('Practice Log'!$I$5:$I$1004,'Practice Log'!$C$5:$C$1004,$C$5,'Practice Log'!$B$5:$B$1004,"&gt;="&amp;$C$7,'Practice Log'!$B$5:$B$1004,"&lt;="&amp;$C$8,'Practice Log'!$E$5:$E$1004,$B31)=0,"",SUMIFS('Practice Log'!$J$5:$J$1004,'Practice Log'!$C$5:$C$1004,$C$5,'Practice Log'!$B$5:$B$1004,"&gt;="&amp;$C$7,'Practice Log'!$B$5:$B$1004,"&lt;="&amp;$C$8,'Practice Log'!$E$5:$E$1004,$B31)/SUMIFS('Practice Log'!$I$5:$I$1004,'Practice Log'!$C$5:$C$1004,$C$5,'Practice Log'!$B$5:$B$1004,"&gt;="&amp;$C$7,'Practice Log'!$B$5:$B$1004,"&lt;="&amp;$C$8,'Practice Log'!$E$5:$E$1004,$B31)))</f>
        <v/>
      </c>
      <c r="F31" s="51" t="str">
        <f aca="false">IF(NOT(AND($C$5&lt;&gt;"",ISNUMBER($C$7),ISNUMBER($C$8),$C$8&gt;=$C$7)),"",IF(SUMIFS('Practice Log'!$K$5:$K$1004,'Practice Log'!$C$5:$C$1004,$C$5,'Practice Log'!$B$5:$B$1004,"&gt;="&amp;$C$7,'Practice Log'!$B$5:$B$1004,"&lt;="&amp;$C$8,'Practice Log'!$E$5:$E$1004,$B31)=0,"",SUMIFS('Practice Log'!$L$5:$L$1004,'Practice Log'!$C$5:$C$1004,$C$5,'Practice Log'!$B$5:$B$1004,"&gt;="&amp;$C$7,'Practice Log'!$B$5:$B$1004,"&lt;="&amp;$C$8,'Practice Log'!$E$5:$E$1004,$B31)/SUMIFS('Practice Log'!$K$5:$K$1004,'Practice Log'!$C$5:$C$1004,$C$5,'Practice Log'!$B$5:$B$1004,"&gt;="&amp;$C$7,'Practice Log'!$B$5:$B$1004,"&lt;="&amp;$C$8,'Practice Log'!$E$5:$E$1004,$B31)))</f>
        <v/>
      </c>
      <c r="G31" s="51" t="str">
        <f aca="false">IF(NOT(AND($C$5&lt;&gt;"",ISNUMBER($C$7),ISNUMBER($C$8),$C$8&gt;=$C$7)),"",IF(SUMIFS('Practice Log'!$M$5:$M$1004,'Practice Log'!$C$5:$C$1004,$C$5,'Practice Log'!$B$5:$B$1004,"&gt;="&amp;$C$7,'Practice Log'!$B$5:$B$1004,"&lt;="&amp;$C$8,'Practice Log'!$E$5:$E$1004,$B31)=0,"",SUMIFS('Practice Log'!$N$5:$N$1004,'Practice Log'!$C$5:$C$1004,$C$5,'Practice Log'!$B$5:$B$1004,"&gt;="&amp;$C$7,'Practice Log'!$B$5:$B$1004,"&lt;="&amp;$C$8,'Practice Log'!$E$5:$E$1004,$B31)/SUMIFS('Practice Log'!$M$5:$M$1004,'Practice Log'!$C$5:$C$1004,$C$5,'Practice Log'!$B$5:$B$1004,"&gt;="&amp;$C$7,'Practice Log'!$B$5:$B$1004,"&lt;="&amp;$C$8,'Practice Log'!$E$5:$E$1004,$B31)))</f>
        <v/>
      </c>
    </row>
    <row r="32" customFormat="false" ht="15" hidden="false" customHeight="false" outlineLevel="0" collapsed="false">
      <c r="B32" s="49" t="s">
        <v>1701</v>
      </c>
      <c r="C32" s="50" t="str">
        <f aca="false">IF(NOT(AND($C$5&lt;&gt;"",ISNUMBER($C$7),ISNUMBER($C$8),$C$8&gt;=$C$7)),"",COUNTIFS('Practice Log'!$C$5:$C$1004,$C$5,'Practice Log'!$B$5:$B$1004,"&gt;="&amp;$C$7,'Practice Log'!$B$5:$B$1004,"&lt;="&amp;$C$8,'Practice Log'!$E$5:$E$1004,$B32))</f>
        <v/>
      </c>
      <c r="D32" s="50" t="str">
        <f aca="false">IF(NOT(AND($C$5&lt;&gt;"",ISNUMBER($C$7),ISNUMBER($C$8),$C$8&gt;=$C$7)),"",SUMIFS('Practice Log'!$I$5:$I$1004,'Practice Log'!$C$5:$C$1004,$C$5,'Practice Log'!$B$5:$B$1004,"&gt;="&amp;$C$7,'Practice Log'!$B$5:$B$1004,"&lt;="&amp;$C$8,'Practice Log'!$E$5:$E$1004,$B32))</f>
        <v/>
      </c>
      <c r="E32" s="51" t="str">
        <f aca="false">IF(NOT(AND($C$5&lt;&gt;"",ISNUMBER($C$7),ISNUMBER($C$8),$C$8&gt;=$C$7)),"",IF(SUMIFS('Practice Log'!$I$5:$I$1004,'Practice Log'!$C$5:$C$1004,$C$5,'Practice Log'!$B$5:$B$1004,"&gt;="&amp;$C$7,'Practice Log'!$B$5:$B$1004,"&lt;="&amp;$C$8,'Practice Log'!$E$5:$E$1004,$B32)=0,"",SUMIFS('Practice Log'!$J$5:$J$1004,'Practice Log'!$C$5:$C$1004,$C$5,'Practice Log'!$B$5:$B$1004,"&gt;="&amp;$C$7,'Practice Log'!$B$5:$B$1004,"&lt;="&amp;$C$8,'Practice Log'!$E$5:$E$1004,$B32)/SUMIFS('Practice Log'!$I$5:$I$1004,'Practice Log'!$C$5:$C$1004,$C$5,'Practice Log'!$B$5:$B$1004,"&gt;="&amp;$C$7,'Practice Log'!$B$5:$B$1004,"&lt;="&amp;$C$8,'Practice Log'!$E$5:$E$1004,$B32)))</f>
        <v/>
      </c>
      <c r="F32" s="51" t="str">
        <f aca="false">IF(NOT(AND($C$5&lt;&gt;"",ISNUMBER($C$7),ISNUMBER($C$8),$C$8&gt;=$C$7)),"",IF(SUMIFS('Practice Log'!$K$5:$K$1004,'Practice Log'!$C$5:$C$1004,$C$5,'Practice Log'!$B$5:$B$1004,"&gt;="&amp;$C$7,'Practice Log'!$B$5:$B$1004,"&lt;="&amp;$C$8,'Practice Log'!$E$5:$E$1004,$B32)=0,"",SUMIFS('Practice Log'!$L$5:$L$1004,'Practice Log'!$C$5:$C$1004,$C$5,'Practice Log'!$B$5:$B$1004,"&gt;="&amp;$C$7,'Practice Log'!$B$5:$B$1004,"&lt;="&amp;$C$8,'Practice Log'!$E$5:$E$1004,$B32)/SUMIFS('Practice Log'!$K$5:$K$1004,'Practice Log'!$C$5:$C$1004,$C$5,'Practice Log'!$B$5:$B$1004,"&gt;="&amp;$C$7,'Practice Log'!$B$5:$B$1004,"&lt;="&amp;$C$8,'Practice Log'!$E$5:$E$1004,$B32)))</f>
        <v/>
      </c>
      <c r="G32" s="51" t="str">
        <f aca="false">IF(NOT(AND($C$5&lt;&gt;"",ISNUMBER($C$7),ISNUMBER($C$8),$C$8&gt;=$C$7)),"",IF(SUMIFS('Practice Log'!$M$5:$M$1004,'Practice Log'!$C$5:$C$1004,$C$5,'Practice Log'!$B$5:$B$1004,"&gt;="&amp;$C$7,'Practice Log'!$B$5:$B$1004,"&lt;="&amp;$C$8,'Practice Log'!$E$5:$E$1004,$B32)=0,"",SUMIFS('Practice Log'!$N$5:$N$1004,'Practice Log'!$C$5:$C$1004,$C$5,'Practice Log'!$B$5:$B$1004,"&gt;="&amp;$C$7,'Practice Log'!$B$5:$B$1004,"&lt;="&amp;$C$8,'Practice Log'!$E$5:$E$1004,$B32)/SUMIFS('Practice Log'!$M$5:$M$1004,'Practice Log'!$C$5:$C$1004,$C$5,'Practice Log'!$B$5:$B$1004,"&gt;="&amp;$C$7,'Practice Log'!$B$5:$B$1004,"&lt;="&amp;$C$8,'Practice Log'!$E$5:$E$1004,$B32)))</f>
        <v/>
      </c>
    </row>
    <row r="35" customFormat="false" ht="15" hidden="false" customHeight="false" outlineLevel="0" collapsed="false">
      <c r="B35" s="31" t="s">
        <v>1702</v>
      </c>
    </row>
    <row r="36" customFormat="false" ht="28.35" hidden="false" customHeight="false" outlineLevel="0" collapsed="false">
      <c r="B36" s="15" t="s">
        <v>1703</v>
      </c>
      <c r="C36" s="15" t="s">
        <v>1704</v>
      </c>
      <c r="D36" s="15" t="s">
        <v>1705</v>
      </c>
      <c r="E36" s="15" t="s">
        <v>1698</v>
      </c>
      <c r="F36" s="15" t="s">
        <v>1561</v>
      </c>
      <c r="G36" s="15" t="s">
        <v>1687</v>
      </c>
      <c r="H36" s="15" t="s">
        <v>1688</v>
      </c>
    </row>
    <row r="37" customFormat="false" ht="15" hidden="false" customHeight="false" outlineLevel="0" collapsed="false">
      <c r="B37" s="49" t="s">
        <v>1706</v>
      </c>
      <c r="C37" s="52" t="str">
        <f aca="false">IF(NOT(AND($C$5&lt;&gt;"",ISNUMBER($C$7),ISNUMBER($C$8),$C$8&gt;=$C$7)),"",IF($C$7+7*0&gt;$C$8,"",$C$7+7*0))</f>
        <v/>
      </c>
      <c r="D37" s="52" t="str">
        <f aca="false">IF(C37="","",MIN(C37+6,$C$8))</f>
        <v/>
      </c>
      <c r="E37" s="50" t="str">
        <f aca="false">IF(C37="","",COUNTIFS('Practice Log'!$C$5:$C$1004,$C$5,'Practice Log'!$B$5:$B$1004,"&gt;="&amp;$C37,'Practice Log'!$B$5:$B$1004,"&lt;="&amp;$D37,'Practice Log'!$E$5:$E$1004,$E$9))</f>
        <v/>
      </c>
      <c r="F37" s="50" t="str">
        <f aca="false">IF(C37="","",SUMIFS('Practice Log'!$I$5:$I$1004,'Practice Log'!$C$5:$C$1004,$C$5,'Practice Log'!$B$5:$B$1004,"&gt;="&amp;$C37,'Practice Log'!$B$5:$B$1004,"&lt;="&amp;$D37,'Practice Log'!$E$5:$E$1004,$E$9))</f>
        <v/>
      </c>
      <c r="G37" s="51" t="str">
        <f aca="false">IF(C37="","",IF(SUMIFS('Practice Log'!$I$5:$I$1004,'Practice Log'!$C$5:$C$1004,$C$5,'Practice Log'!$B$5:$B$1004,"&gt;="&amp;$C37,'Practice Log'!$B$5:$B$1004,"&lt;="&amp;$D37,'Practice Log'!$E$5:$E$1004,$E$9)=0,"",SUMIFS('Practice Log'!$J$5:$J$1004,'Practice Log'!$C$5:$C$1004,$C$5,'Practice Log'!$B$5:$B$1004,"&gt;="&amp;$C37,'Practice Log'!$B$5:$B$1004,"&lt;="&amp;$D37,'Practice Log'!$E$5:$E$1004,$E$9)/SUMIFS('Practice Log'!$I$5:$I$1004,'Practice Log'!$C$5:$C$1004,$C$5,'Practice Log'!$B$5:$B$1004,"&gt;="&amp;$C37,'Practice Log'!$B$5:$B$1004,"&lt;="&amp;$D37,'Practice Log'!$E$5:$E$1004,$E$9)))</f>
        <v/>
      </c>
      <c r="H37" s="51" t="str">
        <f aca="false">IF(C37="","",IF(SUMIFS('Practice Log'!$K$5:$K$1004,'Practice Log'!$C$5:$C$1004,$C$5,'Practice Log'!$B$5:$B$1004,"&gt;="&amp;$C37,'Practice Log'!$B$5:$B$1004,"&lt;="&amp;$D37,'Practice Log'!$E$5:$E$1004,$E$9)=0,"",SUMIFS('Practice Log'!$L$5:$L$1004,'Practice Log'!$C$5:$C$1004,$C$5,'Practice Log'!$B$5:$B$1004,"&gt;="&amp;$C37,'Practice Log'!$B$5:$B$1004,"&lt;="&amp;$D37,'Practice Log'!$E$5:$E$1004,$E$9)/SUMIFS('Practice Log'!$K$5:$K$1004,'Practice Log'!$C$5:$C$1004,$C$5,'Practice Log'!$B$5:$B$1004,"&gt;="&amp;$C37,'Practice Log'!$B$5:$B$1004,"&lt;="&amp;$D37,'Practice Log'!$E$5:$E$1004,$E$9)))</f>
        <v/>
      </c>
    </row>
    <row r="38" customFormat="false" ht="15" hidden="false" customHeight="false" outlineLevel="0" collapsed="false">
      <c r="B38" s="49" t="s">
        <v>1707</v>
      </c>
      <c r="C38" s="52" t="str">
        <f aca="false">IF(NOT(AND($C$5&lt;&gt;"",ISNUMBER($C$7),ISNUMBER($C$8),$C$8&gt;=$C$7)),"",IF($C$7+7*1&gt;$C$8,"",$C$7+7*1))</f>
        <v/>
      </c>
      <c r="D38" s="52" t="str">
        <f aca="false">IF(C38="","",MIN(C38+6,$C$8))</f>
        <v/>
      </c>
      <c r="E38" s="50" t="str">
        <f aca="false">IF(C38="","",COUNTIFS('Practice Log'!$C$5:$C$1004,$C$5,'Practice Log'!$B$5:$B$1004,"&gt;="&amp;$C38,'Practice Log'!$B$5:$B$1004,"&lt;="&amp;$D38,'Practice Log'!$E$5:$E$1004,$E$9))</f>
        <v/>
      </c>
      <c r="F38" s="50" t="str">
        <f aca="false">IF(C38="","",SUMIFS('Practice Log'!$I$5:$I$1004,'Practice Log'!$C$5:$C$1004,$C$5,'Practice Log'!$B$5:$B$1004,"&gt;="&amp;$C38,'Practice Log'!$B$5:$B$1004,"&lt;="&amp;$D38,'Practice Log'!$E$5:$E$1004,$E$9))</f>
        <v/>
      </c>
      <c r="G38" s="51" t="str">
        <f aca="false">IF(C38="","",IF(SUMIFS('Practice Log'!$I$5:$I$1004,'Practice Log'!$C$5:$C$1004,$C$5,'Practice Log'!$B$5:$B$1004,"&gt;="&amp;$C38,'Practice Log'!$B$5:$B$1004,"&lt;="&amp;$D38,'Practice Log'!$E$5:$E$1004,$E$9)=0,"",SUMIFS('Practice Log'!$J$5:$J$1004,'Practice Log'!$C$5:$C$1004,$C$5,'Practice Log'!$B$5:$B$1004,"&gt;="&amp;$C38,'Practice Log'!$B$5:$B$1004,"&lt;="&amp;$D38,'Practice Log'!$E$5:$E$1004,$E$9)/SUMIFS('Practice Log'!$I$5:$I$1004,'Practice Log'!$C$5:$C$1004,$C$5,'Practice Log'!$B$5:$B$1004,"&gt;="&amp;$C38,'Practice Log'!$B$5:$B$1004,"&lt;="&amp;$D38,'Practice Log'!$E$5:$E$1004,$E$9)))</f>
        <v/>
      </c>
      <c r="H38" s="51" t="str">
        <f aca="false">IF(C38="","",IF(SUMIFS('Practice Log'!$K$5:$K$1004,'Practice Log'!$C$5:$C$1004,$C$5,'Practice Log'!$B$5:$B$1004,"&gt;="&amp;$C38,'Practice Log'!$B$5:$B$1004,"&lt;="&amp;$D38,'Practice Log'!$E$5:$E$1004,$E$9)=0,"",SUMIFS('Practice Log'!$L$5:$L$1004,'Practice Log'!$C$5:$C$1004,$C$5,'Practice Log'!$B$5:$B$1004,"&gt;="&amp;$C38,'Practice Log'!$B$5:$B$1004,"&lt;="&amp;$D38,'Practice Log'!$E$5:$E$1004,$E$9)/SUMIFS('Practice Log'!$K$5:$K$1004,'Practice Log'!$C$5:$C$1004,$C$5,'Practice Log'!$B$5:$B$1004,"&gt;="&amp;$C38,'Practice Log'!$B$5:$B$1004,"&lt;="&amp;$D38,'Practice Log'!$E$5:$E$1004,$E$9)))</f>
        <v/>
      </c>
      <c r="J38" s="48" t="s">
        <v>1708</v>
      </c>
    </row>
    <row r="39" customFormat="false" ht="15" hidden="false" customHeight="false" outlineLevel="0" collapsed="false">
      <c r="B39" s="49" t="s">
        <v>1709</v>
      </c>
      <c r="C39" s="52" t="str">
        <f aca="false">IF(NOT(AND($C$5&lt;&gt;"",ISNUMBER($C$7),ISNUMBER($C$8),$C$8&gt;=$C$7)),"",IF($C$7+7*2&gt;$C$8,"",$C$7+7*2))</f>
        <v/>
      </c>
      <c r="D39" s="52" t="str">
        <f aca="false">IF(C39="","",MIN(C39+6,$C$8))</f>
        <v/>
      </c>
      <c r="E39" s="50" t="str">
        <f aca="false">IF(C39="","",COUNTIFS('Practice Log'!$C$5:$C$1004,$C$5,'Practice Log'!$B$5:$B$1004,"&gt;="&amp;$C39,'Practice Log'!$B$5:$B$1004,"&lt;="&amp;$D39,'Practice Log'!$E$5:$E$1004,$E$9))</f>
        <v/>
      </c>
      <c r="F39" s="50" t="str">
        <f aca="false">IF(C39="","",SUMIFS('Practice Log'!$I$5:$I$1004,'Practice Log'!$C$5:$C$1004,$C$5,'Practice Log'!$B$5:$B$1004,"&gt;="&amp;$C39,'Practice Log'!$B$5:$B$1004,"&lt;="&amp;$D39,'Practice Log'!$E$5:$E$1004,$E$9))</f>
        <v/>
      </c>
      <c r="G39" s="51" t="str">
        <f aca="false">IF(C39="","",IF(SUMIFS('Practice Log'!$I$5:$I$1004,'Practice Log'!$C$5:$C$1004,$C$5,'Practice Log'!$B$5:$B$1004,"&gt;="&amp;$C39,'Practice Log'!$B$5:$B$1004,"&lt;="&amp;$D39,'Practice Log'!$E$5:$E$1004,$E$9)=0,"",SUMIFS('Practice Log'!$J$5:$J$1004,'Practice Log'!$C$5:$C$1004,$C$5,'Practice Log'!$B$5:$B$1004,"&gt;="&amp;$C39,'Practice Log'!$B$5:$B$1004,"&lt;="&amp;$D39,'Practice Log'!$E$5:$E$1004,$E$9)/SUMIFS('Practice Log'!$I$5:$I$1004,'Practice Log'!$C$5:$C$1004,$C$5,'Practice Log'!$B$5:$B$1004,"&gt;="&amp;$C39,'Practice Log'!$B$5:$B$1004,"&lt;="&amp;$D39,'Practice Log'!$E$5:$E$1004,$E$9)))</f>
        <v/>
      </c>
      <c r="H39" s="51" t="str">
        <f aca="false">IF(C39="","",IF(SUMIFS('Practice Log'!$K$5:$K$1004,'Practice Log'!$C$5:$C$1004,$C$5,'Practice Log'!$B$5:$B$1004,"&gt;="&amp;$C39,'Practice Log'!$B$5:$B$1004,"&lt;="&amp;$D39,'Practice Log'!$E$5:$E$1004,$E$9)=0,"",SUMIFS('Practice Log'!$L$5:$L$1004,'Practice Log'!$C$5:$C$1004,$C$5,'Practice Log'!$B$5:$B$1004,"&gt;="&amp;$C39,'Practice Log'!$B$5:$B$1004,"&lt;="&amp;$D39,'Practice Log'!$E$5:$E$1004,$E$9)/SUMIFS('Practice Log'!$K$5:$K$1004,'Practice Log'!$C$5:$C$1004,$C$5,'Practice Log'!$B$5:$B$1004,"&gt;="&amp;$C39,'Practice Log'!$B$5:$B$1004,"&lt;="&amp;$D39,'Practice Log'!$E$5:$E$1004,$E$9)))</f>
        <v/>
      </c>
    </row>
    <row r="40" customFormat="false" ht="15" hidden="false" customHeight="false" outlineLevel="0" collapsed="false">
      <c r="B40" s="49" t="s">
        <v>1710</v>
      </c>
      <c r="C40" s="52" t="str">
        <f aca="false">IF(NOT(AND($C$5&lt;&gt;"",ISNUMBER($C$7),ISNUMBER($C$8),$C$8&gt;=$C$7)),"",IF($C$7+7*3&gt;$C$8,"",$C$7+7*3))</f>
        <v/>
      </c>
      <c r="D40" s="52" t="str">
        <f aca="false">IF(C40="","",MIN(C40+6,$C$8))</f>
        <v/>
      </c>
      <c r="E40" s="50" t="str">
        <f aca="false">IF(C40="","",COUNTIFS('Practice Log'!$C$5:$C$1004,$C$5,'Practice Log'!$B$5:$B$1004,"&gt;="&amp;$C40,'Practice Log'!$B$5:$B$1004,"&lt;="&amp;$D40,'Practice Log'!$E$5:$E$1004,$E$9))</f>
        <v/>
      </c>
      <c r="F40" s="50" t="str">
        <f aca="false">IF(C40="","",SUMIFS('Practice Log'!$I$5:$I$1004,'Practice Log'!$C$5:$C$1004,$C$5,'Practice Log'!$B$5:$B$1004,"&gt;="&amp;$C40,'Practice Log'!$B$5:$B$1004,"&lt;="&amp;$D40,'Practice Log'!$E$5:$E$1004,$E$9))</f>
        <v/>
      </c>
      <c r="G40" s="51" t="str">
        <f aca="false">IF(C40="","",IF(SUMIFS('Practice Log'!$I$5:$I$1004,'Practice Log'!$C$5:$C$1004,$C$5,'Practice Log'!$B$5:$B$1004,"&gt;="&amp;$C40,'Practice Log'!$B$5:$B$1004,"&lt;="&amp;$D40,'Practice Log'!$E$5:$E$1004,$E$9)=0,"",SUMIFS('Practice Log'!$J$5:$J$1004,'Practice Log'!$C$5:$C$1004,$C$5,'Practice Log'!$B$5:$B$1004,"&gt;="&amp;$C40,'Practice Log'!$B$5:$B$1004,"&lt;="&amp;$D40,'Practice Log'!$E$5:$E$1004,$E$9)/SUMIFS('Practice Log'!$I$5:$I$1004,'Practice Log'!$C$5:$C$1004,$C$5,'Practice Log'!$B$5:$B$1004,"&gt;="&amp;$C40,'Practice Log'!$B$5:$B$1004,"&lt;="&amp;$D40,'Practice Log'!$E$5:$E$1004,$E$9)))</f>
        <v/>
      </c>
      <c r="H40" s="51" t="str">
        <f aca="false">IF(C40="","",IF(SUMIFS('Practice Log'!$K$5:$K$1004,'Practice Log'!$C$5:$C$1004,$C$5,'Practice Log'!$B$5:$B$1004,"&gt;="&amp;$C40,'Practice Log'!$B$5:$B$1004,"&lt;="&amp;$D40,'Practice Log'!$E$5:$E$1004,$E$9)=0,"",SUMIFS('Practice Log'!$L$5:$L$1004,'Practice Log'!$C$5:$C$1004,$C$5,'Practice Log'!$B$5:$B$1004,"&gt;="&amp;$C40,'Practice Log'!$B$5:$B$1004,"&lt;="&amp;$D40,'Practice Log'!$E$5:$E$1004,$E$9)/SUMIFS('Practice Log'!$K$5:$K$1004,'Practice Log'!$C$5:$C$1004,$C$5,'Practice Log'!$B$5:$B$1004,"&gt;="&amp;$C40,'Practice Log'!$B$5:$B$1004,"&lt;="&amp;$D40,'Practice Log'!$E$5:$E$1004,$E$9)))</f>
        <v/>
      </c>
    </row>
    <row r="41" customFormat="false" ht="15" hidden="false" customHeight="false" outlineLevel="0" collapsed="false">
      <c r="B41" s="49" t="s">
        <v>1711</v>
      </c>
      <c r="C41" s="52" t="str">
        <f aca="false">IF(NOT(AND($C$5&lt;&gt;"",ISNUMBER($C$7),ISNUMBER($C$8),$C$8&gt;=$C$7)),"",IF($C$7+7*4&gt;$C$8,"",$C$7+7*4))</f>
        <v/>
      </c>
      <c r="D41" s="52" t="str">
        <f aca="false">IF(C41="","",MIN(C41+6,$C$8))</f>
        <v/>
      </c>
      <c r="E41" s="50" t="str">
        <f aca="false">IF(C41="","",COUNTIFS('Practice Log'!$C$5:$C$1004,$C$5,'Practice Log'!$B$5:$B$1004,"&gt;="&amp;$C41,'Practice Log'!$B$5:$B$1004,"&lt;="&amp;$D41,'Practice Log'!$E$5:$E$1004,$E$9))</f>
        <v/>
      </c>
      <c r="F41" s="50" t="str">
        <f aca="false">IF(C41="","",SUMIFS('Practice Log'!$I$5:$I$1004,'Practice Log'!$C$5:$C$1004,$C$5,'Practice Log'!$B$5:$B$1004,"&gt;="&amp;$C41,'Practice Log'!$B$5:$B$1004,"&lt;="&amp;$D41,'Practice Log'!$E$5:$E$1004,$E$9))</f>
        <v/>
      </c>
      <c r="G41" s="51" t="str">
        <f aca="false">IF(C41="","",IF(SUMIFS('Practice Log'!$I$5:$I$1004,'Practice Log'!$C$5:$C$1004,$C$5,'Practice Log'!$B$5:$B$1004,"&gt;="&amp;$C41,'Practice Log'!$B$5:$B$1004,"&lt;="&amp;$D41,'Practice Log'!$E$5:$E$1004,$E$9)=0,"",SUMIFS('Practice Log'!$J$5:$J$1004,'Practice Log'!$C$5:$C$1004,$C$5,'Practice Log'!$B$5:$B$1004,"&gt;="&amp;$C41,'Practice Log'!$B$5:$B$1004,"&lt;="&amp;$D41,'Practice Log'!$E$5:$E$1004,$E$9)/SUMIFS('Practice Log'!$I$5:$I$1004,'Practice Log'!$C$5:$C$1004,$C$5,'Practice Log'!$B$5:$B$1004,"&gt;="&amp;$C41,'Practice Log'!$B$5:$B$1004,"&lt;="&amp;$D41,'Practice Log'!$E$5:$E$1004,$E$9)))</f>
        <v/>
      </c>
      <c r="H41" s="51" t="str">
        <f aca="false">IF(C41="","",IF(SUMIFS('Practice Log'!$K$5:$K$1004,'Practice Log'!$C$5:$C$1004,$C$5,'Practice Log'!$B$5:$B$1004,"&gt;="&amp;$C41,'Practice Log'!$B$5:$B$1004,"&lt;="&amp;$D41,'Practice Log'!$E$5:$E$1004,$E$9)=0,"",SUMIFS('Practice Log'!$L$5:$L$1004,'Practice Log'!$C$5:$C$1004,$C$5,'Practice Log'!$B$5:$B$1004,"&gt;="&amp;$C41,'Practice Log'!$B$5:$B$1004,"&lt;="&amp;$D41,'Practice Log'!$E$5:$E$1004,$E$9)/SUMIFS('Practice Log'!$K$5:$K$1004,'Practice Log'!$C$5:$C$1004,$C$5,'Practice Log'!$B$5:$B$1004,"&gt;="&amp;$C41,'Practice Log'!$B$5:$B$1004,"&lt;="&amp;$D41,'Practice Log'!$E$5:$E$1004,$E$9)))</f>
        <v/>
      </c>
    </row>
    <row r="42" customFormat="false" ht="15" hidden="false" customHeight="false" outlineLevel="0" collapsed="false">
      <c r="B42" s="49" t="s">
        <v>1712</v>
      </c>
      <c r="C42" s="52" t="str">
        <f aca="false">IF(NOT(AND($C$5&lt;&gt;"",ISNUMBER($C$7),ISNUMBER($C$8),$C$8&gt;=$C$7)),"",IF($C$7+7*5&gt;$C$8,"",$C$7+7*5))</f>
        <v/>
      </c>
      <c r="D42" s="52" t="str">
        <f aca="false">IF(C42="","",MIN(C42+6,$C$8))</f>
        <v/>
      </c>
      <c r="E42" s="50" t="str">
        <f aca="false">IF(C42="","",COUNTIFS('Practice Log'!$C$5:$C$1004,$C$5,'Practice Log'!$B$5:$B$1004,"&gt;="&amp;$C42,'Practice Log'!$B$5:$B$1004,"&lt;="&amp;$D42,'Practice Log'!$E$5:$E$1004,$E$9))</f>
        <v/>
      </c>
      <c r="F42" s="50" t="str">
        <f aca="false">IF(C42="","",SUMIFS('Practice Log'!$I$5:$I$1004,'Practice Log'!$C$5:$C$1004,$C$5,'Practice Log'!$B$5:$B$1004,"&gt;="&amp;$C42,'Practice Log'!$B$5:$B$1004,"&lt;="&amp;$D42,'Practice Log'!$E$5:$E$1004,$E$9))</f>
        <v/>
      </c>
      <c r="G42" s="51" t="str">
        <f aca="false">IF(C42="","",IF(SUMIFS('Practice Log'!$I$5:$I$1004,'Practice Log'!$C$5:$C$1004,$C$5,'Practice Log'!$B$5:$B$1004,"&gt;="&amp;$C42,'Practice Log'!$B$5:$B$1004,"&lt;="&amp;$D42,'Practice Log'!$E$5:$E$1004,$E$9)=0,"",SUMIFS('Practice Log'!$J$5:$J$1004,'Practice Log'!$C$5:$C$1004,$C$5,'Practice Log'!$B$5:$B$1004,"&gt;="&amp;$C42,'Practice Log'!$B$5:$B$1004,"&lt;="&amp;$D42,'Practice Log'!$E$5:$E$1004,$E$9)/SUMIFS('Practice Log'!$I$5:$I$1004,'Practice Log'!$C$5:$C$1004,$C$5,'Practice Log'!$B$5:$B$1004,"&gt;="&amp;$C42,'Practice Log'!$B$5:$B$1004,"&lt;="&amp;$D42,'Practice Log'!$E$5:$E$1004,$E$9)))</f>
        <v/>
      </c>
      <c r="H42" s="51" t="str">
        <f aca="false">IF(C42="","",IF(SUMIFS('Practice Log'!$K$5:$K$1004,'Practice Log'!$C$5:$C$1004,$C$5,'Practice Log'!$B$5:$B$1004,"&gt;="&amp;$C42,'Practice Log'!$B$5:$B$1004,"&lt;="&amp;$D42,'Practice Log'!$E$5:$E$1004,$E$9)=0,"",SUMIFS('Practice Log'!$L$5:$L$1004,'Practice Log'!$C$5:$C$1004,$C$5,'Practice Log'!$B$5:$B$1004,"&gt;="&amp;$C42,'Practice Log'!$B$5:$B$1004,"&lt;="&amp;$D42,'Practice Log'!$E$5:$E$1004,$E$9)/SUMIFS('Practice Log'!$K$5:$K$1004,'Practice Log'!$C$5:$C$1004,$C$5,'Practice Log'!$B$5:$B$1004,"&gt;="&amp;$C42,'Practice Log'!$B$5:$B$1004,"&lt;="&amp;$D42,'Practice Log'!$E$5:$E$1004,$E$9)))</f>
        <v/>
      </c>
    </row>
    <row r="43" customFormat="false" ht="15" hidden="false" customHeight="false" outlineLevel="0" collapsed="false">
      <c r="B43" s="49" t="s">
        <v>1713</v>
      </c>
      <c r="C43" s="52" t="str">
        <f aca="false">IF(NOT(AND($C$5&lt;&gt;"",ISNUMBER($C$7),ISNUMBER($C$8),$C$8&gt;=$C$7)),"",IF($C$7+7*6&gt;$C$8,"",$C$7+7*6))</f>
        <v/>
      </c>
      <c r="D43" s="52" t="str">
        <f aca="false">IF(C43="","",MIN(C43+6,$C$8))</f>
        <v/>
      </c>
      <c r="E43" s="50" t="str">
        <f aca="false">IF(C43="","",COUNTIFS('Practice Log'!$C$5:$C$1004,$C$5,'Practice Log'!$B$5:$B$1004,"&gt;="&amp;$C43,'Practice Log'!$B$5:$B$1004,"&lt;="&amp;$D43,'Practice Log'!$E$5:$E$1004,$E$9))</f>
        <v/>
      </c>
      <c r="F43" s="50" t="str">
        <f aca="false">IF(C43="","",SUMIFS('Practice Log'!$I$5:$I$1004,'Practice Log'!$C$5:$C$1004,$C$5,'Practice Log'!$B$5:$B$1004,"&gt;="&amp;$C43,'Practice Log'!$B$5:$B$1004,"&lt;="&amp;$D43,'Practice Log'!$E$5:$E$1004,$E$9))</f>
        <v/>
      </c>
      <c r="G43" s="51" t="str">
        <f aca="false">IF(C43="","",IF(SUMIFS('Practice Log'!$I$5:$I$1004,'Practice Log'!$C$5:$C$1004,$C$5,'Practice Log'!$B$5:$B$1004,"&gt;="&amp;$C43,'Practice Log'!$B$5:$B$1004,"&lt;="&amp;$D43,'Practice Log'!$E$5:$E$1004,$E$9)=0,"",SUMIFS('Practice Log'!$J$5:$J$1004,'Practice Log'!$C$5:$C$1004,$C$5,'Practice Log'!$B$5:$B$1004,"&gt;="&amp;$C43,'Practice Log'!$B$5:$B$1004,"&lt;="&amp;$D43,'Practice Log'!$E$5:$E$1004,$E$9)/SUMIFS('Practice Log'!$I$5:$I$1004,'Practice Log'!$C$5:$C$1004,$C$5,'Practice Log'!$B$5:$B$1004,"&gt;="&amp;$C43,'Practice Log'!$B$5:$B$1004,"&lt;="&amp;$D43,'Practice Log'!$E$5:$E$1004,$E$9)))</f>
        <v/>
      </c>
      <c r="H43" s="51" t="str">
        <f aca="false">IF(C43="","",IF(SUMIFS('Practice Log'!$K$5:$K$1004,'Practice Log'!$C$5:$C$1004,$C$5,'Practice Log'!$B$5:$B$1004,"&gt;="&amp;$C43,'Practice Log'!$B$5:$B$1004,"&lt;="&amp;$D43,'Practice Log'!$E$5:$E$1004,$E$9)=0,"",SUMIFS('Practice Log'!$L$5:$L$1004,'Practice Log'!$C$5:$C$1004,$C$5,'Practice Log'!$B$5:$B$1004,"&gt;="&amp;$C43,'Practice Log'!$B$5:$B$1004,"&lt;="&amp;$D43,'Practice Log'!$E$5:$E$1004,$E$9)/SUMIFS('Practice Log'!$K$5:$K$1004,'Practice Log'!$C$5:$C$1004,$C$5,'Practice Log'!$B$5:$B$1004,"&gt;="&amp;$C43,'Practice Log'!$B$5:$B$1004,"&lt;="&amp;$D43,'Practice Log'!$E$5:$E$1004,$E$9)))</f>
        <v/>
      </c>
    </row>
    <row r="44" customFormat="false" ht="15" hidden="false" customHeight="false" outlineLevel="0" collapsed="false">
      <c r="B44" s="49" t="s">
        <v>1714</v>
      </c>
      <c r="C44" s="52" t="str">
        <f aca="false">IF(NOT(AND($C$5&lt;&gt;"",ISNUMBER($C$7),ISNUMBER($C$8),$C$8&gt;=$C$7)),"",IF($C$7+7*7&gt;$C$8,"",$C$7+7*7))</f>
        <v/>
      </c>
      <c r="D44" s="52" t="str">
        <f aca="false">IF(C44="","",MIN(C44+6,$C$8))</f>
        <v/>
      </c>
      <c r="E44" s="50" t="str">
        <f aca="false">IF(C44="","",COUNTIFS('Practice Log'!$C$5:$C$1004,$C$5,'Practice Log'!$B$5:$B$1004,"&gt;="&amp;$C44,'Practice Log'!$B$5:$B$1004,"&lt;="&amp;$D44,'Practice Log'!$E$5:$E$1004,$E$9))</f>
        <v/>
      </c>
      <c r="F44" s="50" t="str">
        <f aca="false">IF(C44="","",SUMIFS('Practice Log'!$I$5:$I$1004,'Practice Log'!$C$5:$C$1004,$C$5,'Practice Log'!$B$5:$B$1004,"&gt;="&amp;$C44,'Practice Log'!$B$5:$B$1004,"&lt;="&amp;$D44,'Practice Log'!$E$5:$E$1004,$E$9))</f>
        <v/>
      </c>
      <c r="G44" s="51" t="str">
        <f aca="false">IF(C44="","",IF(SUMIFS('Practice Log'!$I$5:$I$1004,'Practice Log'!$C$5:$C$1004,$C$5,'Practice Log'!$B$5:$B$1004,"&gt;="&amp;$C44,'Practice Log'!$B$5:$B$1004,"&lt;="&amp;$D44,'Practice Log'!$E$5:$E$1004,$E$9)=0,"",SUMIFS('Practice Log'!$J$5:$J$1004,'Practice Log'!$C$5:$C$1004,$C$5,'Practice Log'!$B$5:$B$1004,"&gt;="&amp;$C44,'Practice Log'!$B$5:$B$1004,"&lt;="&amp;$D44,'Practice Log'!$E$5:$E$1004,$E$9)/SUMIFS('Practice Log'!$I$5:$I$1004,'Practice Log'!$C$5:$C$1004,$C$5,'Practice Log'!$B$5:$B$1004,"&gt;="&amp;$C44,'Practice Log'!$B$5:$B$1004,"&lt;="&amp;$D44,'Practice Log'!$E$5:$E$1004,$E$9)))</f>
        <v/>
      </c>
      <c r="H44" s="51" t="str">
        <f aca="false">IF(C44="","",IF(SUMIFS('Practice Log'!$K$5:$K$1004,'Practice Log'!$C$5:$C$1004,$C$5,'Practice Log'!$B$5:$B$1004,"&gt;="&amp;$C44,'Practice Log'!$B$5:$B$1004,"&lt;="&amp;$D44,'Practice Log'!$E$5:$E$1004,$E$9)=0,"",SUMIFS('Practice Log'!$L$5:$L$1004,'Practice Log'!$C$5:$C$1004,$C$5,'Practice Log'!$B$5:$B$1004,"&gt;="&amp;$C44,'Practice Log'!$B$5:$B$1004,"&lt;="&amp;$D44,'Practice Log'!$E$5:$E$1004,$E$9)/SUMIFS('Practice Log'!$K$5:$K$1004,'Practice Log'!$C$5:$C$1004,$C$5,'Practice Log'!$B$5:$B$1004,"&gt;="&amp;$C44,'Practice Log'!$B$5:$B$1004,"&lt;="&amp;$D44,'Practice Log'!$E$5:$E$1004,$E$9)))</f>
        <v/>
      </c>
    </row>
    <row r="45" customFormat="false" ht="15" hidden="false" customHeight="false" outlineLevel="0" collapsed="false">
      <c r="B45" s="49" t="s">
        <v>1715</v>
      </c>
      <c r="C45" s="52" t="str">
        <f aca="false">IF(NOT(AND($C$5&lt;&gt;"",ISNUMBER($C$7),ISNUMBER($C$8),$C$8&gt;=$C$7)),"",IF($C$7+7*8&gt;$C$8,"",$C$7+7*8))</f>
        <v/>
      </c>
      <c r="D45" s="52" t="str">
        <f aca="false">IF(C45="","",MIN(C45+6,$C$8))</f>
        <v/>
      </c>
      <c r="E45" s="50" t="str">
        <f aca="false">IF(C45="","",COUNTIFS('Practice Log'!$C$5:$C$1004,$C$5,'Practice Log'!$B$5:$B$1004,"&gt;="&amp;$C45,'Practice Log'!$B$5:$B$1004,"&lt;="&amp;$D45,'Practice Log'!$E$5:$E$1004,$E$9))</f>
        <v/>
      </c>
      <c r="F45" s="50" t="str">
        <f aca="false">IF(C45="","",SUMIFS('Practice Log'!$I$5:$I$1004,'Practice Log'!$C$5:$C$1004,$C$5,'Practice Log'!$B$5:$B$1004,"&gt;="&amp;$C45,'Practice Log'!$B$5:$B$1004,"&lt;="&amp;$D45,'Practice Log'!$E$5:$E$1004,$E$9))</f>
        <v/>
      </c>
      <c r="G45" s="51" t="str">
        <f aca="false">IF(C45="","",IF(SUMIFS('Practice Log'!$I$5:$I$1004,'Practice Log'!$C$5:$C$1004,$C$5,'Practice Log'!$B$5:$B$1004,"&gt;="&amp;$C45,'Practice Log'!$B$5:$B$1004,"&lt;="&amp;$D45,'Practice Log'!$E$5:$E$1004,$E$9)=0,"",SUMIFS('Practice Log'!$J$5:$J$1004,'Practice Log'!$C$5:$C$1004,$C$5,'Practice Log'!$B$5:$B$1004,"&gt;="&amp;$C45,'Practice Log'!$B$5:$B$1004,"&lt;="&amp;$D45,'Practice Log'!$E$5:$E$1004,$E$9)/SUMIFS('Practice Log'!$I$5:$I$1004,'Practice Log'!$C$5:$C$1004,$C$5,'Practice Log'!$B$5:$B$1004,"&gt;="&amp;$C45,'Practice Log'!$B$5:$B$1004,"&lt;="&amp;$D45,'Practice Log'!$E$5:$E$1004,$E$9)))</f>
        <v/>
      </c>
      <c r="H45" s="51" t="str">
        <f aca="false">IF(C45="","",IF(SUMIFS('Practice Log'!$K$5:$K$1004,'Practice Log'!$C$5:$C$1004,$C$5,'Practice Log'!$B$5:$B$1004,"&gt;="&amp;$C45,'Practice Log'!$B$5:$B$1004,"&lt;="&amp;$D45,'Practice Log'!$E$5:$E$1004,$E$9)=0,"",SUMIFS('Practice Log'!$L$5:$L$1004,'Practice Log'!$C$5:$C$1004,$C$5,'Practice Log'!$B$5:$B$1004,"&gt;="&amp;$C45,'Practice Log'!$B$5:$B$1004,"&lt;="&amp;$D45,'Practice Log'!$E$5:$E$1004,$E$9)/SUMIFS('Practice Log'!$K$5:$K$1004,'Practice Log'!$C$5:$C$1004,$C$5,'Practice Log'!$B$5:$B$1004,"&gt;="&amp;$C45,'Practice Log'!$B$5:$B$1004,"&lt;="&amp;$D45,'Practice Log'!$E$5:$E$1004,$E$9)))</f>
        <v/>
      </c>
    </row>
    <row r="46" customFormat="false" ht="15" hidden="false" customHeight="false" outlineLevel="0" collapsed="false">
      <c r="B46" s="49" t="s">
        <v>1716</v>
      </c>
      <c r="C46" s="52" t="str">
        <f aca="false">IF(NOT(AND($C$5&lt;&gt;"",ISNUMBER($C$7),ISNUMBER($C$8),$C$8&gt;=$C$7)),"",IF($C$7+7*9&gt;$C$8,"",$C$7+7*9))</f>
        <v/>
      </c>
      <c r="D46" s="52" t="str">
        <f aca="false">IF(C46="","",MIN(C46+6,$C$8))</f>
        <v/>
      </c>
      <c r="E46" s="50" t="str">
        <f aca="false">IF(C46="","",COUNTIFS('Practice Log'!$C$5:$C$1004,$C$5,'Practice Log'!$B$5:$B$1004,"&gt;="&amp;$C46,'Practice Log'!$B$5:$B$1004,"&lt;="&amp;$D46,'Practice Log'!$E$5:$E$1004,$E$9))</f>
        <v/>
      </c>
      <c r="F46" s="50" t="str">
        <f aca="false">IF(C46="","",SUMIFS('Practice Log'!$I$5:$I$1004,'Practice Log'!$C$5:$C$1004,$C$5,'Practice Log'!$B$5:$B$1004,"&gt;="&amp;$C46,'Practice Log'!$B$5:$B$1004,"&lt;="&amp;$D46,'Practice Log'!$E$5:$E$1004,$E$9))</f>
        <v/>
      </c>
      <c r="G46" s="51" t="str">
        <f aca="false">IF(C46="","",IF(SUMIFS('Practice Log'!$I$5:$I$1004,'Practice Log'!$C$5:$C$1004,$C$5,'Practice Log'!$B$5:$B$1004,"&gt;="&amp;$C46,'Practice Log'!$B$5:$B$1004,"&lt;="&amp;$D46,'Practice Log'!$E$5:$E$1004,$E$9)=0,"",SUMIFS('Practice Log'!$J$5:$J$1004,'Practice Log'!$C$5:$C$1004,$C$5,'Practice Log'!$B$5:$B$1004,"&gt;="&amp;$C46,'Practice Log'!$B$5:$B$1004,"&lt;="&amp;$D46,'Practice Log'!$E$5:$E$1004,$E$9)/SUMIFS('Practice Log'!$I$5:$I$1004,'Practice Log'!$C$5:$C$1004,$C$5,'Practice Log'!$B$5:$B$1004,"&gt;="&amp;$C46,'Practice Log'!$B$5:$B$1004,"&lt;="&amp;$D46,'Practice Log'!$E$5:$E$1004,$E$9)))</f>
        <v/>
      </c>
      <c r="H46" s="51" t="str">
        <f aca="false">IF(C46="","",IF(SUMIFS('Practice Log'!$K$5:$K$1004,'Practice Log'!$C$5:$C$1004,$C$5,'Practice Log'!$B$5:$B$1004,"&gt;="&amp;$C46,'Practice Log'!$B$5:$B$1004,"&lt;="&amp;$D46,'Practice Log'!$E$5:$E$1004,$E$9)=0,"",SUMIFS('Practice Log'!$L$5:$L$1004,'Practice Log'!$C$5:$C$1004,$C$5,'Practice Log'!$B$5:$B$1004,"&gt;="&amp;$C46,'Practice Log'!$B$5:$B$1004,"&lt;="&amp;$D46,'Practice Log'!$E$5:$E$1004,$E$9)/SUMIFS('Practice Log'!$K$5:$K$1004,'Practice Log'!$C$5:$C$1004,$C$5,'Practice Log'!$B$5:$B$1004,"&gt;="&amp;$C46,'Practice Log'!$B$5:$B$1004,"&lt;="&amp;$D46,'Practice Log'!$E$5:$E$1004,$E$9)))</f>
        <v/>
      </c>
    </row>
    <row r="47" customFormat="false" ht="15" hidden="false" customHeight="false" outlineLevel="0" collapsed="false">
      <c r="B47" s="49" t="s">
        <v>1717</v>
      </c>
      <c r="C47" s="52" t="str">
        <f aca="false">IF(NOT(AND($C$5&lt;&gt;"",ISNUMBER($C$7),ISNUMBER($C$8),$C$8&gt;=$C$7)),"",IF($C$7+7*10&gt;$C$8,"",$C$7+7*10))</f>
        <v/>
      </c>
      <c r="D47" s="52" t="str">
        <f aca="false">IF(C47="","",MIN(C47+6,$C$8))</f>
        <v/>
      </c>
      <c r="E47" s="50" t="str">
        <f aca="false">IF(C47="","",COUNTIFS('Practice Log'!$C$5:$C$1004,$C$5,'Practice Log'!$B$5:$B$1004,"&gt;="&amp;$C47,'Practice Log'!$B$5:$B$1004,"&lt;="&amp;$D47,'Practice Log'!$E$5:$E$1004,$E$9))</f>
        <v/>
      </c>
      <c r="F47" s="50" t="str">
        <f aca="false">IF(C47="","",SUMIFS('Practice Log'!$I$5:$I$1004,'Practice Log'!$C$5:$C$1004,$C$5,'Practice Log'!$B$5:$B$1004,"&gt;="&amp;$C47,'Practice Log'!$B$5:$B$1004,"&lt;="&amp;$D47,'Practice Log'!$E$5:$E$1004,$E$9))</f>
        <v/>
      </c>
      <c r="G47" s="51" t="str">
        <f aca="false">IF(C47="","",IF(SUMIFS('Practice Log'!$I$5:$I$1004,'Practice Log'!$C$5:$C$1004,$C$5,'Practice Log'!$B$5:$B$1004,"&gt;="&amp;$C47,'Practice Log'!$B$5:$B$1004,"&lt;="&amp;$D47,'Practice Log'!$E$5:$E$1004,$E$9)=0,"",SUMIFS('Practice Log'!$J$5:$J$1004,'Practice Log'!$C$5:$C$1004,$C$5,'Practice Log'!$B$5:$B$1004,"&gt;="&amp;$C47,'Practice Log'!$B$5:$B$1004,"&lt;="&amp;$D47,'Practice Log'!$E$5:$E$1004,$E$9)/SUMIFS('Practice Log'!$I$5:$I$1004,'Practice Log'!$C$5:$C$1004,$C$5,'Practice Log'!$B$5:$B$1004,"&gt;="&amp;$C47,'Practice Log'!$B$5:$B$1004,"&lt;="&amp;$D47,'Practice Log'!$E$5:$E$1004,$E$9)))</f>
        <v/>
      </c>
      <c r="H47" s="51" t="str">
        <f aca="false">IF(C47="","",IF(SUMIFS('Practice Log'!$K$5:$K$1004,'Practice Log'!$C$5:$C$1004,$C$5,'Practice Log'!$B$5:$B$1004,"&gt;="&amp;$C47,'Practice Log'!$B$5:$B$1004,"&lt;="&amp;$D47,'Practice Log'!$E$5:$E$1004,$E$9)=0,"",SUMIFS('Practice Log'!$L$5:$L$1004,'Practice Log'!$C$5:$C$1004,$C$5,'Practice Log'!$B$5:$B$1004,"&gt;="&amp;$C47,'Practice Log'!$B$5:$B$1004,"&lt;="&amp;$D47,'Practice Log'!$E$5:$E$1004,$E$9)/SUMIFS('Practice Log'!$K$5:$K$1004,'Practice Log'!$C$5:$C$1004,$C$5,'Practice Log'!$B$5:$B$1004,"&gt;="&amp;$C47,'Practice Log'!$B$5:$B$1004,"&lt;="&amp;$D47,'Practice Log'!$E$5:$E$1004,$E$9)))</f>
        <v/>
      </c>
    </row>
    <row r="48" customFormat="false" ht="15" hidden="false" customHeight="false" outlineLevel="0" collapsed="false">
      <c r="B48" s="49" t="s">
        <v>1718</v>
      </c>
      <c r="C48" s="52" t="str">
        <f aca="false">IF(NOT(AND($C$5&lt;&gt;"",ISNUMBER($C$7),ISNUMBER($C$8),$C$8&gt;=$C$7)),"",IF($C$7+7*11&gt;$C$8,"",$C$7+7*11))</f>
        <v/>
      </c>
      <c r="D48" s="52" t="str">
        <f aca="false">IF(C48="","",MIN(C48+6,$C$8))</f>
        <v/>
      </c>
      <c r="E48" s="50" t="str">
        <f aca="false">IF(C48="","",COUNTIFS('Practice Log'!$C$5:$C$1004,$C$5,'Practice Log'!$B$5:$B$1004,"&gt;="&amp;$C48,'Practice Log'!$B$5:$B$1004,"&lt;="&amp;$D48,'Practice Log'!$E$5:$E$1004,$E$9))</f>
        <v/>
      </c>
      <c r="F48" s="50" t="str">
        <f aca="false">IF(C48="","",SUMIFS('Practice Log'!$I$5:$I$1004,'Practice Log'!$C$5:$C$1004,$C$5,'Practice Log'!$B$5:$B$1004,"&gt;="&amp;$C48,'Practice Log'!$B$5:$B$1004,"&lt;="&amp;$D48,'Practice Log'!$E$5:$E$1004,$E$9))</f>
        <v/>
      </c>
      <c r="G48" s="51" t="str">
        <f aca="false">IF(C48="","",IF(SUMIFS('Practice Log'!$I$5:$I$1004,'Practice Log'!$C$5:$C$1004,$C$5,'Practice Log'!$B$5:$B$1004,"&gt;="&amp;$C48,'Practice Log'!$B$5:$B$1004,"&lt;="&amp;$D48,'Practice Log'!$E$5:$E$1004,$E$9)=0,"",SUMIFS('Practice Log'!$J$5:$J$1004,'Practice Log'!$C$5:$C$1004,$C$5,'Practice Log'!$B$5:$B$1004,"&gt;="&amp;$C48,'Practice Log'!$B$5:$B$1004,"&lt;="&amp;$D48,'Practice Log'!$E$5:$E$1004,$E$9)/SUMIFS('Practice Log'!$I$5:$I$1004,'Practice Log'!$C$5:$C$1004,$C$5,'Practice Log'!$B$5:$B$1004,"&gt;="&amp;$C48,'Practice Log'!$B$5:$B$1004,"&lt;="&amp;$D48,'Practice Log'!$E$5:$E$1004,$E$9)))</f>
        <v/>
      </c>
      <c r="H48" s="51" t="str">
        <f aca="false">IF(C48="","",IF(SUMIFS('Practice Log'!$K$5:$K$1004,'Practice Log'!$C$5:$C$1004,$C$5,'Practice Log'!$B$5:$B$1004,"&gt;="&amp;$C48,'Practice Log'!$B$5:$B$1004,"&lt;="&amp;$D48,'Practice Log'!$E$5:$E$1004,$E$9)=0,"",SUMIFS('Practice Log'!$L$5:$L$1004,'Practice Log'!$C$5:$C$1004,$C$5,'Practice Log'!$B$5:$B$1004,"&gt;="&amp;$C48,'Practice Log'!$B$5:$B$1004,"&lt;="&amp;$D48,'Practice Log'!$E$5:$E$1004,$E$9)/SUMIFS('Practice Log'!$K$5:$K$1004,'Practice Log'!$C$5:$C$1004,$C$5,'Practice Log'!$B$5:$B$1004,"&gt;="&amp;$C48,'Practice Log'!$B$5:$B$1004,"&lt;="&amp;$D48,'Practice Log'!$E$5:$E$1004,$E$9)))</f>
        <v/>
      </c>
    </row>
    <row r="49" customFormat="false" ht="15" hidden="false" customHeight="false" outlineLevel="0" collapsed="false">
      <c r="B49" s="48" t="s">
        <v>1719</v>
      </c>
    </row>
  </sheetData>
  <mergeCells count="2">
    <mergeCell ref="E5:F5"/>
    <mergeCell ref="C6:D6"/>
  </mergeCells>
  <dataValidations count="3">
    <dataValidation allowBlank="true" errorStyle="stop" operator="between" showDropDown="false" showErrorMessage="false" showInputMessage="false" sqref="C5" type="list">
      <formula1>Players!$B$5:$B$104</formula1>
      <formula2>0</formula2>
    </dataValidation>
    <dataValidation allowBlank="true" errorStyle="stop" operator="between" showDropDown="false" showErrorMessage="false" showInputMessage="false" sqref="C9" type="list">
      <formula1>"All,Tee,Toss,Live,Home,Other"</formula1>
      <formula2>0</formula2>
    </dataValidation>
    <dataValidation allowBlank="true" errorStyle="stop" operator="greaterThan" showDropDown="false" showErrorMessage="false" showInputMessage="false" sqref="C7:C8 C10:C11" type="date">
      <formula1>36526</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B2: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0"/>
    <col collapsed="false" customWidth="true" hidden="false" outlineLevel="0" max="4" min="4" style="0" width="22"/>
    <col collapsed="false" customWidth="true" hidden="false" outlineLevel="0" max="5" min="5" style="0" width="20"/>
    <col collapsed="false" customWidth="true" hidden="false" outlineLevel="0" max="6" min="6" style="0" width="3"/>
  </cols>
  <sheetData>
    <row r="2" customFormat="false" ht="36" hidden="false" customHeight="true" outlineLevel="0" collapsed="false">
      <c r="B2" s="53" t="s">
        <v>1720</v>
      </c>
      <c r="C2" s="53"/>
      <c r="D2" s="53"/>
      <c r="E2" s="53"/>
    </row>
    <row r="4" customFormat="false" ht="15" hidden="false" customHeight="false" outlineLevel="0" collapsed="false">
      <c r="B4" s="6" t="s">
        <v>1721</v>
      </c>
      <c r="C4" s="54" t="str">
        <f aca="false">Dashboard!C6</f>
        <v/>
      </c>
      <c r="D4" s="54"/>
      <c r="E4" s="54"/>
    </row>
    <row r="5" customFormat="false" ht="15" hidden="false" customHeight="false" outlineLevel="0" collapsed="false">
      <c r="B5" s="6" t="s">
        <v>1722</v>
      </c>
      <c r="C5" s="54" t="str">
        <f aca="false">IF(AND(ISNUMBER(Dashboard!C7),ISNUMBER(Dashboard!C8)),TEXT(Dashboard!C7,"mmm d, yyyy")&amp;" – "&amp;TEXT(Dashboard!C8,"mmm d, yyyy"),"")</f>
        <v/>
      </c>
      <c r="D5" s="54"/>
      <c r="E5" s="54"/>
    </row>
    <row r="6" customFormat="false" ht="15" hidden="false" customHeight="false" outlineLevel="0" collapsed="false">
      <c r="B6" s="6" t="s">
        <v>1671</v>
      </c>
      <c r="C6" s="54" t="str">
        <f aca="false">IF(Dashboard!C9="","All",Dashboard!C9)</f>
        <v>All</v>
      </c>
      <c r="D6" s="54"/>
      <c r="E6" s="54"/>
    </row>
    <row r="8" customFormat="false" ht="15" hidden="false" customHeight="true" outlineLevel="0" collapsed="false">
      <c r="B8" s="15" t="s">
        <v>1723</v>
      </c>
      <c r="C8" s="15" t="s">
        <v>1724</v>
      </c>
      <c r="D8" s="15" t="s">
        <v>1678</v>
      </c>
      <c r="E8" s="15"/>
    </row>
    <row r="9" customFormat="false" ht="15" hidden="false" customHeight="false" outlineLevel="0" collapsed="false">
      <c r="B9" s="55" t="s">
        <v>1681</v>
      </c>
      <c r="C9" s="56" t="str">
        <f aca="false">IF(Dashboard!C14="","",Dashboard!C14)</f>
        <v/>
      </c>
      <c r="D9" s="55" t="s">
        <v>1725</v>
      </c>
      <c r="E9" s="55"/>
    </row>
    <row r="10" customFormat="false" ht="15" hidden="false" customHeight="false" outlineLevel="0" collapsed="false">
      <c r="B10" s="55" t="s">
        <v>1726</v>
      </c>
      <c r="C10" s="56" t="str">
        <f aca="false">IF(Dashboard!C15="","",Dashboard!C15)</f>
        <v/>
      </c>
      <c r="D10" s="55" t="s">
        <v>1727</v>
      </c>
      <c r="E10" s="55"/>
    </row>
    <row r="11" customFormat="false" ht="15" hidden="false" customHeight="false" outlineLevel="0" collapsed="false">
      <c r="B11" s="55" t="s">
        <v>113</v>
      </c>
      <c r="C11" s="56" t="str">
        <f aca="false">IF(Dashboard!C16="","",Dashboard!C16)</f>
        <v/>
      </c>
      <c r="D11" s="55" t="s">
        <v>1728</v>
      </c>
      <c r="E11" s="55"/>
    </row>
    <row r="12" customFormat="false" ht="15" hidden="false" customHeight="false" outlineLevel="0" collapsed="false">
      <c r="B12" s="55" t="s">
        <v>1561</v>
      </c>
      <c r="C12" s="56" t="str">
        <f aca="false">IF(Dashboard!C17="","",Dashboard!C17)</f>
        <v/>
      </c>
      <c r="D12" s="55" t="s">
        <v>1729</v>
      </c>
      <c r="E12" s="55"/>
    </row>
    <row r="13" customFormat="false" ht="15" hidden="false" customHeight="false" outlineLevel="0" collapsed="false">
      <c r="B13" s="55" t="s">
        <v>1687</v>
      </c>
      <c r="C13" s="57" t="str">
        <f aca="false">IF(Dashboard!C18="","",Dashboard!C18)</f>
        <v/>
      </c>
      <c r="D13" s="55" t="str">
        <f aca="false">IF(Dashboard!D18="","",Dashboard!D18)</f>
        <v/>
      </c>
      <c r="E13" s="55"/>
    </row>
    <row r="14" customFormat="false" ht="15" hidden="false" customHeight="false" outlineLevel="0" collapsed="false">
      <c r="B14" s="55" t="s">
        <v>1730</v>
      </c>
      <c r="C14" s="57" t="str">
        <f aca="false">IF(Dashboard!C19="","",Dashboard!C19)</f>
        <v/>
      </c>
      <c r="D14" s="55" t="str">
        <f aca="false">IF(Dashboard!D19="","",Dashboard!D19)</f>
        <v/>
      </c>
      <c r="E14" s="55"/>
    </row>
    <row r="15" customFormat="false" ht="15" hidden="false" customHeight="false" outlineLevel="0" collapsed="false">
      <c r="B15" s="55" t="s">
        <v>1731</v>
      </c>
      <c r="C15" s="57" t="str">
        <f aca="false">IF(Dashboard!C20="","",Dashboard!C20)</f>
        <v/>
      </c>
      <c r="D15" s="55" t="str">
        <f aca="false">IF(Dashboard!D20="","",Dashboard!D20)</f>
        <v/>
      </c>
      <c r="E15" s="55"/>
    </row>
    <row r="16" customFormat="false" ht="15" hidden="false" customHeight="false" outlineLevel="0" collapsed="false">
      <c r="B16" s="55" t="s">
        <v>1631</v>
      </c>
      <c r="C16" s="58" t="str">
        <f aca="false">IF(Dashboard!C21="","",Dashboard!C21)</f>
        <v/>
      </c>
      <c r="D16" s="55" t="s">
        <v>1732</v>
      </c>
      <c r="E16" s="55"/>
    </row>
    <row r="18" customFormat="false" ht="21.75" hidden="false" customHeight="true" outlineLevel="0" collapsed="false">
      <c r="B18" s="59" t="s">
        <v>156</v>
      </c>
      <c r="C18" s="60" t="str">
        <f aca="false">IFERROR(IF(INDEX(Players!$G$5:$G$104,MATCH(Dashboard!$C$5,Players!$B$5:$B$104,0))="","",INDEX(Players!$G$5:$G$104,MATCH(Dashboard!$C$5,Players!$B$5:$B$104,0))),"")</f>
        <v/>
      </c>
      <c r="D18" s="60"/>
      <c r="E18" s="60"/>
    </row>
    <row r="19" customFormat="false" ht="21.75" hidden="false" customHeight="true" outlineLevel="0" collapsed="false">
      <c r="B19" s="59" t="s">
        <v>157</v>
      </c>
      <c r="C19" s="60" t="str">
        <f aca="false">IFERROR(IF(INDEX(Players!$H$5:$H$104,MATCH(Dashboard!$C$5,Players!$B$5:$B$104,0))="","",INDEX(Players!$H$5:$H$104,MATCH(Dashboard!$C$5,Players!$B$5:$B$104,0))),"")</f>
        <v/>
      </c>
      <c r="D19" s="60"/>
      <c r="E19" s="60"/>
    </row>
    <row r="20" customFormat="false" ht="48" hidden="false" customHeight="true" outlineLevel="0" collapsed="false">
      <c r="B20" s="59" t="s">
        <v>1733</v>
      </c>
      <c r="C20" s="61"/>
      <c r="D20" s="61"/>
      <c r="E20" s="61"/>
    </row>
    <row r="21" customFormat="false" ht="48" hidden="false" customHeight="true" outlineLevel="0" collapsed="false">
      <c r="B21" s="59" t="s">
        <v>1734</v>
      </c>
      <c r="C21" s="61"/>
      <c r="D21" s="61"/>
      <c r="E21" s="61"/>
    </row>
    <row r="22" customFormat="false" ht="48" hidden="false" customHeight="true" outlineLevel="0" collapsed="false">
      <c r="B22" s="59" t="s">
        <v>1735</v>
      </c>
      <c r="C22" s="61"/>
      <c r="D22" s="61"/>
      <c r="E22" s="61"/>
    </row>
    <row r="23" customFormat="false" ht="48" hidden="false" customHeight="true" outlineLevel="0" collapsed="false">
      <c r="B23" s="59" t="s">
        <v>1736</v>
      </c>
      <c r="C23" s="61"/>
      <c r="D23" s="61"/>
      <c r="E23" s="61"/>
    </row>
    <row r="25" customFormat="false" ht="15" hidden="false" customHeight="false" outlineLevel="0" collapsed="false">
      <c r="B25" s="6" t="s">
        <v>1737</v>
      </c>
      <c r="C25" s="7"/>
      <c r="D25" s="7"/>
      <c r="E25" s="7"/>
    </row>
    <row r="26" customFormat="false" ht="15" hidden="false" customHeight="false" outlineLevel="0" collapsed="false">
      <c r="B26" s="6" t="s">
        <v>1738</v>
      </c>
      <c r="C26" s="62"/>
    </row>
    <row r="28" customFormat="false" ht="15" hidden="false" customHeight="true" outlineLevel="0" collapsed="false">
      <c r="B28" s="11" t="s">
        <v>1739</v>
      </c>
      <c r="C28" s="11"/>
      <c r="D28" s="11"/>
      <c r="E28" s="11"/>
    </row>
    <row r="29" customFormat="false" ht="15" hidden="false" customHeight="false" outlineLevel="0" collapsed="false">
      <c r="B29" s="11"/>
      <c r="C29" s="11"/>
      <c r="D29" s="11"/>
      <c r="E29" s="11"/>
    </row>
    <row r="30" customFormat="false" ht="15" hidden="false" customHeight="false" outlineLevel="0" collapsed="false">
      <c r="B30" s="11"/>
      <c r="C30" s="11"/>
      <c r="D30" s="11"/>
      <c r="E30" s="11"/>
    </row>
  </sheetData>
  <mergeCells count="21">
    <mergeCell ref="B2:E2"/>
    <mergeCell ref="C4:E4"/>
    <mergeCell ref="C5:E5"/>
    <mergeCell ref="C6:E6"/>
    <mergeCell ref="D8:E8"/>
    <mergeCell ref="D9:E9"/>
    <mergeCell ref="D10:E10"/>
    <mergeCell ref="D11:E11"/>
    <mergeCell ref="D12:E12"/>
    <mergeCell ref="D13:E13"/>
    <mergeCell ref="D14:E14"/>
    <mergeCell ref="D15:E15"/>
    <mergeCell ref="D16:E16"/>
    <mergeCell ref="C18:E18"/>
    <mergeCell ref="C19:E19"/>
    <mergeCell ref="C20:E20"/>
    <mergeCell ref="C21:E21"/>
    <mergeCell ref="C22:E22"/>
    <mergeCell ref="C23:E23"/>
    <mergeCell ref="C25:E25"/>
    <mergeCell ref="B28:E30"/>
  </mergeCells>
  <printOptions headings="false" gridLines="false" gridLinesSet="true" horizontalCentered="true" verticalCentered="false"/>
  <pageMargins left="0.5" right="0.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11"/>
    <col collapsed="false" customWidth="true" hidden="false" outlineLevel="0" max="4" min="4" style="0" width="22"/>
    <col collapsed="false" customWidth="true" hidden="false" outlineLevel="0" max="6" min="5" style="0" width="13"/>
    <col collapsed="false" customWidth="true" hidden="false" outlineLevel="0" max="7" min="7" style="0" width="11"/>
    <col collapsed="false" customWidth="true" hidden="false" outlineLevel="0" max="8" min="8" style="0" width="46"/>
    <col collapsed="false" customWidth="true" hidden="false" outlineLevel="0" max="9" min="9" style="0" width="9"/>
    <col collapsed="false" customWidth="true" hidden="false" outlineLevel="0" max="10" min="10" style="0" width="30"/>
  </cols>
  <sheetData>
    <row r="1" customFormat="false" ht="15" hidden="false" customHeight="false" outlineLevel="0" collapsed="false">
      <c r="B1" s="12" t="s">
        <v>24</v>
      </c>
    </row>
    <row r="2" customFormat="false" ht="22.05" hidden="false" customHeight="false" outlineLevel="0" collapsed="false">
      <c r="B2" s="13" t="s">
        <v>88</v>
      </c>
    </row>
    <row r="3" customFormat="false" ht="15" hidden="false" customHeight="false" outlineLevel="0" collapsed="false">
      <c r="B3" s="14" t="s">
        <v>1740</v>
      </c>
    </row>
    <row r="4" customFormat="false" ht="30" hidden="false" customHeight="true" outlineLevel="0" collapsed="false">
      <c r="B4" s="15" t="s">
        <v>1741</v>
      </c>
      <c r="C4" s="15" t="s">
        <v>151</v>
      </c>
      <c r="D4" s="15" t="s">
        <v>152</v>
      </c>
      <c r="E4" s="15" t="s">
        <v>1742</v>
      </c>
      <c r="F4" s="15" t="s">
        <v>1743</v>
      </c>
      <c r="G4" s="15" t="s">
        <v>1623</v>
      </c>
      <c r="H4" s="15" t="s">
        <v>1744</v>
      </c>
      <c r="I4" s="15" t="s">
        <v>1745</v>
      </c>
      <c r="J4" s="15" t="s">
        <v>1746</v>
      </c>
    </row>
    <row r="5" customFormat="false" ht="15" hidden="false" customHeight="false" outlineLevel="0" collapsed="false">
      <c r="B5" s="63"/>
      <c r="C5" s="64"/>
      <c r="D5" s="64"/>
      <c r="E5" s="65"/>
      <c r="F5" s="65"/>
      <c r="G5" s="64"/>
      <c r="H5" s="64"/>
      <c r="I5" s="64"/>
      <c r="J5" s="27"/>
    </row>
    <row r="6" customFormat="false" ht="15" hidden="false" customHeight="false" outlineLevel="0" collapsed="false">
      <c r="B6" s="63"/>
      <c r="C6" s="64"/>
      <c r="D6" s="64"/>
      <c r="E6" s="65"/>
      <c r="F6" s="65"/>
      <c r="G6" s="64"/>
      <c r="H6" s="64"/>
      <c r="I6" s="64"/>
      <c r="J6" s="27"/>
    </row>
    <row r="7" customFormat="false" ht="15" hidden="false" customHeight="false" outlineLevel="0" collapsed="false">
      <c r="B7" s="63"/>
      <c r="C7" s="64"/>
      <c r="D7" s="64"/>
      <c r="E7" s="65"/>
      <c r="F7" s="65"/>
      <c r="G7" s="64"/>
      <c r="H7" s="64"/>
      <c r="I7" s="64"/>
      <c r="J7" s="27"/>
    </row>
    <row r="8" customFormat="false" ht="15" hidden="false" customHeight="false" outlineLevel="0" collapsed="false">
      <c r="B8" s="63"/>
      <c r="C8" s="64"/>
      <c r="D8" s="64"/>
      <c r="E8" s="65"/>
      <c r="F8" s="65"/>
      <c r="G8" s="64"/>
      <c r="H8" s="64"/>
      <c r="I8" s="64"/>
      <c r="J8" s="27"/>
    </row>
    <row r="9" customFormat="false" ht="15" hidden="false" customHeight="false" outlineLevel="0" collapsed="false">
      <c r="B9" s="63"/>
      <c r="C9" s="64"/>
      <c r="D9" s="64"/>
      <c r="E9" s="65"/>
      <c r="F9" s="65"/>
      <c r="G9" s="64"/>
      <c r="H9" s="64"/>
      <c r="I9" s="64"/>
      <c r="J9" s="27"/>
    </row>
    <row r="10" customFormat="false" ht="15" hidden="false" customHeight="false" outlineLevel="0" collapsed="false">
      <c r="B10" s="63"/>
      <c r="C10" s="64"/>
      <c r="D10" s="64"/>
      <c r="E10" s="65"/>
      <c r="F10" s="65"/>
      <c r="G10" s="64"/>
      <c r="H10" s="64"/>
      <c r="I10" s="64"/>
      <c r="J10" s="27"/>
    </row>
    <row r="11" customFormat="false" ht="15" hidden="false" customHeight="false" outlineLevel="0" collapsed="false">
      <c r="B11" s="63"/>
      <c r="C11" s="64"/>
      <c r="D11" s="64"/>
      <c r="E11" s="65"/>
      <c r="F11" s="65"/>
      <c r="G11" s="64"/>
      <c r="H11" s="64"/>
      <c r="I11" s="64"/>
      <c r="J11" s="27"/>
    </row>
    <row r="12" customFormat="false" ht="15" hidden="false" customHeight="false" outlineLevel="0" collapsed="false">
      <c r="B12" s="63"/>
      <c r="C12" s="64"/>
      <c r="D12" s="64"/>
      <c r="E12" s="65"/>
      <c r="F12" s="65"/>
      <c r="G12" s="64"/>
      <c r="H12" s="64"/>
      <c r="I12" s="64"/>
      <c r="J12" s="27"/>
    </row>
    <row r="13" customFormat="false" ht="15" hidden="false" customHeight="false" outlineLevel="0" collapsed="false">
      <c r="B13" s="63"/>
      <c r="C13" s="64"/>
      <c r="D13" s="64"/>
      <c r="E13" s="65"/>
      <c r="F13" s="65"/>
      <c r="G13" s="64"/>
      <c r="H13" s="64"/>
      <c r="I13" s="64"/>
      <c r="J13" s="27"/>
    </row>
    <row r="14" customFormat="false" ht="15" hidden="false" customHeight="false" outlineLevel="0" collapsed="false">
      <c r="B14" s="63"/>
      <c r="C14" s="64"/>
      <c r="D14" s="64"/>
      <c r="E14" s="65"/>
      <c r="F14" s="65"/>
      <c r="G14" s="64"/>
      <c r="H14" s="64"/>
      <c r="I14" s="64"/>
      <c r="J14" s="27"/>
    </row>
    <row r="15" customFormat="false" ht="15" hidden="false" customHeight="false" outlineLevel="0" collapsed="false">
      <c r="B15" s="63"/>
      <c r="C15" s="64"/>
      <c r="D15" s="64"/>
      <c r="E15" s="65"/>
      <c r="F15" s="65"/>
      <c r="G15" s="64"/>
      <c r="H15" s="64"/>
      <c r="I15" s="64"/>
      <c r="J15" s="27"/>
    </row>
    <row r="16" customFormat="false" ht="15" hidden="false" customHeight="false" outlineLevel="0" collapsed="false">
      <c r="B16" s="63"/>
      <c r="C16" s="64"/>
      <c r="D16" s="64"/>
      <c r="E16" s="65"/>
      <c r="F16" s="65"/>
      <c r="G16" s="64"/>
      <c r="H16" s="64"/>
      <c r="I16" s="64"/>
      <c r="J16" s="27"/>
    </row>
    <row r="17" customFormat="false" ht="15" hidden="false" customHeight="false" outlineLevel="0" collapsed="false">
      <c r="B17" s="63"/>
      <c r="C17" s="64"/>
      <c r="D17" s="64"/>
      <c r="E17" s="65"/>
      <c r="F17" s="65"/>
      <c r="G17" s="64"/>
      <c r="H17" s="64"/>
      <c r="I17" s="64"/>
      <c r="J17" s="27"/>
    </row>
    <row r="18" customFormat="false" ht="15" hidden="false" customHeight="false" outlineLevel="0" collapsed="false">
      <c r="B18" s="63"/>
      <c r="C18" s="64"/>
      <c r="D18" s="64"/>
      <c r="E18" s="65"/>
      <c r="F18" s="65"/>
      <c r="G18" s="64"/>
      <c r="H18" s="64"/>
      <c r="I18" s="64"/>
      <c r="J18" s="27"/>
    </row>
    <row r="19" customFormat="false" ht="15" hidden="false" customHeight="false" outlineLevel="0" collapsed="false">
      <c r="B19" s="63"/>
      <c r="C19" s="64"/>
      <c r="D19" s="64"/>
      <c r="E19" s="65"/>
      <c r="F19" s="65"/>
      <c r="G19" s="64"/>
      <c r="H19" s="64"/>
      <c r="I19" s="64"/>
      <c r="J19" s="27"/>
    </row>
    <row r="20" customFormat="false" ht="15" hidden="false" customHeight="false" outlineLevel="0" collapsed="false">
      <c r="B20" s="63"/>
      <c r="C20" s="64"/>
      <c r="D20" s="64"/>
      <c r="E20" s="65"/>
      <c r="F20" s="65"/>
      <c r="G20" s="64"/>
      <c r="H20" s="64"/>
      <c r="I20" s="64"/>
      <c r="J20" s="27"/>
    </row>
    <row r="21" customFormat="false" ht="15" hidden="false" customHeight="false" outlineLevel="0" collapsed="false">
      <c r="B21" s="63"/>
      <c r="C21" s="64"/>
      <c r="D21" s="64"/>
      <c r="E21" s="65"/>
      <c r="F21" s="65"/>
      <c r="G21" s="64"/>
      <c r="H21" s="64"/>
      <c r="I21" s="64"/>
      <c r="J21" s="27"/>
    </row>
    <row r="22" customFormat="false" ht="15" hidden="false" customHeight="false" outlineLevel="0" collapsed="false">
      <c r="B22" s="63"/>
      <c r="C22" s="64"/>
      <c r="D22" s="64"/>
      <c r="E22" s="65"/>
      <c r="F22" s="65"/>
      <c r="G22" s="64"/>
      <c r="H22" s="64"/>
      <c r="I22" s="64"/>
      <c r="J22" s="27"/>
    </row>
    <row r="23" customFormat="false" ht="15" hidden="false" customHeight="false" outlineLevel="0" collapsed="false">
      <c r="B23" s="63"/>
      <c r="C23" s="64"/>
      <c r="D23" s="64"/>
      <c r="E23" s="65"/>
      <c r="F23" s="65"/>
      <c r="G23" s="64"/>
      <c r="H23" s="64"/>
      <c r="I23" s="64"/>
      <c r="J23" s="27"/>
    </row>
    <row r="24" customFormat="false" ht="15" hidden="false" customHeight="false" outlineLevel="0" collapsed="false">
      <c r="B24" s="63"/>
      <c r="C24" s="64"/>
      <c r="D24" s="64"/>
      <c r="E24" s="65"/>
      <c r="F24" s="65"/>
      <c r="G24" s="64"/>
      <c r="H24" s="64"/>
      <c r="I24" s="64"/>
      <c r="J24" s="27"/>
    </row>
    <row r="25" customFormat="false" ht="15" hidden="false" customHeight="false" outlineLevel="0" collapsed="false">
      <c r="B25" s="63"/>
      <c r="C25" s="64"/>
      <c r="D25" s="64"/>
      <c r="E25" s="65"/>
      <c r="F25" s="65"/>
      <c r="G25" s="64"/>
      <c r="H25" s="64"/>
      <c r="I25" s="64"/>
      <c r="J25" s="27"/>
    </row>
    <row r="26" customFormat="false" ht="15" hidden="false" customHeight="false" outlineLevel="0" collapsed="false">
      <c r="B26" s="63"/>
      <c r="C26" s="64"/>
      <c r="D26" s="64"/>
      <c r="E26" s="65"/>
      <c r="F26" s="65"/>
      <c r="G26" s="64"/>
      <c r="H26" s="64"/>
      <c r="I26" s="64"/>
      <c r="J26" s="27"/>
    </row>
    <row r="27" customFormat="false" ht="15" hidden="false" customHeight="false" outlineLevel="0" collapsed="false">
      <c r="B27" s="63"/>
      <c r="C27" s="64"/>
      <c r="D27" s="64"/>
      <c r="E27" s="65"/>
      <c r="F27" s="65"/>
      <c r="G27" s="64"/>
      <c r="H27" s="64"/>
      <c r="I27" s="64"/>
      <c r="J27" s="27"/>
    </row>
    <row r="28" customFormat="false" ht="15" hidden="false" customHeight="false" outlineLevel="0" collapsed="false">
      <c r="B28" s="63"/>
      <c r="C28" s="64"/>
      <c r="D28" s="64"/>
      <c r="E28" s="65"/>
      <c r="F28" s="65"/>
      <c r="G28" s="64"/>
      <c r="H28" s="64"/>
      <c r="I28" s="64"/>
      <c r="J28" s="27"/>
    </row>
    <row r="29" customFormat="false" ht="15" hidden="false" customHeight="false" outlineLevel="0" collapsed="false">
      <c r="B29" s="63"/>
      <c r="C29" s="64"/>
      <c r="D29" s="64"/>
      <c r="E29" s="65"/>
      <c r="F29" s="65"/>
      <c r="G29" s="64"/>
      <c r="H29" s="64"/>
      <c r="I29" s="64"/>
      <c r="J29" s="27"/>
    </row>
    <row r="30" customFormat="false" ht="15" hidden="false" customHeight="false" outlineLevel="0" collapsed="false">
      <c r="B30" s="63"/>
      <c r="C30" s="64"/>
      <c r="D30" s="64"/>
      <c r="E30" s="65"/>
      <c r="F30" s="65"/>
      <c r="G30" s="64"/>
      <c r="H30" s="64"/>
      <c r="I30" s="64"/>
      <c r="J30" s="27"/>
    </row>
    <row r="31" customFormat="false" ht="15" hidden="false" customHeight="false" outlineLevel="0" collapsed="false">
      <c r="B31" s="63"/>
      <c r="C31" s="64"/>
      <c r="D31" s="64"/>
      <c r="E31" s="65"/>
      <c r="F31" s="65"/>
      <c r="G31" s="64"/>
      <c r="H31" s="64"/>
      <c r="I31" s="64"/>
      <c r="J31" s="27"/>
    </row>
    <row r="32" customFormat="false" ht="15" hidden="false" customHeight="false" outlineLevel="0" collapsed="false">
      <c r="B32" s="63"/>
      <c r="C32" s="64"/>
      <c r="D32" s="64"/>
      <c r="E32" s="65"/>
      <c r="F32" s="65"/>
      <c r="G32" s="64"/>
      <c r="H32" s="64"/>
      <c r="I32" s="64"/>
      <c r="J32" s="27"/>
    </row>
    <row r="33" customFormat="false" ht="15" hidden="false" customHeight="false" outlineLevel="0" collapsed="false">
      <c r="B33" s="63"/>
      <c r="C33" s="64"/>
      <c r="D33" s="64"/>
      <c r="E33" s="65"/>
      <c r="F33" s="65"/>
      <c r="G33" s="64"/>
      <c r="H33" s="64"/>
      <c r="I33" s="64"/>
      <c r="J33" s="27"/>
    </row>
    <row r="34" customFormat="false" ht="15" hidden="false" customHeight="false" outlineLevel="0" collapsed="false">
      <c r="B34" s="63"/>
      <c r="C34" s="64"/>
      <c r="D34" s="64"/>
      <c r="E34" s="65"/>
      <c r="F34" s="65"/>
      <c r="G34" s="64"/>
      <c r="H34" s="64"/>
      <c r="I34" s="64"/>
      <c r="J34" s="27"/>
    </row>
    <row r="35" customFormat="false" ht="15" hidden="false" customHeight="false" outlineLevel="0" collapsed="false">
      <c r="B35" s="63"/>
      <c r="C35" s="64"/>
      <c r="D35" s="64"/>
      <c r="E35" s="65"/>
      <c r="F35" s="65"/>
      <c r="G35" s="64"/>
      <c r="H35" s="64"/>
      <c r="I35" s="64"/>
      <c r="J35" s="27"/>
    </row>
    <row r="36" customFormat="false" ht="15" hidden="false" customHeight="false" outlineLevel="0" collapsed="false">
      <c r="B36" s="63"/>
      <c r="C36" s="64"/>
      <c r="D36" s="64"/>
      <c r="E36" s="65"/>
      <c r="F36" s="65"/>
      <c r="G36" s="64"/>
      <c r="H36" s="64"/>
      <c r="I36" s="64"/>
      <c r="J36" s="27"/>
    </row>
    <row r="37" customFormat="false" ht="15" hidden="false" customHeight="false" outlineLevel="0" collapsed="false">
      <c r="B37" s="63"/>
      <c r="C37" s="64"/>
      <c r="D37" s="64"/>
      <c r="E37" s="65"/>
      <c r="F37" s="65"/>
      <c r="G37" s="64"/>
      <c r="H37" s="64"/>
      <c r="I37" s="64"/>
      <c r="J37" s="27"/>
    </row>
    <row r="38" customFormat="false" ht="15" hidden="false" customHeight="false" outlineLevel="0" collapsed="false">
      <c r="B38" s="63"/>
      <c r="C38" s="64"/>
      <c r="D38" s="64"/>
      <c r="E38" s="65"/>
      <c r="F38" s="65"/>
      <c r="G38" s="64"/>
      <c r="H38" s="64"/>
      <c r="I38" s="64"/>
      <c r="J38" s="27"/>
    </row>
    <row r="39" customFormat="false" ht="15" hidden="false" customHeight="false" outlineLevel="0" collapsed="false">
      <c r="B39" s="63"/>
      <c r="C39" s="64"/>
      <c r="D39" s="64"/>
      <c r="E39" s="65"/>
      <c r="F39" s="65"/>
      <c r="G39" s="64"/>
      <c r="H39" s="64"/>
      <c r="I39" s="64"/>
      <c r="J39" s="27"/>
    </row>
    <row r="40" customFormat="false" ht="15" hidden="false" customHeight="false" outlineLevel="0" collapsed="false">
      <c r="B40" s="63"/>
      <c r="C40" s="64"/>
      <c r="D40" s="64"/>
      <c r="E40" s="65"/>
      <c r="F40" s="65"/>
      <c r="G40" s="64"/>
      <c r="H40" s="64"/>
      <c r="I40" s="64"/>
      <c r="J40" s="27"/>
    </row>
    <row r="41" customFormat="false" ht="15" hidden="false" customHeight="false" outlineLevel="0" collapsed="false">
      <c r="B41" s="63"/>
      <c r="C41" s="64"/>
      <c r="D41" s="64"/>
      <c r="E41" s="65"/>
      <c r="F41" s="65"/>
      <c r="G41" s="64"/>
      <c r="H41" s="64"/>
      <c r="I41" s="64"/>
      <c r="J41" s="27"/>
    </row>
    <row r="42" customFormat="false" ht="15" hidden="false" customHeight="false" outlineLevel="0" collapsed="false">
      <c r="B42" s="63"/>
      <c r="C42" s="64"/>
      <c r="D42" s="64"/>
      <c r="E42" s="65"/>
      <c r="F42" s="65"/>
      <c r="G42" s="64"/>
      <c r="H42" s="64"/>
      <c r="I42" s="64"/>
      <c r="J42" s="27"/>
    </row>
    <row r="43" customFormat="false" ht="15" hidden="false" customHeight="false" outlineLevel="0" collapsed="false">
      <c r="B43" s="63"/>
      <c r="C43" s="64"/>
      <c r="D43" s="64"/>
      <c r="E43" s="65"/>
      <c r="F43" s="65"/>
      <c r="G43" s="64"/>
      <c r="H43" s="64"/>
      <c r="I43" s="64"/>
      <c r="J43" s="27"/>
    </row>
    <row r="44" customFormat="false" ht="15" hidden="false" customHeight="false" outlineLevel="0" collapsed="false">
      <c r="B44" s="63"/>
      <c r="C44" s="64"/>
      <c r="D44" s="64"/>
      <c r="E44" s="65"/>
      <c r="F44" s="65"/>
      <c r="G44" s="64"/>
      <c r="H44" s="64"/>
      <c r="I44" s="64"/>
      <c r="J44" s="27"/>
    </row>
    <row r="45" customFormat="false" ht="15" hidden="false" customHeight="false" outlineLevel="0" collapsed="false">
      <c r="B45" s="63"/>
      <c r="C45" s="64"/>
      <c r="D45" s="64"/>
      <c r="E45" s="65"/>
      <c r="F45" s="65"/>
      <c r="G45" s="64"/>
      <c r="H45" s="64"/>
      <c r="I45" s="64"/>
      <c r="J45" s="27"/>
    </row>
    <row r="46" customFormat="false" ht="15" hidden="false" customHeight="false" outlineLevel="0" collapsed="false">
      <c r="B46" s="63"/>
      <c r="C46" s="64"/>
      <c r="D46" s="64"/>
      <c r="E46" s="65"/>
      <c r="F46" s="65"/>
      <c r="G46" s="64"/>
      <c r="H46" s="64"/>
      <c r="I46" s="64"/>
      <c r="J46" s="27"/>
    </row>
    <row r="47" customFormat="false" ht="15" hidden="false" customHeight="false" outlineLevel="0" collapsed="false">
      <c r="B47" s="63"/>
      <c r="C47" s="64"/>
      <c r="D47" s="64"/>
      <c r="E47" s="65"/>
      <c r="F47" s="65"/>
      <c r="G47" s="64"/>
      <c r="H47" s="64"/>
      <c r="I47" s="64"/>
      <c r="J47" s="27"/>
    </row>
    <row r="48" customFormat="false" ht="15" hidden="false" customHeight="false" outlineLevel="0" collapsed="false">
      <c r="B48" s="63"/>
      <c r="C48" s="64"/>
      <c r="D48" s="64"/>
      <c r="E48" s="65"/>
      <c r="F48" s="65"/>
      <c r="G48" s="64"/>
      <c r="H48" s="64"/>
      <c r="I48" s="64"/>
      <c r="J48" s="27"/>
    </row>
    <row r="49" customFormat="false" ht="15" hidden="false" customHeight="false" outlineLevel="0" collapsed="false">
      <c r="B49" s="63"/>
      <c r="C49" s="64"/>
      <c r="D49" s="64"/>
      <c r="E49" s="65"/>
      <c r="F49" s="65"/>
      <c r="G49" s="64"/>
      <c r="H49" s="64"/>
      <c r="I49" s="64"/>
      <c r="J49" s="27"/>
    </row>
    <row r="50" customFormat="false" ht="15" hidden="false" customHeight="false" outlineLevel="0" collapsed="false">
      <c r="B50" s="63"/>
      <c r="C50" s="64"/>
      <c r="D50" s="64"/>
      <c r="E50" s="65"/>
      <c r="F50" s="65"/>
      <c r="G50" s="64"/>
      <c r="H50" s="64"/>
      <c r="I50" s="64"/>
      <c r="J50" s="27"/>
    </row>
    <row r="51" customFormat="false" ht="15" hidden="false" customHeight="false" outlineLevel="0" collapsed="false">
      <c r="B51" s="63"/>
      <c r="C51" s="64"/>
      <c r="D51" s="64"/>
      <c r="E51" s="65"/>
      <c r="F51" s="65"/>
      <c r="G51" s="64"/>
      <c r="H51" s="64"/>
      <c r="I51" s="64"/>
      <c r="J51" s="27"/>
    </row>
    <row r="52" customFormat="false" ht="15" hidden="false" customHeight="false" outlineLevel="0" collapsed="false">
      <c r="B52" s="63"/>
      <c r="C52" s="64"/>
      <c r="D52" s="64"/>
      <c r="E52" s="65"/>
      <c r="F52" s="65"/>
      <c r="G52" s="64"/>
      <c r="H52" s="64"/>
      <c r="I52" s="64"/>
      <c r="J52" s="27"/>
    </row>
    <row r="53" customFormat="false" ht="15" hidden="false" customHeight="false" outlineLevel="0" collapsed="false">
      <c r="B53" s="63"/>
      <c r="C53" s="64"/>
      <c r="D53" s="64"/>
      <c r="E53" s="65"/>
      <c r="F53" s="65"/>
      <c r="G53" s="64"/>
      <c r="H53" s="64"/>
      <c r="I53" s="64"/>
      <c r="J53" s="27"/>
    </row>
    <row r="54" customFormat="false" ht="15" hidden="false" customHeight="false" outlineLevel="0" collapsed="false">
      <c r="B54" s="63"/>
      <c r="C54" s="64"/>
      <c r="D54" s="64"/>
      <c r="E54" s="65"/>
      <c r="F54" s="65"/>
      <c r="G54" s="64"/>
      <c r="H54" s="64"/>
      <c r="I54" s="64"/>
      <c r="J54" s="27"/>
    </row>
    <row r="55" customFormat="false" ht="15" hidden="false" customHeight="false" outlineLevel="0" collapsed="false">
      <c r="B55" s="63"/>
      <c r="C55" s="64"/>
      <c r="D55" s="64"/>
      <c r="E55" s="65"/>
      <c r="F55" s="65"/>
      <c r="G55" s="64"/>
      <c r="H55" s="64"/>
      <c r="I55" s="64"/>
      <c r="J55" s="27"/>
    </row>
    <row r="56" customFormat="false" ht="15" hidden="false" customHeight="false" outlineLevel="0" collapsed="false">
      <c r="B56" s="63"/>
      <c r="C56" s="64"/>
      <c r="D56" s="64"/>
      <c r="E56" s="65"/>
      <c r="F56" s="65"/>
      <c r="G56" s="64"/>
      <c r="H56" s="64"/>
      <c r="I56" s="64"/>
      <c r="J56" s="27"/>
    </row>
    <row r="57" customFormat="false" ht="15" hidden="false" customHeight="false" outlineLevel="0" collapsed="false">
      <c r="B57" s="63"/>
      <c r="C57" s="64"/>
      <c r="D57" s="64"/>
      <c r="E57" s="65"/>
      <c r="F57" s="65"/>
      <c r="G57" s="64"/>
      <c r="H57" s="64"/>
      <c r="I57" s="64"/>
      <c r="J57" s="27"/>
    </row>
    <row r="58" customFormat="false" ht="15" hidden="false" customHeight="false" outlineLevel="0" collapsed="false">
      <c r="B58" s="63"/>
      <c r="C58" s="64"/>
      <c r="D58" s="64"/>
      <c r="E58" s="65"/>
      <c r="F58" s="65"/>
      <c r="G58" s="64"/>
      <c r="H58" s="64"/>
      <c r="I58" s="64"/>
      <c r="J58" s="27"/>
    </row>
    <row r="59" customFormat="false" ht="15" hidden="false" customHeight="false" outlineLevel="0" collapsed="false">
      <c r="B59" s="63"/>
      <c r="C59" s="64"/>
      <c r="D59" s="64"/>
      <c r="E59" s="65"/>
      <c r="F59" s="65"/>
      <c r="G59" s="64"/>
      <c r="H59" s="64"/>
      <c r="I59" s="64"/>
      <c r="J59" s="27"/>
    </row>
    <row r="60" customFormat="false" ht="15" hidden="false" customHeight="false" outlineLevel="0" collapsed="false">
      <c r="B60" s="63"/>
      <c r="C60" s="64"/>
      <c r="D60" s="64"/>
      <c r="E60" s="65"/>
      <c r="F60" s="65"/>
      <c r="G60" s="64"/>
      <c r="H60" s="64"/>
      <c r="I60" s="64"/>
      <c r="J60" s="27"/>
    </row>
    <row r="61" customFormat="false" ht="15" hidden="false" customHeight="false" outlineLevel="0" collapsed="false">
      <c r="B61" s="63"/>
      <c r="C61" s="64"/>
      <c r="D61" s="64"/>
      <c r="E61" s="65"/>
      <c r="F61" s="65"/>
      <c r="G61" s="64"/>
      <c r="H61" s="64"/>
      <c r="I61" s="64"/>
      <c r="J61" s="27"/>
    </row>
    <row r="62" customFormat="false" ht="15" hidden="false" customHeight="false" outlineLevel="0" collapsed="false">
      <c r="B62" s="63"/>
      <c r="C62" s="64"/>
      <c r="D62" s="64"/>
      <c r="E62" s="65"/>
      <c r="F62" s="65"/>
      <c r="G62" s="64"/>
      <c r="H62" s="64"/>
      <c r="I62" s="64"/>
      <c r="J62" s="27"/>
    </row>
    <row r="63" customFormat="false" ht="15" hidden="false" customHeight="false" outlineLevel="0" collapsed="false">
      <c r="B63" s="63"/>
      <c r="C63" s="64"/>
      <c r="D63" s="64"/>
      <c r="E63" s="65"/>
      <c r="F63" s="65"/>
      <c r="G63" s="64"/>
      <c r="H63" s="64"/>
      <c r="I63" s="64"/>
      <c r="J63" s="27"/>
    </row>
    <row r="64" customFormat="false" ht="15" hidden="false" customHeight="false" outlineLevel="0" collapsed="false">
      <c r="B64" s="63"/>
      <c r="C64" s="64"/>
      <c r="D64" s="64"/>
      <c r="E64" s="65"/>
      <c r="F64" s="65"/>
      <c r="G64" s="64"/>
      <c r="H64" s="64"/>
      <c r="I64" s="64"/>
      <c r="J64" s="27"/>
    </row>
    <row r="65" customFormat="false" ht="15" hidden="false" customHeight="false" outlineLevel="0" collapsed="false">
      <c r="B65" s="63"/>
      <c r="C65" s="64"/>
      <c r="D65" s="64"/>
      <c r="E65" s="65"/>
      <c r="F65" s="65"/>
      <c r="G65" s="64"/>
      <c r="H65" s="64"/>
      <c r="I65" s="64"/>
      <c r="J65" s="27"/>
    </row>
    <row r="66" customFormat="false" ht="15" hidden="false" customHeight="false" outlineLevel="0" collapsed="false">
      <c r="B66" s="63"/>
      <c r="C66" s="64"/>
      <c r="D66" s="64"/>
      <c r="E66" s="65"/>
      <c r="F66" s="65"/>
      <c r="G66" s="64"/>
      <c r="H66" s="64"/>
      <c r="I66" s="64"/>
      <c r="J66" s="27"/>
    </row>
    <row r="67" customFormat="false" ht="15" hidden="false" customHeight="false" outlineLevel="0" collapsed="false">
      <c r="B67" s="63"/>
      <c r="C67" s="64"/>
      <c r="D67" s="64"/>
      <c r="E67" s="65"/>
      <c r="F67" s="65"/>
      <c r="G67" s="64"/>
      <c r="H67" s="64"/>
      <c r="I67" s="64"/>
      <c r="J67" s="27"/>
    </row>
    <row r="68" customFormat="false" ht="15" hidden="false" customHeight="false" outlineLevel="0" collapsed="false">
      <c r="B68" s="63"/>
      <c r="C68" s="64"/>
      <c r="D68" s="64"/>
      <c r="E68" s="65"/>
      <c r="F68" s="65"/>
      <c r="G68" s="64"/>
      <c r="H68" s="64"/>
      <c r="I68" s="64"/>
      <c r="J68" s="27"/>
    </row>
    <row r="69" customFormat="false" ht="15" hidden="false" customHeight="false" outlineLevel="0" collapsed="false">
      <c r="B69" s="63"/>
      <c r="C69" s="64"/>
      <c r="D69" s="64"/>
      <c r="E69" s="65"/>
      <c r="F69" s="65"/>
      <c r="G69" s="64"/>
      <c r="H69" s="64"/>
      <c r="I69" s="64"/>
      <c r="J69" s="27"/>
    </row>
    <row r="70" customFormat="false" ht="15" hidden="false" customHeight="false" outlineLevel="0" collapsed="false">
      <c r="B70" s="63"/>
      <c r="C70" s="64"/>
      <c r="D70" s="64"/>
      <c r="E70" s="65"/>
      <c r="F70" s="65"/>
      <c r="G70" s="64"/>
      <c r="H70" s="64"/>
      <c r="I70" s="64"/>
      <c r="J70" s="27"/>
    </row>
    <row r="71" customFormat="false" ht="15" hidden="false" customHeight="false" outlineLevel="0" collapsed="false">
      <c r="B71" s="63"/>
      <c r="C71" s="64"/>
      <c r="D71" s="64"/>
      <c r="E71" s="65"/>
      <c r="F71" s="65"/>
      <c r="G71" s="64"/>
      <c r="H71" s="64"/>
      <c r="I71" s="64"/>
      <c r="J71" s="27"/>
    </row>
    <row r="72" customFormat="false" ht="15" hidden="false" customHeight="false" outlineLevel="0" collapsed="false">
      <c r="B72" s="63"/>
      <c r="C72" s="64"/>
      <c r="D72" s="64"/>
      <c r="E72" s="65"/>
      <c r="F72" s="65"/>
      <c r="G72" s="64"/>
      <c r="H72" s="64"/>
      <c r="I72" s="64"/>
      <c r="J72" s="27"/>
    </row>
    <row r="73" customFormat="false" ht="15" hidden="false" customHeight="false" outlineLevel="0" collapsed="false">
      <c r="B73" s="63"/>
      <c r="C73" s="64"/>
      <c r="D73" s="64"/>
      <c r="E73" s="65"/>
      <c r="F73" s="65"/>
      <c r="G73" s="64"/>
      <c r="H73" s="64"/>
      <c r="I73" s="64"/>
      <c r="J73" s="27"/>
    </row>
    <row r="74" customFormat="false" ht="15" hidden="false" customHeight="false" outlineLevel="0" collapsed="false">
      <c r="B74" s="63"/>
      <c r="C74" s="64"/>
      <c r="D74" s="64"/>
      <c r="E74" s="65"/>
      <c r="F74" s="65"/>
      <c r="G74" s="64"/>
      <c r="H74" s="64"/>
      <c r="I74" s="64"/>
      <c r="J74" s="27"/>
    </row>
    <row r="75" customFormat="false" ht="15" hidden="false" customHeight="false" outlineLevel="0" collapsed="false">
      <c r="B75" s="63"/>
      <c r="C75" s="64"/>
      <c r="D75" s="64"/>
      <c r="E75" s="65"/>
      <c r="F75" s="65"/>
      <c r="G75" s="64"/>
      <c r="H75" s="64"/>
      <c r="I75" s="64"/>
      <c r="J75" s="27"/>
    </row>
    <row r="76" customFormat="false" ht="15" hidden="false" customHeight="false" outlineLevel="0" collapsed="false">
      <c r="B76" s="63"/>
      <c r="C76" s="64"/>
      <c r="D76" s="64"/>
      <c r="E76" s="65"/>
      <c r="F76" s="65"/>
      <c r="G76" s="64"/>
      <c r="H76" s="64"/>
      <c r="I76" s="64"/>
      <c r="J76" s="27"/>
    </row>
    <row r="77" customFormat="false" ht="15" hidden="false" customHeight="false" outlineLevel="0" collapsed="false">
      <c r="B77" s="63"/>
      <c r="C77" s="64"/>
      <c r="D77" s="64"/>
      <c r="E77" s="65"/>
      <c r="F77" s="65"/>
      <c r="G77" s="64"/>
      <c r="H77" s="64"/>
      <c r="I77" s="64"/>
      <c r="J77" s="27"/>
    </row>
    <row r="78" customFormat="false" ht="15" hidden="false" customHeight="false" outlineLevel="0" collapsed="false">
      <c r="B78" s="63"/>
      <c r="C78" s="64"/>
      <c r="D78" s="64"/>
      <c r="E78" s="65"/>
      <c r="F78" s="65"/>
      <c r="G78" s="64"/>
      <c r="H78" s="64"/>
      <c r="I78" s="64"/>
      <c r="J78" s="27"/>
    </row>
    <row r="79" customFormat="false" ht="15" hidden="false" customHeight="false" outlineLevel="0" collapsed="false">
      <c r="B79" s="63"/>
      <c r="C79" s="64"/>
      <c r="D79" s="64"/>
      <c r="E79" s="65"/>
      <c r="F79" s="65"/>
      <c r="G79" s="64"/>
      <c r="H79" s="64"/>
      <c r="I79" s="64"/>
      <c r="J79" s="27"/>
    </row>
    <row r="80" customFormat="false" ht="15" hidden="false" customHeight="false" outlineLevel="0" collapsed="false">
      <c r="B80" s="63"/>
      <c r="C80" s="64"/>
      <c r="D80" s="64"/>
      <c r="E80" s="65"/>
      <c r="F80" s="65"/>
      <c r="G80" s="64"/>
      <c r="H80" s="64"/>
      <c r="I80" s="64"/>
      <c r="J80" s="27"/>
    </row>
    <row r="81" customFormat="false" ht="15" hidden="false" customHeight="false" outlineLevel="0" collapsed="false">
      <c r="B81" s="63"/>
      <c r="C81" s="64"/>
      <c r="D81" s="64"/>
      <c r="E81" s="65"/>
      <c r="F81" s="65"/>
      <c r="G81" s="64"/>
      <c r="H81" s="64"/>
      <c r="I81" s="64"/>
      <c r="J81" s="27"/>
    </row>
    <row r="82" customFormat="false" ht="15" hidden="false" customHeight="false" outlineLevel="0" collapsed="false">
      <c r="B82" s="63"/>
      <c r="C82" s="64"/>
      <c r="D82" s="64"/>
      <c r="E82" s="65"/>
      <c r="F82" s="65"/>
      <c r="G82" s="64"/>
      <c r="H82" s="64"/>
      <c r="I82" s="64"/>
      <c r="J82" s="27"/>
    </row>
    <row r="83" customFormat="false" ht="15" hidden="false" customHeight="false" outlineLevel="0" collapsed="false">
      <c r="B83" s="63"/>
      <c r="C83" s="64"/>
      <c r="D83" s="64"/>
      <c r="E83" s="65"/>
      <c r="F83" s="65"/>
      <c r="G83" s="64"/>
      <c r="H83" s="64"/>
      <c r="I83" s="64"/>
      <c r="J83" s="27"/>
    </row>
    <row r="84" customFormat="false" ht="15" hidden="false" customHeight="false" outlineLevel="0" collapsed="false">
      <c r="B84" s="63"/>
      <c r="C84" s="64"/>
      <c r="D84" s="64"/>
      <c r="E84" s="65"/>
      <c r="F84" s="65"/>
      <c r="G84" s="64"/>
      <c r="H84" s="64"/>
      <c r="I84" s="64"/>
      <c r="J84" s="27"/>
    </row>
    <row r="85" customFormat="false" ht="15" hidden="false" customHeight="false" outlineLevel="0" collapsed="false">
      <c r="B85" s="63"/>
      <c r="C85" s="64"/>
      <c r="D85" s="64"/>
      <c r="E85" s="65"/>
      <c r="F85" s="65"/>
      <c r="G85" s="64"/>
      <c r="H85" s="64"/>
      <c r="I85" s="64"/>
      <c r="J85" s="27"/>
    </row>
    <row r="86" customFormat="false" ht="15" hidden="false" customHeight="false" outlineLevel="0" collapsed="false">
      <c r="B86" s="63"/>
      <c r="C86" s="64"/>
      <c r="D86" s="64"/>
      <c r="E86" s="65"/>
      <c r="F86" s="65"/>
      <c r="G86" s="64"/>
      <c r="H86" s="64"/>
      <c r="I86" s="64"/>
      <c r="J86" s="27"/>
    </row>
    <row r="87" customFormat="false" ht="15" hidden="false" customHeight="false" outlineLevel="0" collapsed="false">
      <c r="B87" s="63"/>
      <c r="C87" s="64"/>
      <c r="D87" s="64"/>
      <c r="E87" s="65"/>
      <c r="F87" s="65"/>
      <c r="G87" s="64"/>
      <c r="H87" s="64"/>
      <c r="I87" s="64"/>
      <c r="J87" s="27"/>
    </row>
    <row r="88" customFormat="false" ht="15" hidden="false" customHeight="false" outlineLevel="0" collapsed="false">
      <c r="B88" s="63"/>
      <c r="C88" s="64"/>
      <c r="D88" s="64"/>
      <c r="E88" s="65"/>
      <c r="F88" s="65"/>
      <c r="G88" s="64"/>
      <c r="H88" s="64"/>
      <c r="I88" s="64"/>
      <c r="J88" s="27"/>
    </row>
    <row r="89" customFormat="false" ht="15" hidden="false" customHeight="false" outlineLevel="0" collapsed="false">
      <c r="B89" s="63"/>
      <c r="C89" s="64"/>
      <c r="D89" s="64"/>
      <c r="E89" s="65"/>
      <c r="F89" s="65"/>
      <c r="G89" s="64"/>
      <c r="H89" s="64"/>
      <c r="I89" s="64"/>
      <c r="J89" s="27"/>
    </row>
    <row r="90" customFormat="false" ht="15" hidden="false" customHeight="false" outlineLevel="0" collapsed="false">
      <c r="B90" s="63"/>
      <c r="C90" s="64"/>
      <c r="D90" s="64"/>
      <c r="E90" s="65"/>
      <c r="F90" s="65"/>
      <c r="G90" s="64"/>
      <c r="H90" s="64"/>
      <c r="I90" s="64"/>
      <c r="J90" s="27"/>
    </row>
    <row r="91" customFormat="false" ht="15" hidden="false" customHeight="false" outlineLevel="0" collapsed="false">
      <c r="B91" s="63"/>
      <c r="C91" s="64"/>
      <c r="D91" s="64"/>
      <c r="E91" s="65"/>
      <c r="F91" s="65"/>
      <c r="G91" s="64"/>
      <c r="H91" s="64"/>
      <c r="I91" s="64"/>
      <c r="J91" s="27"/>
    </row>
    <row r="92" customFormat="false" ht="15" hidden="false" customHeight="false" outlineLevel="0" collapsed="false">
      <c r="B92" s="63"/>
      <c r="C92" s="64"/>
      <c r="D92" s="64"/>
      <c r="E92" s="65"/>
      <c r="F92" s="65"/>
      <c r="G92" s="64"/>
      <c r="H92" s="64"/>
      <c r="I92" s="64"/>
      <c r="J92" s="27"/>
    </row>
    <row r="93" customFormat="false" ht="15" hidden="false" customHeight="false" outlineLevel="0" collapsed="false">
      <c r="B93" s="63"/>
      <c r="C93" s="64"/>
      <c r="D93" s="64"/>
      <c r="E93" s="65"/>
      <c r="F93" s="65"/>
      <c r="G93" s="64"/>
      <c r="H93" s="64"/>
      <c r="I93" s="64"/>
      <c r="J93" s="27"/>
    </row>
    <row r="94" customFormat="false" ht="15" hidden="false" customHeight="false" outlineLevel="0" collapsed="false">
      <c r="B94" s="63"/>
      <c r="C94" s="64"/>
      <c r="D94" s="64"/>
      <c r="E94" s="65"/>
      <c r="F94" s="65"/>
      <c r="G94" s="64"/>
      <c r="H94" s="64"/>
      <c r="I94" s="64"/>
      <c r="J94" s="27"/>
    </row>
    <row r="95" customFormat="false" ht="15" hidden="false" customHeight="false" outlineLevel="0" collapsed="false">
      <c r="B95" s="63"/>
      <c r="C95" s="64"/>
      <c r="D95" s="64"/>
      <c r="E95" s="65"/>
      <c r="F95" s="65"/>
      <c r="G95" s="64"/>
      <c r="H95" s="64"/>
      <c r="I95" s="64"/>
      <c r="J95" s="27"/>
    </row>
    <row r="96" customFormat="false" ht="15" hidden="false" customHeight="false" outlineLevel="0" collapsed="false">
      <c r="B96" s="63"/>
      <c r="C96" s="64"/>
      <c r="D96" s="64"/>
      <c r="E96" s="65"/>
      <c r="F96" s="65"/>
      <c r="G96" s="64"/>
      <c r="H96" s="64"/>
      <c r="I96" s="64"/>
      <c r="J96" s="27"/>
    </row>
    <row r="97" customFormat="false" ht="15" hidden="false" customHeight="false" outlineLevel="0" collapsed="false">
      <c r="B97" s="63"/>
      <c r="C97" s="64"/>
      <c r="D97" s="64"/>
      <c r="E97" s="65"/>
      <c r="F97" s="65"/>
      <c r="G97" s="64"/>
      <c r="H97" s="64"/>
      <c r="I97" s="64"/>
      <c r="J97" s="27"/>
    </row>
    <row r="98" customFormat="false" ht="15" hidden="false" customHeight="false" outlineLevel="0" collapsed="false">
      <c r="B98" s="63"/>
      <c r="C98" s="64"/>
      <c r="D98" s="64"/>
      <c r="E98" s="65"/>
      <c r="F98" s="65"/>
      <c r="G98" s="64"/>
      <c r="H98" s="64"/>
      <c r="I98" s="64"/>
      <c r="J98" s="27"/>
    </row>
    <row r="99" customFormat="false" ht="15" hidden="false" customHeight="false" outlineLevel="0" collapsed="false">
      <c r="B99" s="63"/>
      <c r="C99" s="64"/>
      <c r="D99" s="64"/>
      <c r="E99" s="65"/>
      <c r="F99" s="65"/>
      <c r="G99" s="64"/>
      <c r="H99" s="64"/>
      <c r="I99" s="64"/>
      <c r="J99" s="27"/>
    </row>
    <row r="100" customFormat="false" ht="15" hidden="false" customHeight="false" outlineLevel="0" collapsed="false">
      <c r="B100" s="63"/>
      <c r="C100" s="64"/>
      <c r="D100" s="64"/>
      <c r="E100" s="65"/>
      <c r="F100" s="65"/>
      <c r="G100" s="64"/>
      <c r="H100" s="64"/>
      <c r="I100" s="64"/>
      <c r="J100" s="27"/>
    </row>
    <row r="101" customFormat="false" ht="15" hidden="false" customHeight="false" outlineLevel="0" collapsed="false">
      <c r="B101" s="63"/>
      <c r="C101" s="64"/>
      <c r="D101" s="64"/>
      <c r="E101" s="65"/>
      <c r="F101" s="65"/>
      <c r="G101" s="64"/>
      <c r="H101" s="64"/>
      <c r="I101" s="64"/>
      <c r="J101" s="27"/>
    </row>
    <row r="102" customFormat="false" ht="15" hidden="false" customHeight="false" outlineLevel="0" collapsed="false">
      <c r="B102" s="63"/>
      <c r="C102" s="64"/>
      <c r="D102" s="64"/>
      <c r="E102" s="65"/>
      <c r="F102" s="65"/>
      <c r="G102" s="64"/>
      <c r="H102" s="64"/>
      <c r="I102" s="64"/>
      <c r="J102" s="27"/>
    </row>
    <row r="103" customFormat="false" ht="15" hidden="false" customHeight="false" outlineLevel="0" collapsed="false">
      <c r="B103" s="63"/>
      <c r="C103" s="64"/>
      <c r="D103" s="64"/>
      <c r="E103" s="65"/>
      <c r="F103" s="65"/>
      <c r="G103" s="64"/>
      <c r="H103" s="64"/>
      <c r="I103" s="64"/>
      <c r="J103" s="27"/>
    </row>
    <row r="104" customFormat="false" ht="15" hidden="false" customHeight="false" outlineLevel="0" collapsed="false">
      <c r="B104" s="63"/>
      <c r="C104" s="64"/>
      <c r="D104" s="64"/>
      <c r="E104" s="65"/>
      <c r="F104" s="65"/>
      <c r="G104" s="64"/>
      <c r="H104" s="64"/>
      <c r="I104" s="64"/>
      <c r="J104" s="27"/>
    </row>
    <row r="105" customFormat="false" ht="15" hidden="false" customHeight="false" outlineLevel="0" collapsed="false">
      <c r="B105" s="63"/>
      <c r="C105" s="64"/>
      <c r="D105" s="64"/>
      <c r="E105" s="65"/>
      <c r="F105" s="65"/>
      <c r="G105" s="64"/>
      <c r="H105" s="64"/>
      <c r="I105" s="64"/>
      <c r="J105" s="27"/>
    </row>
    <row r="106" customFormat="false" ht="15" hidden="false" customHeight="false" outlineLevel="0" collapsed="false">
      <c r="B106" s="63"/>
      <c r="C106" s="64"/>
      <c r="D106" s="64"/>
      <c r="E106" s="65"/>
      <c r="F106" s="65"/>
      <c r="G106" s="64"/>
      <c r="H106" s="64"/>
      <c r="I106" s="64"/>
      <c r="J106" s="27"/>
    </row>
    <row r="107" customFormat="false" ht="15" hidden="false" customHeight="false" outlineLevel="0" collapsed="false">
      <c r="B107" s="63"/>
      <c r="C107" s="64"/>
      <c r="D107" s="64"/>
      <c r="E107" s="65"/>
      <c r="F107" s="65"/>
      <c r="G107" s="64"/>
      <c r="H107" s="64"/>
      <c r="I107" s="64"/>
      <c r="J107" s="27"/>
    </row>
    <row r="108" customFormat="false" ht="15" hidden="false" customHeight="false" outlineLevel="0" collapsed="false">
      <c r="B108" s="63"/>
      <c r="C108" s="64"/>
      <c r="D108" s="64"/>
      <c r="E108" s="65"/>
      <c r="F108" s="65"/>
      <c r="G108" s="64"/>
      <c r="H108" s="64"/>
      <c r="I108" s="64"/>
      <c r="J108" s="27"/>
    </row>
    <row r="109" customFormat="false" ht="15" hidden="false" customHeight="false" outlineLevel="0" collapsed="false">
      <c r="B109" s="63"/>
      <c r="C109" s="64"/>
      <c r="D109" s="64"/>
      <c r="E109" s="65"/>
      <c r="F109" s="65"/>
      <c r="G109" s="64"/>
      <c r="H109" s="64"/>
      <c r="I109" s="64"/>
      <c r="J109" s="27"/>
    </row>
    <row r="110" customFormat="false" ht="15" hidden="false" customHeight="false" outlineLevel="0" collapsed="false">
      <c r="B110" s="63"/>
      <c r="C110" s="64"/>
      <c r="D110" s="64"/>
      <c r="E110" s="65"/>
      <c r="F110" s="65"/>
      <c r="G110" s="64"/>
      <c r="H110" s="64"/>
      <c r="I110" s="64"/>
      <c r="J110" s="27"/>
    </row>
    <row r="111" customFormat="false" ht="15" hidden="false" customHeight="false" outlineLevel="0" collapsed="false">
      <c r="B111" s="63"/>
      <c r="C111" s="64"/>
      <c r="D111" s="64"/>
      <c r="E111" s="65"/>
      <c r="F111" s="65"/>
      <c r="G111" s="64"/>
      <c r="H111" s="64"/>
      <c r="I111" s="64"/>
      <c r="J111" s="27"/>
    </row>
    <row r="112" customFormat="false" ht="15" hidden="false" customHeight="false" outlineLevel="0" collapsed="false">
      <c r="B112" s="63"/>
      <c r="C112" s="64"/>
      <c r="D112" s="64"/>
      <c r="E112" s="65"/>
      <c r="F112" s="65"/>
      <c r="G112" s="64"/>
      <c r="H112" s="64"/>
      <c r="I112" s="64"/>
      <c r="J112" s="27"/>
    </row>
    <row r="113" customFormat="false" ht="15" hidden="false" customHeight="false" outlineLevel="0" collapsed="false">
      <c r="B113" s="63"/>
      <c r="C113" s="64"/>
      <c r="D113" s="64"/>
      <c r="E113" s="65"/>
      <c r="F113" s="65"/>
      <c r="G113" s="64"/>
      <c r="H113" s="64"/>
      <c r="I113" s="64"/>
      <c r="J113" s="27"/>
    </row>
    <row r="114" customFormat="false" ht="15" hidden="false" customHeight="false" outlineLevel="0" collapsed="false">
      <c r="B114" s="63"/>
      <c r="C114" s="64"/>
      <c r="D114" s="64"/>
      <c r="E114" s="65"/>
      <c r="F114" s="65"/>
      <c r="G114" s="64"/>
      <c r="H114" s="64"/>
      <c r="I114" s="64"/>
      <c r="J114" s="27"/>
    </row>
    <row r="115" customFormat="false" ht="15" hidden="false" customHeight="false" outlineLevel="0" collapsed="false">
      <c r="B115" s="63"/>
      <c r="C115" s="64"/>
      <c r="D115" s="64"/>
      <c r="E115" s="65"/>
      <c r="F115" s="65"/>
      <c r="G115" s="64"/>
      <c r="H115" s="64"/>
      <c r="I115" s="64"/>
      <c r="J115" s="27"/>
    </row>
    <row r="116" customFormat="false" ht="15" hidden="false" customHeight="false" outlineLevel="0" collapsed="false">
      <c r="B116" s="63"/>
      <c r="C116" s="64"/>
      <c r="D116" s="64"/>
      <c r="E116" s="65"/>
      <c r="F116" s="65"/>
      <c r="G116" s="64"/>
      <c r="H116" s="64"/>
      <c r="I116" s="64"/>
      <c r="J116" s="27"/>
    </row>
    <row r="117" customFormat="false" ht="15" hidden="false" customHeight="false" outlineLevel="0" collapsed="false">
      <c r="B117" s="63"/>
      <c r="C117" s="64"/>
      <c r="D117" s="64"/>
      <c r="E117" s="65"/>
      <c r="F117" s="65"/>
      <c r="G117" s="64"/>
      <c r="H117" s="64"/>
      <c r="I117" s="64"/>
      <c r="J117" s="27"/>
    </row>
    <row r="118" customFormat="false" ht="15" hidden="false" customHeight="false" outlineLevel="0" collapsed="false">
      <c r="B118" s="63"/>
      <c r="C118" s="64"/>
      <c r="D118" s="64"/>
      <c r="E118" s="65"/>
      <c r="F118" s="65"/>
      <c r="G118" s="64"/>
      <c r="H118" s="64"/>
      <c r="I118" s="64"/>
      <c r="J118" s="27"/>
    </row>
    <row r="119" customFormat="false" ht="15" hidden="false" customHeight="false" outlineLevel="0" collapsed="false">
      <c r="B119" s="63"/>
      <c r="C119" s="64"/>
      <c r="D119" s="64"/>
      <c r="E119" s="65"/>
      <c r="F119" s="65"/>
      <c r="G119" s="64"/>
      <c r="H119" s="64"/>
      <c r="I119" s="64"/>
      <c r="J119" s="27"/>
    </row>
    <row r="120" customFormat="false" ht="15" hidden="false" customHeight="false" outlineLevel="0" collapsed="false">
      <c r="B120" s="63"/>
      <c r="C120" s="64"/>
      <c r="D120" s="64"/>
      <c r="E120" s="65"/>
      <c r="F120" s="65"/>
      <c r="G120" s="64"/>
      <c r="H120" s="64"/>
      <c r="I120" s="64"/>
      <c r="J120" s="27"/>
    </row>
    <row r="121" customFormat="false" ht="15" hidden="false" customHeight="false" outlineLevel="0" collapsed="false">
      <c r="B121" s="63"/>
      <c r="C121" s="64"/>
      <c r="D121" s="64"/>
      <c r="E121" s="65"/>
      <c r="F121" s="65"/>
      <c r="G121" s="64"/>
      <c r="H121" s="64"/>
      <c r="I121" s="64"/>
      <c r="J121" s="27"/>
    </row>
    <row r="122" customFormat="false" ht="15" hidden="false" customHeight="false" outlineLevel="0" collapsed="false">
      <c r="B122" s="63"/>
      <c r="C122" s="64"/>
      <c r="D122" s="64"/>
      <c r="E122" s="65"/>
      <c r="F122" s="65"/>
      <c r="G122" s="64"/>
      <c r="H122" s="64"/>
      <c r="I122" s="64"/>
      <c r="J122" s="27"/>
    </row>
    <row r="123" customFormat="false" ht="15" hidden="false" customHeight="false" outlineLevel="0" collapsed="false">
      <c r="B123" s="63"/>
      <c r="C123" s="64"/>
      <c r="D123" s="64"/>
      <c r="E123" s="65"/>
      <c r="F123" s="65"/>
      <c r="G123" s="64"/>
      <c r="H123" s="64"/>
      <c r="I123" s="64"/>
      <c r="J123" s="27"/>
    </row>
    <row r="124" customFormat="false" ht="15" hidden="false" customHeight="false" outlineLevel="0" collapsed="false">
      <c r="B124" s="63"/>
      <c r="C124" s="64"/>
      <c r="D124" s="64"/>
      <c r="E124" s="65"/>
      <c r="F124" s="65"/>
      <c r="G124" s="64"/>
      <c r="H124" s="64"/>
      <c r="I124" s="64"/>
      <c r="J124" s="27"/>
    </row>
    <row r="125" customFormat="false" ht="15" hidden="false" customHeight="false" outlineLevel="0" collapsed="false">
      <c r="B125" s="63"/>
      <c r="C125" s="64"/>
      <c r="D125" s="64"/>
      <c r="E125" s="65"/>
      <c r="F125" s="65"/>
      <c r="G125" s="64"/>
      <c r="H125" s="64"/>
      <c r="I125" s="64"/>
      <c r="J125" s="27"/>
    </row>
    <row r="126" customFormat="false" ht="15" hidden="false" customHeight="false" outlineLevel="0" collapsed="false">
      <c r="B126" s="63"/>
      <c r="C126" s="64"/>
      <c r="D126" s="64"/>
      <c r="E126" s="65"/>
      <c r="F126" s="65"/>
      <c r="G126" s="64"/>
      <c r="H126" s="64"/>
      <c r="I126" s="64"/>
      <c r="J126" s="27"/>
    </row>
    <row r="127" customFormat="false" ht="15" hidden="false" customHeight="false" outlineLevel="0" collapsed="false">
      <c r="B127" s="63"/>
      <c r="C127" s="64"/>
      <c r="D127" s="64"/>
      <c r="E127" s="65"/>
      <c r="F127" s="65"/>
      <c r="G127" s="64"/>
      <c r="H127" s="64"/>
      <c r="I127" s="64"/>
      <c r="J127" s="27"/>
    </row>
    <row r="128" customFormat="false" ht="15" hidden="false" customHeight="false" outlineLevel="0" collapsed="false">
      <c r="B128" s="63"/>
      <c r="C128" s="64"/>
      <c r="D128" s="64"/>
      <c r="E128" s="65"/>
      <c r="F128" s="65"/>
      <c r="G128" s="64"/>
      <c r="H128" s="64"/>
      <c r="I128" s="64"/>
      <c r="J128" s="27"/>
    </row>
    <row r="129" customFormat="false" ht="15" hidden="false" customHeight="false" outlineLevel="0" collapsed="false">
      <c r="B129" s="63"/>
      <c r="C129" s="64"/>
      <c r="D129" s="64"/>
      <c r="E129" s="65"/>
      <c r="F129" s="65"/>
      <c r="G129" s="64"/>
      <c r="H129" s="64"/>
      <c r="I129" s="64"/>
      <c r="J129" s="27"/>
    </row>
    <row r="130" customFormat="false" ht="15" hidden="false" customHeight="false" outlineLevel="0" collapsed="false">
      <c r="B130" s="63"/>
      <c r="C130" s="64"/>
      <c r="D130" s="64"/>
      <c r="E130" s="65"/>
      <c r="F130" s="65"/>
      <c r="G130" s="64"/>
      <c r="H130" s="64"/>
      <c r="I130" s="64"/>
      <c r="J130" s="27"/>
    </row>
    <row r="131" customFormat="false" ht="15" hidden="false" customHeight="false" outlineLevel="0" collapsed="false">
      <c r="B131" s="63"/>
      <c r="C131" s="64"/>
      <c r="D131" s="64"/>
      <c r="E131" s="65"/>
      <c r="F131" s="65"/>
      <c r="G131" s="64"/>
      <c r="H131" s="64"/>
      <c r="I131" s="64"/>
      <c r="J131" s="27"/>
    </row>
    <row r="132" customFormat="false" ht="15" hidden="false" customHeight="false" outlineLevel="0" collapsed="false">
      <c r="B132" s="63"/>
      <c r="C132" s="64"/>
      <c r="D132" s="64"/>
      <c r="E132" s="65"/>
      <c r="F132" s="65"/>
      <c r="G132" s="64"/>
      <c r="H132" s="64"/>
      <c r="I132" s="64"/>
      <c r="J132" s="27"/>
    </row>
    <row r="133" customFormat="false" ht="15" hidden="false" customHeight="false" outlineLevel="0" collapsed="false">
      <c r="B133" s="63"/>
      <c r="C133" s="64"/>
      <c r="D133" s="64"/>
      <c r="E133" s="65"/>
      <c r="F133" s="65"/>
      <c r="G133" s="64"/>
      <c r="H133" s="64"/>
      <c r="I133" s="64"/>
      <c r="J133" s="27"/>
    </row>
    <row r="134" customFormat="false" ht="15" hidden="false" customHeight="false" outlineLevel="0" collapsed="false">
      <c r="B134" s="63"/>
      <c r="C134" s="64"/>
      <c r="D134" s="64"/>
      <c r="E134" s="65"/>
      <c r="F134" s="65"/>
      <c r="G134" s="64"/>
      <c r="H134" s="64"/>
      <c r="I134" s="64"/>
      <c r="J134" s="27"/>
    </row>
    <row r="135" customFormat="false" ht="15" hidden="false" customHeight="false" outlineLevel="0" collapsed="false">
      <c r="B135" s="63"/>
      <c r="C135" s="64"/>
      <c r="D135" s="64"/>
      <c r="E135" s="65"/>
      <c r="F135" s="65"/>
      <c r="G135" s="64"/>
      <c r="H135" s="64"/>
      <c r="I135" s="64"/>
      <c r="J135" s="27"/>
    </row>
    <row r="136" customFormat="false" ht="15" hidden="false" customHeight="false" outlineLevel="0" collapsed="false">
      <c r="B136" s="63"/>
      <c r="C136" s="64"/>
      <c r="D136" s="64"/>
      <c r="E136" s="65"/>
      <c r="F136" s="65"/>
      <c r="G136" s="64"/>
      <c r="H136" s="64"/>
      <c r="I136" s="64"/>
      <c r="J136" s="27"/>
    </row>
    <row r="137" customFormat="false" ht="15" hidden="false" customHeight="false" outlineLevel="0" collapsed="false">
      <c r="B137" s="63"/>
      <c r="C137" s="64"/>
      <c r="D137" s="64"/>
      <c r="E137" s="65"/>
      <c r="F137" s="65"/>
      <c r="G137" s="64"/>
      <c r="H137" s="64"/>
      <c r="I137" s="64"/>
      <c r="J137" s="27"/>
    </row>
    <row r="138" customFormat="false" ht="15" hidden="false" customHeight="false" outlineLevel="0" collapsed="false">
      <c r="B138" s="63"/>
      <c r="C138" s="64"/>
      <c r="D138" s="64"/>
      <c r="E138" s="65"/>
      <c r="F138" s="65"/>
      <c r="G138" s="64"/>
      <c r="H138" s="64"/>
      <c r="I138" s="64"/>
      <c r="J138" s="27"/>
    </row>
    <row r="139" customFormat="false" ht="15" hidden="false" customHeight="false" outlineLevel="0" collapsed="false">
      <c r="B139" s="63"/>
      <c r="C139" s="64"/>
      <c r="D139" s="64"/>
      <c r="E139" s="65"/>
      <c r="F139" s="65"/>
      <c r="G139" s="64"/>
      <c r="H139" s="64"/>
      <c r="I139" s="64"/>
      <c r="J139" s="27"/>
    </row>
    <row r="140" customFormat="false" ht="15" hidden="false" customHeight="false" outlineLevel="0" collapsed="false">
      <c r="B140" s="63"/>
      <c r="C140" s="64"/>
      <c r="D140" s="64"/>
      <c r="E140" s="65"/>
      <c r="F140" s="65"/>
      <c r="G140" s="64"/>
      <c r="H140" s="64"/>
      <c r="I140" s="64"/>
      <c r="J140" s="27"/>
    </row>
    <row r="141" customFormat="false" ht="15" hidden="false" customHeight="false" outlineLevel="0" collapsed="false">
      <c r="B141" s="63"/>
      <c r="C141" s="64"/>
      <c r="D141" s="64"/>
      <c r="E141" s="65"/>
      <c r="F141" s="65"/>
      <c r="G141" s="64"/>
      <c r="H141" s="64"/>
      <c r="I141" s="64"/>
      <c r="J141" s="27"/>
    </row>
    <row r="142" customFormat="false" ht="15" hidden="false" customHeight="false" outlineLevel="0" collapsed="false">
      <c r="B142" s="63"/>
      <c r="C142" s="64"/>
      <c r="D142" s="64"/>
      <c r="E142" s="65"/>
      <c r="F142" s="65"/>
      <c r="G142" s="64"/>
      <c r="H142" s="64"/>
      <c r="I142" s="64"/>
      <c r="J142" s="27"/>
    </row>
    <row r="143" customFormat="false" ht="15" hidden="false" customHeight="false" outlineLevel="0" collapsed="false">
      <c r="B143" s="63"/>
      <c r="C143" s="64"/>
      <c r="D143" s="64"/>
      <c r="E143" s="65"/>
      <c r="F143" s="65"/>
      <c r="G143" s="64"/>
      <c r="H143" s="64"/>
      <c r="I143" s="64"/>
      <c r="J143" s="27"/>
    </row>
    <row r="144" customFormat="false" ht="15" hidden="false" customHeight="false" outlineLevel="0" collapsed="false">
      <c r="B144" s="63"/>
      <c r="C144" s="64"/>
      <c r="D144" s="64"/>
      <c r="E144" s="65"/>
      <c r="F144" s="65"/>
      <c r="G144" s="64"/>
      <c r="H144" s="64"/>
      <c r="I144" s="64"/>
      <c r="J144" s="27"/>
    </row>
    <row r="145" customFormat="false" ht="15" hidden="false" customHeight="false" outlineLevel="0" collapsed="false">
      <c r="B145" s="63"/>
      <c r="C145" s="64"/>
      <c r="D145" s="64"/>
      <c r="E145" s="65"/>
      <c r="F145" s="65"/>
      <c r="G145" s="64"/>
      <c r="H145" s="64"/>
      <c r="I145" s="64"/>
      <c r="J145" s="27"/>
    </row>
    <row r="146" customFormat="false" ht="15" hidden="false" customHeight="false" outlineLevel="0" collapsed="false">
      <c r="B146" s="63"/>
      <c r="C146" s="64"/>
      <c r="D146" s="64"/>
      <c r="E146" s="65"/>
      <c r="F146" s="65"/>
      <c r="G146" s="64"/>
      <c r="H146" s="64"/>
      <c r="I146" s="64"/>
      <c r="J146" s="27"/>
    </row>
    <row r="147" customFormat="false" ht="15" hidden="false" customHeight="false" outlineLevel="0" collapsed="false">
      <c r="B147" s="63"/>
      <c r="C147" s="64"/>
      <c r="D147" s="64"/>
      <c r="E147" s="65"/>
      <c r="F147" s="65"/>
      <c r="G147" s="64"/>
      <c r="H147" s="64"/>
      <c r="I147" s="64"/>
      <c r="J147" s="27"/>
    </row>
    <row r="148" customFormat="false" ht="15" hidden="false" customHeight="false" outlineLevel="0" collapsed="false">
      <c r="B148" s="63"/>
      <c r="C148" s="64"/>
      <c r="D148" s="64"/>
      <c r="E148" s="65"/>
      <c r="F148" s="65"/>
      <c r="G148" s="64"/>
      <c r="H148" s="64"/>
      <c r="I148" s="64"/>
      <c r="J148" s="27"/>
    </row>
    <row r="149" customFormat="false" ht="15" hidden="false" customHeight="false" outlineLevel="0" collapsed="false">
      <c r="B149" s="63"/>
      <c r="C149" s="64"/>
      <c r="D149" s="64"/>
      <c r="E149" s="65"/>
      <c r="F149" s="65"/>
      <c r="G149" s="64"/>
      <c r="H149" s="64"/>
      <c r="I149" s="64"/>
      <c r="J149" s="27"/>
    </row>
    <row r="150" customFormat="false" ht="15" hidden="false" customHeight="false" outlineLevel="0" collapsed="false">
      <c r="B150" s="63"/>
      <c r="C150" s="64"/>
      <c r="D150" s="64"/>
      <c r="E150" s="65"/>
      <c r="F150" s="65"/>
      <c r="G150" s="64"/>
      <c r="H150" s="64"/>
      <c r="I150" s="64"/>
      <c r="J150" s="27"/>
    </row>
    <row r="151" customFormat="false" ht="15" hidden="false" customHeight="false" outlineLevel="0" collapsed="false">
      <c r="B151" s="63"/>
      <c r="C151" s="64"/>
      <c r="D151" s="64"/>
      <c r="E151" s="65"/>
      <c r="F151" s="65"/>
      <c r="G151" s="64"/>
      <c r="H151" s="64"/>
      <c r="I151" s="64"/>
      <c r="J151" s="27"/>
    </row>
    <row r="152" customFormat="false" ht="15" hidden="false" customHeight="false" outlineLevel="0" collapsed="false">
      <c r="B152" s="63"/>
      <c r="C152" s="64"/>
      <c r="D152" s="64"/>
      <c r="E152" s="65"/>
      <c r="F152" s="65"/>
      <c r="G152" s="64"/>
      <c r="H152" s="64"/>
      <c r="I152" s="64"/>
      <c r="J152" s="27"/>
    </row>
    <row r="153" customFormat="false" ht="15" hidden="false" customHeight="false" outlineLevel="0" collapsed="false">
      <c r="B153" s="63"/>
      <c r="C153" s="64"/>
      <c r="D153" s="64"/>
      <c r="E153" s="65"/>
      <c r="F153" s="65"/>
      <c r="G153" s="64"/>
      <c r="H153" s="64"/>
      <c r="I153" s="64"/>
      <c r="J153" s="27"/>
    </row>
    <row r="154" customFormat="false" ht="15" hidden="false" customHeight="false" outlineLevel="0" collapsed="false">
      <c r="B154" s="63"/>
      <c r="C154" s="64"/>
      <c r="D154" s="64"/>
      <c r="E154" s="65"/>
      <c r="F154" s="65"/>
      <c r="G154" s="64"/>
      <c r="H154" s="64"/>
      <c r="I154" s="64"/>
      <c r="J154" s="27"/>
    </row>
    <row r="155" customFormat="false" ht="15" hidden="false" customHeight="false" outlineLevel="0" collapsed="false">
      <c r="B155" s="63"/>
      <c r="C155" s="64"/>
      <c r="D155" s="64"/>
      <c r="E155" s="65"/>
      <c r="F155" s="65"/>
      <c r="G155" s="64"/>
      <c r="H155" s="64"/>
      <c r="I155" s="64"/>
      <c r="J155" s="27"/>
    </row>
    <row r="156" customFormat="false" ht="15" hidden="false" customHeight="false" outlineLevel="0" collapsed="false">
      <c r="B156" s="63"/>
      <c r="C156" s="64"/>
      <c r="D156" s="64"/>
      <c r="E156" s="65"/>
      <c r="F156" s="65"/>
      <c r="G156" s="64"/>
      <c r="H156" s="64"/>
      <c r="I156" s="64"/>
      <c r="J156" s="27"/>
    </row>
    <row r="157" customFormat="false" ht="15" hidden="false" customHeight="false" outlineLevel="0" collapsed="false">
      <c r="B157" s="63"/>
      <c r="C157" s="64"/>
      <c r="D157" s="64"/>
      <c r="E157" s="65"/>
      <c r="F157" s="65"/>
      <c r="G157" s="64"/>
      <c r="H157" s="64"/>
      <c r="I157" s="64"/>
      <c r="J157" s="27"/>
    </row>
    <row r="158" customFormat="false" ht="15" hidden="false" customHeight="false" outlineLevel="0" collapsed="false">
      <c r="B158" s="63"/>
      <c r="C158" s="64"/>
      <c r="D158" s="64"/>
      <c r="E158" s="65"/>
      <c r="F158" s="65"/>
      <c r="G158" s="64"/>
      <c r="H158" s="64"/>
      <c r="I158" s="64"/>
      <c r="J158" s="27"/>
    </row>
    <row r="159" customFormat="false" ht="15" hidden="false" customHeight="false" outlineLevel="0" collapsed="false">
      <c r="B159" s="63"/>
      <c r="C159" s="64"/>
      <c r="D159" s="64"/>
      <c r="E159" s="65"/>
      <c r="F159" s="65"/>
      <c r="G159" s="64"/>
      <c r="H159" s="64"/>
      <c r="I159" s="64"/>
      <c r="J159" s="27"/>
    </row>
    <row r="160" customFormat="false" ht="15" hidden="false" customHeight="false" outlineLevel="0" collapsed="false">
      <c r="B160" s="63"/>
      <c r="C160" s="64"/>
      <c r="D160" s="64"/>
      <c r="E160" s="65"/>
      <c r="F160" s="65"/>
      <c r="G160" s="64"/>
      <c r="H160" s="64"/>
      <c r="I160" s="64"/>
      <c r="J160" s="27"/>
    </row>
    <row r="161" customFormat="false" ht="15" hidden="false" customHeight="false" outlineLevel="0" collapsed="false">
      <c r="B161" s="63"/>
      <c r="C161" s="64"/>
      <c r="D161" s="64"/>
      <c r="E161" s="65"/>
      <c r="F161" s="65"/>
      <c r="G161" s="64"/>
      <c r="H161" s="64"/>
      <c r="I161" s="64"/>
      <c r="J161" s="27"/>
    </row>
    <row r="162" customFormat="false" ht="15" hidden="false" customHeight="false" outlineLevel="0" collapsed="false">
      <c r="B162" s="63"/>
      <c r="C162" s="64"/>
      <c r="D162" s="64"/>
      <c r="E162" s="65"/>
      <c r="F162" s="65"/>
      <c r="G162" s="64"/>
      <c r="H162" s="64"/>
      <c r="I162" s="64"/>
      <c r="J162" s="27"/>
    </row>
    <row r="163" customFormat="false" ht="15" hidden="false" customHeight="false" outlineLevel="0" collapsed="false">
      <c r="B163" s="63"/>
      <c r="C163" s="64"/>
      <c r="D163" s="64"/>
      <c r="E163" s="65"/>
      <c r="F163" s="65"/>
      <c r="G163" s="64"/>
      <c r="H163" s="64"/>
      <c r="I163" s="64"/>
      <c r="J163" s="27"/>
    </row>
    <row r="164" customFormat="false" ht="15" hidden="false" customHeight="false" outlineLevel="0" collapsed="false">
      <c r="B164" s="63"/>
      <c r="C164" s="64"/>
      <c r="D164" s="64"/>
      <c r="E164" s="65"/>
      <c r="F164" s="65"/>
      <c r="G164" s="64"/>
      <c r="H164" s="64"/>
      <c r="I164" s="64"/>
      <c r="J164" s="27"/>
    </row>
    <row r="165" customFormat="false" ht="15" hidden="false" customHeight="false" outlineLevel="0" collapsed="false">
      <c r="B165" s="63"/>
      <c r="C165" s="64"/>
      <c r="D165" s="64"/>
      <c r="E165" s="65"/>
      <c r="F165" s="65"/>
      <c r="G165" s="64"/>
      <c r="H165" s="64"/>
      <c r="I165" s="64"/>
      <c r="J165" s="27"/>
    </row>
    <row r="166" customFormat="false" ht="15" hidden="false" customHeight="false" outlineLevel="0" collapsed="false">
      <c r="B166" s="63"/>
      <c r="C166" s="64"/>
      <c r="D166" s="64"/>
      <c r="E166" s="65"/>
      <c r="F166" s="65"/>
      <c r="G166" s="64"/>
      <c r="H166" s="64"/>
      <c r="I166" s="64"/>
      <c r="J166" s="27"/>
    </row>
    <row r="167" customFormat="false" ht="15" hidden="false" customHeight="false" outlineLevel="0" collapsed="false">
      <c r="B167" s="63"/>
      <c r="C167" s="64"/>
      <c r="D167" s="64"/>
      <c r="E167" s="65"/>
      <c r="F167" s="65"/>
      <c r="G167" s="64"/>
      <c r="H167" s="64"/>
      <c r="I167" s="64"/>
      <c r="J167" s="27"/>
    </row>
    <row r="168" customFormat="false" ht="15" hidden="false" customHeight="false" outlineLevel="0" collapsed="false">
      <c r="B168" s="63"/>
      <c r="C168" s="64"/>
      <c r="D168" s="64"/>
      <c r="E168" s="65"/>
      <c r="F168" s="65"/>
      <c r="G168" s="64"/>
      <c r="H168" s="64"/>
      <c r="I168" s="64"/>
      <c r="J168" s="27"/>
    </row>
    <row r="169" customFormat="false" ht="15" hidden="false" customHeight="false" outlineLevel="0" collapsed="false">
      <c r="B169" s="63"/>
      <c r="C169" s="64"/>
      <c r="D169" s="64"/>
      <c r="E169" s="65"/>
      <c r="F169" s="65"/>
      <c r="G169" s="64"/>
      <c r="H169" s="64"/>
      <c r="I169" s="64"/>
      <c r="J169" s="27"/>
    </row>
    <row r="170" customFormat="false" ht="15" hidden="false" customHeight="false" outlineLevel="0" collapsed="false">
      <c r="B170" s="63"/>
      <c r="C170" s="64"/>
      <c r="D170" s="64"/>
      <c r="E170" s="65"/>
      <c r="F170" s="65"/>
      <c r="G170" s="64"/>
      <c r="H170" s="64"/>
      <c r="I170" s="64"/>
      <c r="J170" s="27"/>
    </row>
    <row r="171" customFormat="false" ht="15" hidden="false" customHeight="false" outlineLevel="0" collapsed="false">
      <c r="B171" s="63"/>
      <c r="C171" s="64"/>
      <c r="D171" s="64"/>
      <c r="E171" s="65"/>
      <c r="F171" s="65"/>
      <c r="G171" s="64"/>
      <c r="H171" s="64"/>
      <c r="I171" s="64"/>
      <c r="J171" s="27"/>
    </row>
    <row r="172" customFormat="false" ht="15" hidden="false" customHeight="false" outlineLevel="0" collapsed="false">
      <c r="B172" s="63"/>
      <c r="C172" s="64"/>
      <c r="D172" s="64"/>
      <c r="E172" s="65"/>
      <c r="F172" s="65"/>
      <c r="G172" s="64"/>
      <c r="H172" s="64"/>
      <c r="I172" s="64"/>
      <c r="J172" s="27"/>
    </row>
    <row r="173" customFormat="false" ht="15" hidden="false" customHeight="false" outlineLevel="0" collapsed="false">
      <c r="B173" s="63"/>
      <c r="C173" s="64"/>
      <c r="D173" s="64"/>
      <c r="E173" s="65"/>
      <c r="F173" s="65"/>
      <c r="G173" s="64"/>
      <c r="H173" s="64"/>
      <c r="I173" s="64"/>
      <c r="J173" s="27"/>
    </row>
    <row r="174" customFormat="false" ht="15" hidden="false" customHeight="false" outlineLevel="0" collapsed="false">
      <c r="B174" s="63"/>
      <c r="C174" s="64"/>
      <c r="D174" s="64"/>
      <c r="E174" s="65"/>
      <c r="F174" s="65"/>
      <c r="G174" s="64"/>
      <c r="H174" s="64"/>
      <c r="I174" s="64"/>
      <c r="J174" s="27"/>
    </row>
    <row r="175" customFormat="false" ht="15" hidden="false" customHeight="false" outlineLevel="0" collapsed="false">
      <c r="B175" s="63"/>
      <c r="C175" s="64"/>
      <c r="D175" s="64"/>
      <c r="E175" s="65"/>
      <c r="F175" s="65"/>
      <c r="G175" s="64"/>
      <c r="H175" s="64"/>
      <c r="I175" s="64"/>
      <c r="J175" s="27"/>
    </row>
    <row r="176" customFormat="false" ht="15" hidden="false" customHeight="false" outlineLevel="0" collapsed="false">
      <c r="B176" s="63"/>
      <c r="C176" s="64"/>
      <c r="D176" s="64"/>
      <c r="E176" s="65"/>
      <c r="F176" s="65"/>
      <c r="G176" s="64"/>
      <c r="H176" s="64"/>
      <c r="I176" s="64"/>
      <c r="J176" s="27"/>
    </row>
    <row r="177" customFormat="false" ht="15" hidden="false" customHeight="false" outlineLevel="0" collapsed="false">
      <c r="B177" s="63"/>
      <c r="C177" s="64"/>
      <c r="D177" s="64"/>
      <c r="E177" s="65"/>
      <c r="F177" s="65"/>
      <c r="G177" s="64"/>
      <c r="H177" s="64"/>
      <c r="I177" s="64"/>
      <c r="J177" s="27"/>
    </row>
    <row r="178" customFormat="false" ht="15" hidden="false" customHeight="false" outlineLevel="0" collapsed="false">
      <c r="B178" s="63"/>
      <c r="C178" s="64"/>
      <c r="D178" s="64"/>
      <c r="E178" s="65"/>
      <c r="F178" s="65"/>
      <c r="G178" s="64"/>
      <c r="H178" s="64"/>
      <c r="I178" s="64"/>
      <c r="J178" s="27"/>
    </row>
    <row r="179" customFormat="false" ht="15" hidden="false" customHeight="false" outlineLevel="0" collapsed="false">
      <c r="B179" s="63"/>
      <c r="C179" s="64"/>
      <c r="D179" s="64"/>
      <c r="E179" s="65"/>
      <c r="F179" s="65"/>
      <c r="G179" s="64"/>
      <c r="H179" s="64"/>
      <c r="I179" s="64"/>
      <c r="J179" s="27"/>
    </row>
    <row r="180" customFormat="false" ht="15" hidden="false" customHeight="false" outlineLevel="0" collapsed="false">
      <c r="B180" s="63"/>
      <c r="C180" s="64"/>
      <c r="D180" s="64"/>
      <c r="E180" s="65"/>
      <c r="F180" s="65"/>
      <c r="G180" s="64"/>
      <c r="H180" s="64"/>
      <c r="I180" s="64"/>
      <c r="J180" s="27"/>
    </row>
    <row r="181" customFormat="false" ht="15" hidden="false" customHeight="false" outlineLevel="0" collapsed="false">
      <c r="B181" s="63"/>
      <c r="C181" s="64"/>
      <c r="D181" s="64"/>
      <c r="E181" s="65"/>
      <c r="F181" s="65"/>
      <c r="G181" s="64"/>
      <c r="H181" s="64"/>
      <c r="I181" s="64"/>
      <c r="J181" s="27"/>
    </row>
    <row r="182" customFormat="false" ht="15" hidden="false" customHeight="false" outlineLevel="0" collapsed="false">
      <c r="B182" s="63"/>
      <c r="C182" s="64"/>
      <c r="D182" s="64"/>
      <c r="E182" s="65"/>
      <c r="F182" s="65"/>
      <c r="G182" s="64"/>
      <c r="H182" s="64"/>
      <c r="I182" s="64"/>
      <c r="J182" s="27"/>
    </row>
    <row r="183" customFormat="false" ht="15" hidden="false" customHeight="false" outlineLevel="0" collapsed="false">
      <c r="B183" s="63"/>
      <c r="C183" s="64"/>
      <c r="D183" s="64"/>
      <c r="E183" s="65"/>
      <c r="F183" s="65"/>
      <c r="G183" s="64"/>
      <c r="H183" s="64"/>
      <c r="I183" s="64"/>
      <c r="J183" s="27"/>
    </row>
    <row r="184" customFormat="false" ht="15" hidden="false" customHeight="false" outlineLevel="0" collapsed="false">
      <c r="B184" s="63"/>
      <c r="C184" s="64"/>
      <c r="D184" s="64"/>
      <c r="E184" s="65"/>
      <c r="F184" s="65"/>
      <c r="G184" s="64"/>
      <c r="H184" s="64"/>
      <c r="I184" s="64"/>
      <c r="J184" s="27"/>
    </row>
    <row r="185" customFormat="false" ht="15" hidden="false" customHeight="false" outlineLevel="0" collapsed="false">
      <c r="B185" s="63"/>
      <c r="C185" s="64"/>
      <c r="D185" s="64"/>
      <c r="E185" s="65"/>
      <c r="F185" s="65"/>
      <c r="G185" s="64"/>
      <c r="H185" s="64"/>
      <c r="I185" s="64"/>
      <c r="J185" s="27"/>
    </row>
    <row r="186" customFormat="false" ht="15" hidden="false" customHeight="false" outlineLevel="0" collapsed="false">
      <c r="B186" s="63"/>
      <c r="C186" s="64"/>
      <c r="D186" s="64"/>
      <c r="E186" s="65"/>
      <c r="F186" s="65"/>
      <c r="G186" s="64"/>
      <c r="H186" s="64"/>
      <c r="I186" s="64"/>
      <c r="J186" s="27"/>
    </row>
    <row r="187" customFormat="false" ht="15" hidden="false" customHeight="false" outlineLevel="0" collapsed="false">
      <c r="B187" s="63"/>
      <c r="C187" s="64"/>
      <c r="D187" s="64"/>
      <c r="E187" s="65"/>
      <c r="F187" s="65"/>
      <c r="G187" s="64"/>
      <c r="H187" s="64"/>
      <c r="I187" s="64"/>
      <c r="J187" s="27"/>
    </row>
    <row r="188" customFormat="false" ht="15" hidden="false" customHeight="false" outlineLevel="0" collapsed="false">
      <c r="B188" s="63"/>
      <c r="C188" s="64"/>
      <c r="D188" s="64"/>
      <c r="E188" s="65"/>
      <c r="F188" s="65"/>
      <c r="G188" s="64"/>
      <c r="H188" s="64"/>
      <c r="I188" s="64"/>
      <c r="J188" s="27"/>
    </row>
    <row r="189" customFormat="false" ht="15" hidden="false" customHeight="false" outlineLevel="0" collapsed="false">
      <c r="B189" s="63"/>
      <c r="C189" s="64"/>
      <c r="D189" s="64"/>
      <c r="E189" s="65"/>
      <c r="F189" s="65"/>
      <c r="G189" s="64"/>
      <c r="H189" s="64"/>
      <c r="I189" s="64"/>
      <c r="J189" s="27"/>
    </row>
    <row r="190" customFormat="false" ht="15" hidden="false" customHeight="false" outlineLevel="0" collapsed="false">
      <c r="B190" s="63"/>
      <c r="C190" s="64"/>
      <c r="D190" s="64"/>
      <c r="E190" s="65"/>
      <c r="F190" s="65"/>
      <c r="G190" s="64"/>
      <c r="H190" s="64"/>
      <c r="I190" s="64"/>
      <c r="J190" s="27"/>
    </row>
    <row r="191" customFormat="false" ht="15" hidden="false" customHeight="false" outlineLevel="0" collapsed="false">
      <c r="B191" s="63"/>
      <c r="C191" s="64"/>
      <c r="D191" s="64"/>
      <c r="E191" s="65"/>
      <c r="F191" s="65"/>
      <c r="G191" s="64"/>
      <c r="H191" s="64"/>
      <c r="I191" s="64"/>
      <c r="J191" s="27"/>
    </row>
    <row r="192" customFormat="false" ht="15" hidden="false" customHeight="false" outlineLevel="0" collapsed="false">
      <c r="B192" s="63"/>
      <c r="C192" s="64"/>
      <c r="D192" s="64"/>
      <c r="E192" s="65"/>
      <c r="F192" s="65"/>
      <c r="G192" s="64"/>
      <c r="H192" s="64"/>
      <c r="I192" s="64"/>
      <c r="J192" s="27"/>
    </row>
    <row r="193" customFormat="false" ht="15" hidden="false" customHeight="false" outlineLevel="0" collapsed="false">
      <c r="B193" s="63"/>
      <c r="C193" s="64"/>
      <c r="D193" s="64"/>
      <c r="E193" s="65"/>
      <c r="F193" s="65"/>
      <c r="G193" s="64"/>
      <c r="H193" s="64"/>
      <c r="I193" s="64"/>
      <c r="J193" s="27"/>
    </row>
    <row r="194" customFormat="false" ht="15" hidden="false" customHeight="false" outlineLevel="0" collapsed="false">
      <c r="B194" s="63"/>
      <c r="C194" s="64"/>
      <c r="D194" s="64"/>
      <c r="E194" s="65"/>
      <c r="F194" s="65"/>
      <c r="G194" s="64"/>
      <c r="H194" s="64"/>
      <c r="I194" s="64"/>
      <c r="J194" s="27"/>
    </row>
    <row r="195" customFormat="false" ht="15" hidden="false" customHeight="false" outlineLevel="0" collapsed="false">
      <c r="B195" s="63"/>
      <c r="C195" s="64"/>
      <c r="D195" s="64"/>
      <c r="E195" s="65"/>
      <c r="F195" s="65"/>
      <c r="G195" s="64"/>
      <c r="H195" s="64"/>
      <c r="I195" s="64"/>
      <c r="J195" s="27"/>
    </row>
    <row r="196" customFormat="false" ht="15" hidden="false" customHeight="false" outlineLevel="0" collapsed="false">
      <c r="B196" s="63"/>
      <c r="C196" s="64"/>
      <c r="D196" s="64"/>
      <c r="E196" s="65"/>
      <c r="F196" s="65"/>
      <c r="G196" s="64"/>
      <c r="H196" s="64"/>
      <c r="I196" s="64"/>
      <c r="J196" s="27"/>
    </row>
    <row r="197" customFormat="false" ht="15" hidden="false" customHeight="false" outlineLevel="0" collapsed="false">
      <c r="B197" s="63"/>
      <c r="C197" s="64"/>
      <c r="D197" s="64"/>
      <c r="E197" s="65"/>
      <c r="F197" s="65"/>
      <c r="G197" s="64"/>
      <c r="H197" s="64"/>
      <c r="I197" s="64"/>
      <c r="J197" s="27"/>
    </row>
    <row r="198" customFormat="false" ht="15" hidden="false" customHeight="false" outlineLevel="0" collapsed="false">
      <c r="B198" s="63"/>
      <c r="C198" s="64"/>
      <c r="D198" s="64"/>
      <c r="E198" s="65"/>
      <c r="F198" s="65"/>
      <c r="G198" s="64"/>
      <c r="H198" s="64"/>
      <c r="I198" s="64"/>
      <c r="J198" s="27"/>
    </row>
    <row r="199" customFormat="false" ht="15" hidden="false" customHeight="false" outlineLevel="0" collapsed="false">
      <c r="B199" s="63"/>
      <c r="C199" s="64"/>
      <c r="D199" s="64"/>
      <c r="E199" s="65"/>
      <c r="F199" s="65"/>
      <c r="G199" s="64"/>
      <c r="H199" s="64"/>
      <c r="I199" s="64"/>
      <c r="J199" s="27"/>
    </row>
    <row r="200" customFormat="false" ht="15" hidden="false" customHeight="false" outlineLevel="0" collapsed="false">
      <c r="B200" s="63"/>
      <c r="C200" s="64"/>
      <c r="D200" s="64"/>
      <c r="E200" s="65"/>
      <c r="F200" s="65"/>
      <c r="G200" s="64"/>
      <c r="H200" s="64"/>
      <c r="I200" s="64"/>
      <c r="J200" s="27"/>
    </row>
    <row r="201" customFormat="false" ht="15" hidden="false" customHeight="false" outlineLevel="0" collapsed="false">
      <c r="B201" s="63"/>
      <c r="C201" s="64"/>
      <c r="D201" s="64"/>
      <c r="E201" s="65"/>
      <c r="F201" s="65"/>
      <c r="G201" s="64"/>
      <c r="H201" s="64"/>
      <c r="I201" s="64"/>
      <c r="J201" s="27"/>
    </row>
    <row r="202" customFormat="false" ht="15" hidden="false" customHeight="false" outlineLevel="0" collapsed="false">
      <c r="B202" s="63"/>
      <c r="C202" s="64"/>
      <c r="D202" s="64"/>
      <c r="E202" s="65"/>
      <c r="F202" s="65"/>
      <c r="G202" s="64"/>
      <c r="H202" s="64"/>
      <c r="I202" s="64"/>
      <c r="J202" s="27"/>
    </row>
    <row r="203" customFormat="false" ht="15" hidden="false" customHeight="false" outlineLevel="0" collapsed="false">
      <c r="B203" s="63"/>
      <c r="C203" s="64"/>
      <c r="D203" s="64"/>
      <c r="E203" s="65"/>
      <c r="F203" s="65"/>
      <c r="G203" s="64"/>
      <c r="H203" s="64"/>
      <c r="I203" s="64"/>
      <c r="J203" s="27"/>
    </row>
    <row r="204" customFormat="false" ht="15" hidden="false" customHeight="false" outlineLevel="0" collapsed="false">
      <c r="B204" s="63"/>
      <c r="C204" s="64"/>
      <c r="D204" s="64"/>
      <c r="E204" s="65"/>
      <c r="F204" s="65"/>
      <c r="G204" s="64"/>
      <c r="H204" s="64"/>
      <c r="I204" s="64"/>
      <c r="J204" s="27"/>
    </row>
  </sheetData>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00"/>
    <col collapsed="false" customWidth="true" hidden="false" outlineLevel="0" max="4" min="4" style="0" width="14"/>
  </cols>
  <sheetData>
    <row r="1" customFormat="false" ht="15" hidden="false" customHeight="false" outlineLevel="0" collapsed="false">
      <c r="B1" s="12" t="s">
        <v>24</v>
      </c>
    </row>
    <row r="2" customFormat="false" ht="22.05" hidden="false" customHeight="false" outlineLevel="0" collapsed="false">
      <c r="B2" s="13" t="s">
        <v>1747</v>
      </c>
    </row>
    <row r="3" customFormat="false" ht="15" hidden="false" customHeight="false" outlineLevel="0" collapsed="false">
      <c r="B3" s="14" t="s">
        <v>1748</v>
      </c>
    </row>
    <row r="5" customFormat="false" ht="16.15" hidden="false" customHeight="false" outlineLevel="0" collapsed="false">
      <c r="B5" s="5" t="s">
        <v>1749</v>
      </c>
    </row>
    <row r="6" customFormat="false" ht="30" hidden="false" customHeight="true" outlineLevel="0" collapsed="false">
      <c r="B6" s="15" t="s">
        <v>1750</v>
      </c>
      <c r="C6" s="15" t="s">
        <v>654</v>
      </c>
    </row>
    <row r="7" customFormat="false" ht="31.5" hidden="false" customHeight="true" outlineLevel="0" collapsed="false">
      <c r="B7" s="17" t="s">
        <v>1751</v>
      </c>
      <c r="C7" s="17" t="s">
        <v>1752</v>
      </c>
    </row>
    <row r="8" customFormat="false" ht="18" hidden="false" customHeight="true" outlineLevel="0" collapsed="false">
      <c r="B8" s="17" t="s">
        <v>1753</v>
      </c>
      <c r="C8" s="17" t="s">
        <v>1754</v>
      </c>
    </row>
    <row r="9" customFormat="false" ht="18" hidden="false" customHeight="true" outlineLevel="0" collapsed="false">
      <c r="B9" s="17" t="s">
        <v>1755</v>
      </c>
      <c r="C9" s="17" t="s">
        <v>1756</v>
      </c>
    </row>
    <row r="11" customFormat="false" ht="16.15" hidden="false" customHeight="false" outlineLevel="0" collapsed="false">
      <c r="B11" s="5" t="s">
        <v>1757</v>
      </c>
    </row>
    <row r="12" customFormat="false" ht="30" hidden="false" customHeight="true" outlineLevel="0" collapsed="false">
      <c r="B12" s="15" t="s">
        <v>98</v>
      </c>
      <c r="C12" s="15" t="s">
        <v>841</v>
      </c>
    </row>
    <row r="13" customFormat="false" ht="18" hidden="false" customHeight="true" outlineLevel="0" collapsed="false">
      <c r="B13" s="17" t="s">
        <v>20</v>
      </c>
      <c r="C13" s="17" t="s">
        <v>1758</v>
      </c>
    </row>
    <row r="14" customFormat="false" ht="18" hidden="false" customHeight="true" outlineLevel="0" collapsed="false">
      <c r="B14" s="17" t="s">
        <v>103</v>
      </c>
      <c r="C14" s="17" t="s">
        <v>1759</v>
      </c>
    </row>
    <row r="15" customFormat="false" ht="31.5" hidden="false" customHeight="true" outlineLevel="0" collapsed="false">
      <c r="B15" s="17" t="s">
        <v>106</v>
      </c>
      <c r="C15" s="17" t="s">
        <v>1760</v>
      </c>
    </row>
    <row r="16" customFormat="false" ht="18" hidden="false" customHeight="true" outlineLevel="0" collapsed="false">
      <c r="B16" s="17" t="s">
        <v>109</v>
      </c>
      <c r="C16" s="17" t="s">
        <v>1761</v>
      </c>
    </row>
    <row r="17" customFormat="false" ht="18" hidden="false" customHeight="true" outlineLevel="0" collapsed="false">
      <c r="B17" s="17" t="s">
        <v>112</v>
      </c>
      <c r="C17" s="17" t="s">
        <v>1762</v>
      </c>
    </row>
    <row r="18" customFormat="false" ht="18" hidden="false" customHeight="true" outlineLevel="0" collapsed="false">
      <c r="B18" s="17" t="s">
        <v>16</v>
      </c>
      <c r="C18" s="17" t="s">
        <v>1763</v>
      </c>
    </row>
    <row r="19" customFormat="false" ht="31.5" hidden="false" customHeight="true" outlineLevel="0" collapsed="false">
      <c r="B19" s="17" t="s">
        <v>117</v>
      </c>
      <c r="C19" s="17" t="s">
        <v>1764</v>
      </c>
    </row>
    <row r="21" customFormat="false" ht="16.15" hidden="false" customHeight="false" outlineLevel="0" collapsed="false">
      <c r="B21" s="5" t="s">
        <v>1765</v>
      </c>
    </row>
    <row r="22" customFormat="false" ht="30" hidden="false" customHeight="true" outlineLevel="0" collapsed="false">
      <c r="B22" s="15" t="s">
        <v>98</v>
      </c>
      <c r="C22" s="15" t="s">
        <v>841</v>
      </c>
    </row>
    <row r="23" customFormat="false" ht="31.5" hidden="false" customHeight="true" outlineLevel="0" collapsed="false">
      <c r="B23" s="17" t="s">
        <v>20</v>
      </c>
      <c r="C23" s="17" t="s">
        <v>1766</v>
      </c>
    </row>
    <row r="24" customFormat="false" ht="18" hidden="false" customHeight="true" outlineLevel="0" collapsed="false">
      <c r="B24" s="17" t="s">
        <v>103</v>
      </c>
      <c r="C24" s="17" t="s">
        <v>1767</v>
      </c>
    </row>
    <row r="25" customFormat="false" ht="18" hidden="false" customHeight="true" outlineLevel="0" collapsed="false">
      <c r="B25" s="17" t="s">
        <v>106</v>
      </c>
      <c r="C25" s="17" t="s">
        <v>1768</v>
      </c>
    </row>
    <row r="26" customFormat="false" ht="18" hidden="false" customHeight="true" outlineLevel="0" collapsed="false">
      <c r="B26" s="17" t="s">
        <v>109</v>
      </c>
      <c r="C26" s="17" t="s">
        <v>1769</v>
      </c>
    </row>
    <row r="27" customFormat="false" ht="18" hidden="false" customHeight="true" outlineLevel="0" collapsed="false">
      <c r="B27" s="17" t="s">
        <v>112</v>
      </c>
      <c r="C27" s="17" t="s">
        <v>1770</v>
      </c>
    </row>
    <row r="29" customFormat="false" ht="16.15" hidden="false" customHeight="false" outlineLevel="0" collapsed="false">
      <c r="B29" s="5" t="s">
        <v>1771</v>
      </c>
    </row>
    <row r="30" customFormat="false" ht="30" hidden="false" customHeight="true" outlineLevel="0" collapsed="false">
      <c r="B30" s="15"/>
      <c r="C30" s="15" t="s">
        <v>1772</v>
      </c>
    </row>
    <row r="31" customFormat="false" ht="18" hidden="false" customHeight="true" outlineLevel="0" collapsed="false">
      <c r="B31" s="17" t="s">
        <v>1773</v>
      </c>
      <c r="C31" s="17" t="s">
        <v>1774</v>
      </c>
    </row>
    <row r="32" customFormat="false" ht="18" hidden="false" customHeight="true" outlineLevel="0" collapsed="false">
      <c r="B32" s="17" t="s">
        <v>1775</v>
      </c>
      <c r="C32" s="17" t="s">
        <v>1776</v>
      </c>
    </row>
    <row r="33" customFormat="false" ht="31.5" hidden="false" customHeight="true" outlineLevel="0" collapsed="false">
      <c r="B33" s="17" t="s">
        <v>1777</v>
      </c>
      <c r="C33" s="17" t="s">
        <v>1778</v>
      </c>
    </row>
    <row r="34" customFormat="false" ht="31.5" hidden="false" customHeight="true" outlineLevel="0" collapsed="false">
      <c r="B34" s="17" t="s">
        <v>1779</v>
      </c>
      <c r="C34" s="17" t="s">
        <v>1780</v>
      </c>
    </row>
    <row r="35" customFormat="false" ht="18" hidden="false" customHeight="true" outlineLevel="0" collapsed="false">
      <c r="B35" s="17" t="s">
        <v>1781</v>
      </c>
      <c r="C35" s="17" t="s">
        <v>1782</v>
      </c>
    </row>
    <row r="36" customFormat="false" ht="18" hidden="false" customHeight="true" outlineLevel="0" collapsed="false">
      <c r="B36" s="17" t="s">
        <v>1783</v>
      </c>
      <c r="C36" s="17" t="s">
        <v>1784</v>
      </c>
    </row>
    <row r="38" customFormat="false" ht="16.15" hidden="false" customHeight="false" outlineLevel="0" collapsed="false">
      <c r="B38" s="5" t="s">
        <v>1785</v>
      </c>
    </row>
    <row r="39" customFormat="false" ht="30" hidden="false" customHeight="true" outlineLevel="0" collapsed="false">
      <c r="B39" s="15" t="s">
        <v>832</v>
      </c>
      <c r="C39" s="15"/>
      <c r="D39" s="15" t="s">
        <v>1539</v>
      </c>
    </row>
    <row r="40" customFormat="false" ht="18" hidden="false" customHeight="true" outlineLevel="0" collapsed="false">
      <c r="B40" s="17" t="s">
        <v>1786</v>
      </c>
      <c r="C40" s="17"/>
      <c r="D40" s="19"/>
    </row>
    <row r="41" customFormat="false" ht="18" hidden="false" customHeight="true" outlineLevel="0" collapsed="false">
      <c r="B41" s="17" t="s">
        <v>1787</v>
      </c>
      <c r="C41" s="17"/>
      <c r="D41" s="19"/>
    </row>
    <row r="42" customFormat="false" ht="18" hidden="false" customHeight="true" outlineLevel="0" collapsed="false">
      <c r="B42" s="17" t="s">
        <v>1788</v>
      </c>
      <c r="C42" s="17"/>
      <c r="D42" s="19"/>
    </row>
    <row r="43" customFormat="false" ht="18" hidden="false" customHeight="true" outlineLevel="0" collapsed="false">
      <c r="B43" s="17" t="s">
        <v>1789</v>
      </c>
      <c r="C43" s="17"/>
      <c r="D43" s="19"/>
    </row>
    <row r="44" customFormat="false" ht="18" hidden="false" customHeight="true" outlineLevel="0" collapsed="false">
      <c r="B44" s="17" t="s">
        <v>1790</v>
      </c>
      <c r="C44" s="17"/>
      <c r="D44" s="19"/>
    </row>
    <row r="45" customFormat="false" ht="18" hidden="false" customHeight="true" outlineLevel="0" collapsed="false">
      <c r="B45" s="17" t="s">
        <v>1791</v>
      </c>
      <c r="C45" s="17"/>
      <c r="D45" s="19"/>
    </row>
    <row r="46" customFormat="false" ht="18" hidden="false" customHeight="true" outlineLevel="0" collapsed="false">
      <c r="B46" s="17" t="s">
        <v>1792</v>
      </c>
      <c r="C46" s="17"/>
      <c r="D46" s="19"/>
    </row>
    <row r="47" customFormat="false" ht="18" hidden="false" customHeight="true" outlineLevel="0" collapsed="false">
      <c r="B47" s="17" t="s">
        <v>1793</v>
      </c>
      <c r="C47" s="17"/>
      <c r="D47" s="19"/>
    </row>
    <row r="49" customFormat="false" ht="16.15" hidden="false" customHeight="false" outlineLevel="0" collapsed="false">
      <c r="B49" s="5" t="s">
        <v>1794</v>
      </c>
    </row>
    <row r="50" customFormat="false" ht="30" hidden="false" customHeight="true" outlineLevel="0" collapsed="false">
      <c r="B50" s="15" t="s">
        <v>1795</v>
      </c>
      <c r="C50" s="15" t="s">
        <v>1796</v>
      </c>
    </row>
    <row r="51" customFormat="false" ht="18" hidden="false" customHeight="true" outlineLevel="0" collapsed="false">
      <c r="B51" s="17" t="s">
        <v>1797</v>
      </c>
      <c r="C51" s="17" t="s">
        <v>1798</v>
      </c>
    </row>
    <row r="52" customFormat="false" ht="18" hidden="false" customHeight="true" outlineLevel="0" collapsed="false">
      <c r="B52" s="17" t="s">
        <v>1799</v>
      </c>
      <c r="C52" s="17" t="s">
        <v>1800</v>
      </c>
    </row>
    <row r="53" customFormat="false" ht="18" hidden="false" customHeight="true" outlineLevel="0" collapsed="false">
      <c r="B53" s="17" t="s">
        <v>1801</v>
      </c>
      <c r="C53" s="17" t="s">
        <v>1802</v>
      </c>
    </row>
    <row r="54" customFormat="false" ht="18" hidden="false" customHeight="true" outlineLevel="0" collapsed="false">
      <c r="B54" s="17" t="s">
        <v>1803</v>
      </c>
      <c r="C54" s="17" t="s">
        <v>1804</v>
      </c>
    </row>
    <row r="55" customFormat="false" ht="18" hidden="false" customHeight="true" outlineLevel="0" collapsed="false">
      <c r="B55" s="17" t="s">
        <v>1805</v>
      </c>
      <c r="C55" s="17" t="s">
        <v>1806</v>
      </c>
    </row>
    <row r="56" customFormat="false" ht="18" hidden="false" customHeight="true" outlineLevel="0" collapsed="false">
      <c r="B56" s="17" t="s">
        <v>1807</v>
      </c>
      <c r="C56" s="17" t="s">
        <v>1808</v>
      </c>
    </row>
    <row r="57" customFormat="false" ht="31.5" hidden="false" customHeight="true" outlineLevel="0" collapsed="false">
      <c r="B57" s="17" t="s">
        <v>1809</v>
      </c>
      <c r="C57" s="17" t="s">
        <v>1810</v>
      </c>
    </row>
  </sheetData>
  <mergeCells count="9">
    <mergeCell ref="B39:C39"/>
    <mergeCell ref="B40:C40"/>
    <mergeCell ref="B41:C41"/>
    <mergeCell ref="B42:C42"/>
    <mergeCell ref="B43:C43"/>
    <mergeCell ref="B44:C44"/>
    <mergeCell ref="B45:C45"/>
    <mergeCell ref="B46:C46"/>
    <mergeCell ref="B47:C47"/>
  </mergeCells>
  <dataValidations count="1">
    <dataValidation allowBlank="true" errorStyle="stop" operator="between" showDropDown="false" showErrorMessage="false" showInputMessage="false" sqref="D40:D47" type="list">
      <formula1>"Y,N"</formula1>
      <formula2>0</formula2>
    </dataValidation>
  </dataValidation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52"/>
    <col collapsed="false" customWidth="true" hidden="false" outlineLevel="0" max="4" min="4" style="0" width="48"/>
  </cols>
  <sheetData>
    <row r="1" customFormat="false" ht="15" hidden="false" customHeight="false" outlineLevel="0" collapsed="false">
      <c r="B1" s="12" t="s">
        <v>24</v>
      </c>
    </row>
    <row r="2" customFormat="false" ht="22.05" hidden="false" customHeight="false" outlineLevel="0" collapsed="false">
      <c r="B2" s="13" t="s">
        <v>93</v>
      </c>
    </row>
    <row r="5" customFormat="false" ht="30" hidden="false" customHeight="true" outlineLevel="0" collapsed="false">
      <c r="B5" s="15" t="s">
        <v>1811</v>
      </c>
      <c r="C5" s="15" t="s">
        <v>129</v>
      </c>
      <c r="D5" s="15" t="s">
        <v>832</v>
      </c>
    </row>
    <row r="6" customFormat="false" ht="18" hidden="false" customHeight="true" outlineLevel="0" collapsed="false">
      <c r="B6" s="17" t="s">
        <v>1812</v>
      </c>
      <c r="C6" s="17" t="s">
        <v>1813</v>
      </c>
      <c r="D6" s="17" t="s">
        <v>1814</v>
      </c>
    </row>
    <row r="7" customFormat="false" ht="18" hidden="false" customHeight="true" outlineLevel="0" collapsed="false">
      <c r="B7" s="17" t="s">
        <v>1812</v>
      </c>
      <c r="C7" s="17" t="s">
        <v>1815</v>
      </c>
      <c r="D7" s="17" t="s">
        <v>1816</v>
      </c>
    </row>
    <row r="8" customFormat="false" ht="18" hidden="false" customHeight="true" outlineLevel="0" collapsed="false">
      <c r="B8" s="17" t="s">
        <v>1812</v>
      </c>
      <c r="C8" s="17" t="s">
        <v>1817</v>
      </c>
      <c r="D8" s="17" t="s">
        <v>1818</v>
      </c>
    </row>
    <row r="9" customFormat="false" ht="18" hidden="false" customHeight="true" outlineLevel="0" collapsed="false">
      <c r="B9" s="17" t="s">
        <v>1812</v>
      </c>
      <c r="C9" s="17" t="s">
        <v>1819</v>
      </c>
      <c r="D9" s="17" t="s">
        <v>1820</v>
      </c>
    </row>
    <row r="10" customFormat="false" ht="18" hidden="false" customHeight="true" outlineLevel="0" collapsed="false">
      <c r="B10" s="17" t="s">
        <v>1812</v>
      </c>
      <c r="C10" s="17" t="s">
        <v>1821</v>
      </c>
      <c r="D10" s="17" t="s">
        <v>1822</v>
      </c>
    </row>
    <row r="11" customFormat="false" ht="18" hidden="false" customHeight="true" outlineLevel="0" collapsed="false">
      <c r="B11" s="17" t="s">
        <v>1812</v>
      </c>
      <c r="C11" s="17" t="s">
        <v>1823</v>
      </c>
      <c r="D11" s="17" t="s">
        <v>1824</v>
      </c>
    </row>
    <row r="12" customFormat="false" ht="18" hidden="false" customHeight="true" outlineLevel="0" collapsed="false">
      <c r="B12" s="17" t="s">
        <v>1812</v>
      </c>
      <c r="C12" s="17" t="s">
        <v>1825</v>
      </c>
      <c r="D12" s="17" t="s">
        <v>1826</v>
      </c>
    </row>
    <row r="13" customFormat="false" ht="18" hidden="false" customHeight="true" outlineLevel="0" collapsed="false">
      <c r="B13" s="17" t="s">
        <v>1827</v>
      </c>
      <c r="C13" s="17" t="s">
        <v>1828</v>
      </c>
      <c r="D13" s="17" t="s">
        <v>1829</v>
      </c>
    </row>
    <row r="14" customFormat="false" ht="18" hidden="false" customHeight="true" outlineLevel="0" collapsed="false">
      <c r="B14" s="17" t="s">
        <v>1827</v>
      </c>
      <c r="C14" s="17" t="s">
        <v>1830</v>
      </c>
      <c r="D14" s="17" t="s">
        <v>1831</v>
      </c>
    </row>
    <row r="15" customFormat="false" ht="18" hidden="false" customHeight="true" outlineLevel="0" collapsed="false">
      <c r="B15" s="17" t="s">
        <v>1827</v>
      </c>
      <c r="C15" s="17" t="s">
        <v>1832</v>
      </c>
      <c r="D15" s="17" t="s">
        <v>1833</v>
      </c>
    </row>
    <row r="16" customFormat="false" ht="18" hidden="false" customHeight="true" outlineLevel="0" collapsed="false">
      <c r="B16" s="17" t="s">
        <v>1827</v>
      </c>
      <c r="C16" s="17" t="s">
        <v>1834</v>
      </c>
      <c r="D16" s="17" t="s">
        <v>1835</v>
      </c>
    </row>
    <row r="17" customFormat="false" ht="18" hidden="false" customHeight="true" outlineLevel="0" collapsed="false">
      <c r="B17" s="17" t="s">
        <v>1464</v>
      </c>
      <c r="C17" s="17" t="s">
        <v>1836</v>
      </c>
      <c r="D17" s="17" t="s">
        <v>1837</v>
      </c>
    </row>
    <row r="18" customFormat="false" ht="18" hidden="false" customHeight="true" outlineLevel="0" collapsed="false">
      <c r="B18" s="17" t="s">
        <v>1464</v>
      </c>
      <c r="C18" s="17" t="s">
        <v>1838</v>
      </c>
      <c r="D18" s="17" t="s">
        <v>1839</v>
      </c>
    </row>
    <row r="19" customFormat="false" ht="18" hidden="false" customHeight="true" outlineLevel="0" collapsed="false">
      <c r="B19" s="17" t="s">
        <v>1840</v>
      </c>
      <c r="C19" s="17" t="s">
        <v>1841</v>
      </c>
      <c r="D19" s="17" t="s">
        <v>1842</v>
      </c>
    </row>
    <row r="21" customFormat="false" ht="16.15" hidden="false" customHeight="false" outlineLevel="0" collapsed="false">
      <c r="B21" s="5" t="s">
        <v>1843</v>
      </c>
    </row>
    <row r="22" customFormat="false" ht="30" hidden="false" customHeight="true" outlineLevel="0" collapsed="false">
      <c r="B22" s="15" t="s">
        <v>27</v>
      </c>
      <c r="C22" s="15" t="s">
        <v>1844</v>
      </c>
      <c r="D22" s="15"/>
    </row>
    <row r="23" customFormat="false" ht="18" hidden="false" customHeight="true" outlineLevel="0" collapsed="false">
      <c r="B23" s="17" t="n">
        <v>1</v>
      </c>
      <c r="C23" s="17" t="s">
        <v>1845</v>
      </c>
      <c r="D23" s="17"/>
    </row>
    <row r="24" customFormat="false" ht="18" hidden="false" customHeight="true" outlineLevel="0" collapsed="false">
      <c r="B24" s="17" t="n">
        <v>2</v>
      </c>
      <c r="C24" s="17" t="s">
        <v>1846</v>
      </c>
      <c r="D24" s="17"/>
    </row>
    <row r="25" customFormat="false" ht="18" hidden="false" customHeight="true" outlineLevel="0" collapsed="false">
      <c r="B25" s="17" t="n">
        <v>3</v>
      </c>
      <c r="C25" s="17" t="s">
        <v>1847</v>
      </c>
      <c r="D25" s="17"/>
    </row>
    <row r="26" customFormat="false" ht="18" hidden="false" customHeight="true" outlineLevel="0" collapsed="false">
      <c r="B26" s="17" t="n">
        <v>4</v>
      </c>
      <c r="C26" s="17" t="s">
        <v>1848</v>
      </c>
      <c r="D26" s="17"/>
    </row>
    <row r="27" customFormat="false" ht="18" hidden="false" customHeight="true" outlineLevel="0" collapsed="false">
      <c r="B27" s="17" t="n">
        <v>5</v>
      </c>
      <c r="C27" s="17" t="s">
        <v>1849</v>
      </c>
      <c r="D27" s="17"/>
    </row>
    <row r="28" customFormat="false" ht="18" hidden="false" customHeight="true" outlineLevel="0" collapsed="false">
      <c r="B28" s="17" t="n">
        <v>6</v>
      </c>
      <c r="C28" s="17" t="s">
        <v>1850</v>
      </c>
      <c r="D28" s="17"/>
    </row>
    <row r="29" customFormat="false" ht="18" hidden="false" customHeight="true" outlineLevel="0" collapsed="false">
      <c r="B29" s="17" t="n">
        <v>7</v>
      </c>
      <c r="C29" s="17" t="s">
        <v>1851</v>
      </c>
      <c r="D29" s="17"/>
    </row>
    <row r="30" customFormat="false" ht="18" hidden="false" customHeight="true" outlineLevel="0" collapsed="false">
      <c r="B30" s="17" t="n">
        <v>8</v>
      </c>
      <c r="C30" s="17" t="s">
        <v>1852</v>
      </c>
      <c r="D30" s="17"/>
    </row>
  </sheetData>
  <mergeCells count="9">
    <mergeCell ref="C22:D22"/>
    <mergeCell ref="C23:D23"/>
    <mergeCell ref="C24:D24"/>
    <mergeCell ref="C25:D25"/>
    <mergeCell ref="C26:D26"/>
    <mergeCell ref="C27:D27"/>
    <mergeCell ref="C28:D28"/>
    <mergeCell ref="C29:D29"/>
    <mergeCell ref="C30:D30"/>
  </mergeCell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4" min="3" style="0" width="60"/>
  </cols>
  <sheetData>
    <row r="1" customFormat="false" ht="15" hidden="false" customHeight="false" outlineLevel="0" collapsed="false">
      <c r="B1" s="12" t="s">
        <v>24</v>
      </c>
    </row>
    <row r="2" customFormat="false" ht="22.05" hidden="false" customHeight="false" outlineLevel="0" collapsed="false">
      <c r="B2" s="13" t="s">
        <v>1853</v>
      </c>
    </row>
    <row r="5" customFormat="false" ht="30" hidden="false" customHeight="true" outlineLevel="0" collapsed="false">
      <c r="B5" s="15" t="s">
        <v>1854</v>
      </c>
      <c r="C5" s="15" t="s">
        <v>1855</v>
      </c>
      <c r="D5" s="15" t="s">
        <v>1856</v>
      </c>
    </row>
    <row r="6" customFormat="false" ht="31.5" hidden="false" customHeight="true" outlineLevel="0" collapsed="false">
      <c r="B6" s="17" t="s">
        <v>1857</v>
      </c>
      <c r="C6" s="18" t="s">
        <v>1858</v>
      </c>
      <c r="D6" s="17" t="s">
        <v>1859</v>
      </c>
    </row>
    <row r="7" customFormat="false" ht="18" hidden="false" customHeight="true" outlineLevel="0" collapsed="false">
      <c r="B7" s="17" t="s">
        <v>1860</v>
      </c>
      <c r="C7" s="18" t="s">
        <v>1861</v>
      </c>
      <c r="D7" s="17" t="s">
        <v>1862</v>
      </c>
    </row>
    <row r="8" customFormat="false" ht="31.5" hidden="false" customHeight="true" outlineLevel="0" collapsed="false">
      <c r="B8" s="17" t="s">
        <v>1863</v>
      </c>
      <c r="C8" s="18" t="s">
        <v>1864</v>
      </c>
      <c r="D8" s="17" t="s">
        <v>1865</v>
      </c>
    </row>
    <row r="9" customFormat="false" ht="31.5" hidden="false" customHeight="true" outlineLevel="0" collapsed="false">
      <c r="B9" s="17" t="s">
        <v>1866</v>
      </c>
      <c r="C9" s="18" t="s">
        <v>1867</v>
      </c>
      <c r="D9" s="17" t="s">
        <v>1868</v>
      </c>
    </row>
    <row r="10" customFormat="false" ht="31.5" hidden="false" customHeight="true" outlineLevel="0" collapsed="false">
      <c r="B10" s="17" t="s">
        <v>1869</v>
      </c>
      <c r="C10" s="18" t="s">
        <v>1870</v>
      </c>
      <c r="D10" s="17" t="s">
        <v>1871</v>
      </c>
    </row>
    <row r="11" customFormat="false" ht="31.5" hidden="false" customHeight="true" outlineLevel="0" collapsed="false">
      <c r="B11" s="17" t="s">
        <v>1872</v>
      </c>
      <c r="C11" s="18" t="s">
        <v>1873</v>
      </c>
      <c r="D11" s="17" t="s">
        <v>1874</v>
      </c>
    </row>
    <row r="12" customFormat="false" ht="31.5" hidden="false" customHeight="true" outlineLevel="0" collapsed="false">
      <c r="B12" s="17" t="s">
        <v>1875</v>
      </c>
      <c r="C12" s="18" t="s">
        <v>1876</v>
      </c>
      <c r="D12" s="17" t="s">
        <v>1877</v>
      </c>
    </row>
    <row r="13" customFormat="false" ht="31.5" hidden="false" customHeight="true" outlineLevel="0" collapsed="false">
      <c r="B13" s="17" t="s">
        <v>1878</v>
      </c>
      <c r="C13" s="18" t="s">
        <v>1879</v>
      </c>
      <c r="D13" s="17" t="s">
        <v>1880</v>
      </c>
    </row>
    <row r="14" customFormat="false" ht="31.5" hidden="false" customHeight="true" outlineLevel="0" collapsed="false">
      <c r="B14" s="17" t="s">
        <v>1881</v>
      </c>
      <c r="C14" s="18" t="s">
        <v>1882</v>
      </c>
      <c r="D14" s="17" t="s">
        <v>1883</v>
      </c>
    </row>
    <row r="15" customFormat="false" ht="31.5" hidden="false" customHeight="true" outlineLevel="0" collapsed="false">
      <c r="B15" s="17" t="s">
        <v>1884</v>
      </c>
      <c r="C15" s="18" t="s">
        <v>1885</v>
      </c>
      <c r="D15" s="17" t="s">
        <v>1886</v>
      </c>
    </row>
    <row r="16" customFormat="false" ht="31.5" hidden="false" customHeight="true" outlineLevel="0" collapsed="false">
      <c r="B16" s="17" t="s">
        <v>1887</v>
      </c>
      <c r="C16" s="18" t="s">
        <v>1888</v>
      </c>
      <c r="D16" s="17" t="s">
        <v>1889</v>
      </c>
    </row>
    <row r="18" customFormat="false" ht="16.15" hidden="false" customHeight="false" outlineLevel="0" collapsed="false">
      <c r="B18" s="5" t="s">
        <v>1890</v>
      </c>
    </row>
    <row r="19" customFormat="false" ht="30" hidden="false" customHeight="true" outlineLevel="0" collapsed="false">
      <c r="B19" s="25" t="s">
        <v>1891</v>
      </c>
      <c r="C19" s="25"/>
      <c r="D19" s="25"/>
    </row>
    <row r="20" customFormat="false" ht="15.75" hidden="false" customHeight="true" outlineLevel="0" collapsed="false">
      <c r="B20" s="25" t="s">
        <v>1892</v>
      </c>
      <c r="C20" s="25"/>
      <c r="D20" s="25"/>
    </row>
    <row r="21" customFormat="false" ht="15.75" hidden="false" customHeight="true" outlineLevel="0" collapsed="false">
      <c r="B21" s="25" t="s">
        <v>1893</v>
      </c>
      <c r="C21" s="25"/>
      <c r="D21" s="25"/>
    </row>
    <row r="22" customFormat="false" ht="15.75" hidden="false" customHeight="true" outlineLevel="0" collapsed="false">
      <c r="B22" s="25" t="s">
        <v>1894</v>
      </c>
      <c r="C22" s="25"/>
      <c r="D22" s="25"/>
    </row>
  </sheetData>
  <mergeCells count="4">
    <mergeCell ref="B19:D19"/>
    <mergeCell ref="B20:D20"/>
    <mergeCell ref="B21:D21"/>
    <mergeCell ref="B22:D22"/>
  </mergeCells>
  <hyperlinks>
    <hyperlink ref="B1" location="'Contents'!B2"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2026-10-28T18:27:45Z</dcterms:created>
  <dc:creator>openpyxl</dc:creator>
  <dc:description/>
  <dc:language>en-US</dc:language>
  <cp:lastModifiedBy/>
  <dcterms:modified xsi:type="dcterms:W3CDTF">2026-10-28T18:27:48Z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