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Drill Library" sheetId="2" state="visible" r:id="rId2"/>
    <sheet xmlns:r="http://schemas.openxmlformats.org/officeDocument/2006/relationships" name="Practice Plan" sheetId="3" state="visible" r:id="rId3"/>
    <sheet xmlns:r="http://schemas.openxmlformats.org/officeDocument/2006/relationships" name="Coach Cards" sheetId="4" state="visible" r:id="rId4"/>
    <sheet xmlns:r="http://schemas.openxmlformats.org/officeDocument/2006/relationships" name="AI &amp; Safety" sheetId="5" state="visible" r:id="rId5"/>
    <sheet xmlns:r="http://schemas.openxmlformats.org/officeDocument/2006/relationships" name="Training Logs" sheetId="6" state="visible" r:id="rId6"/>
    <sheet xmlns:r="http://schemas.openxmlformats.org/officeDocument/2006/relationships" name="Basis &amp; Limit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mm\ d&quot;, &quot;yyyy"/>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color rgb="FF203449"/>
      <sz val="11"/>
    </font>
    <font>
      <name val="Arial"/>
      <charset val="1"/>
      <family val="0"/>
      <b val="1"/>
      <color rgb="FF087F8C"/>
      <sz val="10"/>
    </font>
    <font>
      <name val="Arial"/>
      <charset val="1"/>
      <family val="0"/>
      <b val="1"/>
      <color rgb="FF203449"/>
      <sz val="10"/>
    </font>
    <font>
      <name val="Arial"/>
      <charset val="1"/>
      <family val="0"/>
      <b val="1"/>
      <color rgb="FF087F8C"/>
      <sz val="26"/>
    </font>
    <font>
      <name val="Arial"/>
      <charset val="1"/>
      <family val="0"/>
      <b val="1"/>
      <color rgb="FFFFFFFF"/>
      <sz val="13"/>
    </font>
    <font>
      <name val="Arial"/>
      <charset val="1"/>
      <family val="0"/>
      <b val="1"/>
      <color rgb="FFFFFFFF"/>
      <sz val="11"/>
    </font>
    <font>
      <name val="Arial"/>
      <charset val="1"/>
      <family val="0"/>
      <b val="1"/>
      <color rgb="FF087F8C"/>
      <sz val="11"/>
    </font>
    <font>
      <name val="Arial"/>
      <charset val="1"/>
      <family val="0"/>
      <color rgb="FF203449"/>
      <sz val="10"/>
    </font>
    <font>
      <name val="Arial"/>
      <charset val="1"/>
      <family val="0"/>
      <color rgb="FF087F8C"/>
      <sz val="11"/>
      <u val="single"/>
    </font>
    <font>
      <name val="Arial"/>
      <charset val="1"/>
      <family val="0"/>
      <b val="1"/>
      <color rgb="FFFFFFFF"/>
      <sz val="14"/>
    </font>
    <font>
      <name val="Arial"/>
      <charset val="1"/>
      <family val="0"/>
      <b val="1"/>
      <color rgb="FF17324D"/>
      <sz val="12"/>
    </font>
  </fonts>
  <fills count="9">
    <fill>
      <patternFill/>
    </fill>
    <fill>
      <patternFill patternType="gray125"/>
    </fill>
    <fill>
      <patternFill patternType="solid">
        <fgColor rgb="FF17324D"/>
        <bgColor rgb="FF203449"/>
      </patternFill>
    </fill>
    <fill>
      <patternFill patternType="solid">
        <fgColor rgb="FFEEF4F8"/>
        <bgColor rgb="FFEFF5FF"/>
      </patternFill>
    </fill>
    <fill>
      <patternFill patternType="solid">
        <fgColor rgb="FF087F8C"/>
        <bgColor rgb="FF008080"/>
      </patternFill>
    </fill>
    <fill>
      <patternFill patternType="solid">
        <fgColor rgb="FFECF6EE"/>
        <bgColor rgb="FFEEF4F8"/>
      </patternFill>
    </fill>
    <fill>
      <patternFill patternType="solid">
        <fgColor rgb="FFFFFFFF"/>
        <bgColor rgb="FFEFF5FF"/>
      </patternFill>
    </fill>
    <fill>
      <patternFill patternType="solid">
        <fgColor rgb="FFFFF2D6"/>
        <bgColor rgb="FFFCE4E4"/>
      </patternFill>
    </fill>
    <fill>
      <patternFill patternType="solid">
        <fgColor rgb="FFEFF5FF"/>
        <bgColor rgb="FFEEF4F8"/>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3" borderId="0" applyAlignment="1" pivotButton="0" quotePrefix="0" xfId="0">
      <alignment horizontal="left" vertical="top" wrapText="1"/>
    </xf>
    <xf numFmtId="1" fontId="8" fillId="3" borderId="0" applyAlignment="1" pivotButton="0" quotePrefix="0" xfId="0">
      <alignment horizontal="right" vertical="top" wrapText="1"/>
    </xf>
    <xf numFmtId="1" fontId="8" fillId="3" borderId="0" applyAlignment="1" pivotButton="0" quotePrefix="0" xfId="0">
      <alignment horizontal="left" vertical="top" wrapText="1"/>
    </xf>
    <xf numFmtId="0" fontId="5" fillId="3" borderId="0" applyAlignment="1" pivotButton="0" quotePrefix="0" xfId="0">
      <alignment horizontal="left" vertical="top" wrapText="1"/>
    </xf>
    <xf numFmtId="0" fontId="9" fillId="4" borderId="0" applyAlignment="1" pivotButton="0" quotePrefix="0" xfId="0">
      <alignment horizontal="left" vertical="top" wrapText="1"/>
    </xf>
    <xf numFmtId="0" fontId="10" fillId="2" borderId="0" applyAlignment="1" pivotButton="0" quotePrefix="0" xfId="0">
      <alignment horizontal="center" vertical="top" wrapText="1"/>
    </xf>
    <xf numFmtId="0" fontId="5" fillId="3" borderId="0" applyAlignment="1" pivotButton="0" quotePrefix="0" xfId="0">
      <alignment horizontal="left" vertical="top" wrapText="1"/>
    </xf>
    <xf numFmtId="1" fontId="5" fillId="3" borderId="0" applyAlignment="1" pivotButton="0" quotePrefix="0" xfId="0">
      <alignment horizontal="right" vertical="top" wrapText="1"/>
    </xf>
    <xf numFmtId="1" fontId="11" fillId="5" borderId="0" applyAlignment="1" pivotButton="0" quotePrefix="0" xfId="0">
      <alignment horizontal="right" vertical="top" wrapText="1"/>
    </xf>
    <xf numFmtId="0" fontId="5" fillId="6" borderId="0" applyAlignment="1" pivotButton="0" quotePrefix="0" xfId="0">
      <alignment horizontal="left" vertical="top" wrapText="1"/>
    </xf>
    <xf numFmtId="1" fontId="5" fillId="6" borderId="0" applyAlignment="1" pivotButton="0" quotePrefix="0" xfId="0">
      <alignment horizontal="right" vertical="top" wrapText="1"/>
    </xf>
    <xf numFmtId="0" fontId="5" fillId="7" borderId="0" applyAlignment="1" pivotButton="0" quotePrefix="0" xfId="0">
      <alignment horizontal="left" vertical="top" wrapText="1"/>
    </xf>
    <xf numFmtId="0" fontId="11" fillId="3" borderId="0" applyAlignment="1" pivotButton="0" quotePrefix="0" xfId="0">
      <alignment horizontal="left" vertical="top" wrapText="1"/>
    </xf>
    <xf numFmtId="0" fontId="12" fillId="0" borderId="0" applyAlignment="1" pivotButton="0" quotePrefix="0" xfId="0">
      <alignment horizontal="left" vertical="top" wrapText="1"/>
    </xf>
    <xf numFmtId="0" fontId="11" fillId="0" borderId="0" applyAlignment="1" pivotButton="0" quotePrefix="0" xfId="0">
      <alignment horizontal="left" vertical="top" wrapText="1"/>
    </xf>
    <xf numFmtId="1" fontId="5" fillId="0" borderId="0" applyAlignment="1" pivotButton="0" quotePrefix="0" xfId="0">
      <alignment horizontal="right" vertical="top" wrapText="1"/>
    </xf>
    <xf numFmtId="0" fontId="5" fillId="0" borderId="0" applyAlignment="1" pivotButton="0" quotePrefix="0" xfId="0">
      <alignment horizontal="left" vertical="top" wrapText="1"/>
    </xf>
    <xf numFmtId="0" fontId="13" fillId="0" borderId="0" applyAlignment="1" pivotButton="0" quotePrefix="0" xfId="0">
      <alignment horizontal="left" vertical="top" wrapText="1"/>
    </xf>
    <xf numFmtId="0" fontId="14" fillId="4" borderId="0" applyAlignment="1" pivotButton="0" quotePrefix="0" xfId="0">
      <alignment horizontal="left" vertical="top" wrapText="1"/>
    </xf>
    <xf numFmtId="0" fontId="15" fillId="3" borderId="0" applyAlignment="1" pivotButton="0" quotePrefix="0" xfId="0">
      <alignment horizontal="left" vertical="top" wrapText="1"/>
    </xf>
    <xf numFmtId="0" fontId="10" fillId="2" borderId="0" applyAlignment="1" pivotButton="0" quotePrefix="0" xfId="0">
      <alignment horizontal="center" vertical="top" wrapText="1"/>
    </xf>
    <xf numFmtId="0" fontId="5" fillId="6" borderId="0" applyAlignment="1" pivotButton="0" quotePrefix="0" xfId="0">
      <alignment horizontal="left" vertical="top" wrapText="1"/>
    </xf>
    <xf numFmtId="164" fontId="5" fillId="8" borderId="0" applyAlignment="1" pivotButton="0" quotePrefix="0" xfId="0">
      <alignment horizontal="left" vertical="top" wrapText="1"/>
    </xf>
    <xf numFmtId="0" fontId="5" fillId="8" borderId="0" applyAlignment="1" pivotButton="0" quotePrefix="0" xfId="0">
      <alignment horizontal="left" vertical="top" wrapText="1"/>
    </xf>
    <xf numFmtId="1" fontId="5" fillId="8" borderId="0" applyAlignment="1" pivotButton="0" quotePrefix="0" xfId="0">
      <alignment horizontal="left" vertical="top" wrapText="1"/>
    </xf>
    <xf numFmtId="1" fontId="5" fillId="5" borderId="0" applyAlignment="1" pivotButton="0" quotePrefix="0" xfId="0">
      <alignment horizontal="right" vertical="top" wrapText="1"/>
    </xf>
    <xf numFmtId="9" fontId="5" fillId="5" borderId="0" applyAlignment="1" pivotButton="0" quotePrefix="0" xfId="0">
      <alignment horizontal="right" vertical="top" wrapText="1"/>
    </xf>
    <xf numFmtId="2" fontId="5" fillId="8"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3" borderId="0" applyAlignment="1" pivotButton="0" quotePrefix="0" xfId="0">
      <alignment horizontal="left" vertical="top" wrapText="1"/>
    </xf>
    <xf numFmtId="1" fontId="8" fillId="3" borderId="0" applyAlignment="1" pivotButton="0" quotePrefix="0" xfId="0">
      <alignment horizontal="right" vertical="top" wrapText="1"/>
    </xf>
    <xf numFmtId="1" fontId="8" fillId="3" borderId="0" applyAlignment="1" pivotButton="0" quotePrefix="0" xfId="0">
      <alignment horizontal="left" vertical="top" wrapText="1"/>
    </xf>
    <xf numFmtId="0" fontId="5" fillId="3" borderId="0" applyAlignment="1" pivotButton="0" quotePrefix="0" xfId="0">
      <alignment horizontal="left" vertical="top" wrapText="1"/>
    </xf>
    <xf numFmtId="0" fontId="9" fillId="4" borderId="0" applyAlignment="1" pivotButton="0" quotePrefix="0" xfId="0">
      <alignment horizontal="left" vertical="top" wrapText="1"/>
    </xf>
    <xf numFmtId="0" fontId="10" fillId="2" borderId="0" applyAlignment="1" pivotButton="0" quotePrefix="0" xfId="0">
      <alignment horizontal="center" vertical="top" wrapText="1"/>
    </xf>
    <xf numFmtId="1" fontId="5" fillId="3" borderId="0" applyAlignment="1" pivotButton="0" quotePrefix="0" xfId="0">
      <alignment horizontal="right" vertical="top" wrapText="1"/>
    </xf>
    <xf numFmtId="1" fontId="11" fillId="5" borderId="0" applyAlignment="1" pivotButton="0" quotePrefix="0" xfId="0">
      <alignment horizontal="right" vertical="top" wrapText="1"/>
    </xf>
    <xf numFmtId="0" fontId="5" fillId="6" borderId="0" applyAlignment="1" pivotButton="0" quotePrefix="0" xfId="0">
      <alignment horizontal="left" vertical="top" wrapText="1"/>
    </xf>
    <xf numFmtId="1" fontId="5" fillId="6" borderId="0" applyAlignment="1" pivotButton="0" quotePrefix="0" xfId="0">
      <alignment horizontal="right" vertical="top" wrapText="1"/>
    </xf>
    <xf numFmtId="0" fontId="5" fillId="7" borderId="0" applyAlignment="1" pivotButton="0" quotePrefix="0" xfId="0">
      <alignment horizontal="left" vertical="top" wrapText="1"/>
    </xf>
    <xf numFmtId="0" fontId="11" fillId="3" borderId="0" applyAlignment="1" pivotButton="0" quotePrefix="0" xfId="0">
      <alignment horizontal="left" vertical="top" wrapText="1"/>
    </xf>
    <xf numFmtId="0" fontId="12" fillId="0" borderId="0" applyAlignment="1" pivotButton="0" quotePrefix="0" xfId="0">
      <alignment horizontal="left" vertical="top" wrapText="1"/>
    </xf>
    <xf numFmtId="0" fontId="11" fillId="0" borderId="0" applyAlignment="1" pivotButton="0" quotePrefix="0" xfId="0">
      <alignment horizontal="left" vertical="top" wrapText="1"/>
    </xf>
    <xf numFmtId="1" fontId="5" fillId="0" borderId="0" applyAlignment="1" pivotButton="0" quotePrefix="0" xfId="0">
      <alignment horizontal="right" vertical="top" wrapText="1"/>
    </xf>
    <xf numFmtId="0" fontId="13" fillId="0" borderId="0" applyAlignment="1" pivotButton="0" quotePrefix="0" xfId="0">
      <alignment horizontal="left" vertical="top" wrapText="1"/>
    </xf>
    <xf numFmtId="0" fontId="14" fillId="4" borderId="0" applyAlignment="1" pivotButton="0" quotePrefix="0" xfId="0">
      <alignment horizontal="left" vertical="top" wrapText="1"/>
    </xf>
    <xf numFmtId="0" fontId="15" fillId="3" borderId="0" applyAlignment="1" pivotButton="0" quotePrefix="0" xfId="0">
      <alignment horizontal="left" vertical="top" wrapText="1"/>
    </xf>
    <xf numFmtId="164" fontId="5" fillId="8" borderId="0" applyAlignment="1" pivotButton="0" quotePrefix="0" xfId="0">
      <alignment horizontal="left" vertical="top" wrapText="1"/>
    </xf>
    <xf numFmtId="0" fontId="5" fillId="8" borderId="0" applyAlignment="1" pivotButton="0" quotePrefix="0" xfId="0">
      <alignment horizontal="left" vertical="top" wrapText="1"/>
    </xf>
    <xf numFmtId="1" fontId="5" fillId="8" borderId="0" applyAlignment="1" pivotButton="0" quotePrefix="0" xfId="0">
      <alignment horizontal="left" vertical="top" wrapText="1"/>
    </xf>
    <xf numFmtId="1" fontId="5" fillId="5" borderId="0" applyAlignment="1" pivotButton="0" quotePrefix="0" xfId="0">
      <alignment horizontal="right" vertical="top" wrapText="1"/>
    </xf>
    <xf numFmtId="9" fontId="5" fillId="5" borderId="0" applyAlignment="1" pivotButton="0" quotePrefix="0" xfId="0">
      <alignment horizontal="right" vertical="top" wrapText="1"/>
    </xf>
    <xf numFmtId="2" fontId="5" fillId="8" borderId="0" applyAlignment="1" pivotButton="0" quotePrefix="0" xfId="0">
      <alignment horizontal="left" vertical="top" wrapText="1"/>
    </xf>
    <xf numFmtId="0" fontId="5"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7324D"/>
          <bgColor rgb="FF000000"/>
        </patternFill>
      </fill>
    </dxf>
    <dxf>
      <fill>
        <patternFill patternType="solid">
          <bgColor rgb="FF000000"/>
        </patternFill>
      </fill>
    </dxf>
    <dxf>
      <fill>
        <patternFill patternType="solid">
          <fgColor rgb="FF203449"/>
          <bgColor rgb="FF000000"/>
        </patternFill>
      </fill>
    </dxf>
    <dxf>
      <fill>
        <patternFill patternType="solid">
          <fgColor rgb="FFFFFFFF"/>
          <bgColor rgb="FF000000"/>
        </patternFill>
      </fill>
    </dxf>
    <dxf>
      <fill>
        <patternFill patternType="solid">
          <fgColor rgb="FF087F8C"/>
          <bgColor rgb="FF000000"/>
        </patternFill>
      </fill>
    </dxf>
    <dxf>
      <fill>
        <patternFill patternType="solid">
          <fgColor rgb="FFEFF5FF"/>
          <bgColor rgb="FF000000"/>
        </patternFill>
      </fill>
    </dxf>
    <dxf>
      <fill>
        <patternFill patternType="solid">
          <fgColor rgb="FFECF6EE"/>
          <bgColor rgb="FF000000"/>
        </patternFill>
      </fill>
    </dxf>
    <dxf>
      <fill>
        <patternFill>
          <bgColor rgb="FFFC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7F8C"/>
      <rgbColor rgb="FFC0C0C0"/>
      <rgbColor rgb="FF808080"/>
      <rgbColor rgb="FF9999FF"/>
      <rgbColor rgb="FF993366"/>
      <rgbColor rgb="FFFFF2D6"/>
      <rgbColor rgb="FFECF6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F4F8"/>
      <rgbColor rgb="FFEFF5FF"/>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7324D"/>
      <rgbColor rgb="FF339966"/>
      <rgbColor rgb="FF003300"/>
      <rgbColor rgb="FF333300"/>
      <rgbColor rgb="FF993300"/>
      <rgbColor rgb="FF993366"/>
      <rgbColor rgb="FF333399"/>
      <rgbColor rgb="FF20344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DrillLibrary" displayName="DrillLibrary" ref="B5:N74" headerRowCount="1" totalsRowCount="0" totalsRowShown="0">
  <autoFilter ref="B5:N74"/>
  <tableColumns count="13">
    <tableColumn id="1" name="Drill ID"/>
    <tableColumn id="2" name="Category"/>
    <tableColumn id="3" name="Drill name"/>
    <tableColumn id="4" name="Related drill"/>
    <tableColumn id="5" name="Objective"/>
    <tableColumn id="6" name="Equipment"/>
    <tableColumn id="7" name="Step-by-step instructions"/>
    <tableColumn id="8" name="AI: views &amp; landmarks"/>
    <tableColumn id="9" name="AI: movement phase"/>
    <tableColumn id="10" name="AI: candidate flaw analysis"/>
    <tableColumn id="11" name="AI: example feedback"/>
    <tableColumn id="12" name="AI: limits / uncertainty"/>
    <tableColumn id="13" name="Coach notes"/>
  </tableColumns>
  <tableStyleInfo name="TableStyleMedium2" showRowStripes="1"/>
</table>
</file>

<file path=xl/tables/table2.xml><?xml version="1.0" encoding="utf-8"?>
<table xmlns="http://schemas.openxmlformats.org/spreadsheetml/2006/main" id="2" name="MedicineBallLog" displayName="MedicineBallLog" ref="B40:N60" headerRowCount="1" totalsRowCount="0" totalsRowShown="0">
  <autoFilter ref="B40:N60"/>
  <tableColumns count="13">
    <tableColumn id="1" name="Date / session"/>
    <tableColumn id="2" name="Stage"/>
    <tableColumn id="3" name="M drill ID"/>
    <tableColumn id="4" name="Ball mass (kg)"/>
    <tableColumn id="5" name="Ball type"/>
    <tableColumn id="6" name="Direction 1"/>
    <tableColumn id="7" name="Reps direction 1"/>
    <tableColumn id="8" name="Direction 2"/>
    <tableColumn id="9" name="Reps direction 2"/>
    <tableColumn id="10" name="Total M task reps"/>
    <tableColumn id="11" name="Target / approach / effort"/>
    <tableColumn id="12" name="Control / recovery"/>
    <tableColumn id="13" name="Normal-swing transfer"/>
  </tableColumns>
  <tableStyleInfo name="TableStyleMedium2" showRowStripes="1"/>
</table>
</file>

<file path=xl/tables/table3.xml><?xml version="1.0" encoding="utf-8"?>
<table xmlns="http://schemas.openxmlformats.org/spreadsheetml/2006/main" id="3" name="RepReview" displayName="RepReview" ref="B64:M94" headerRowCount="1" totalsRowCount="0" totalsRowShown="0">
  <autoFilter ref="B64:M94"/>
  <tableColumns count="12">
    <tableColumn id="1" name="Session / rep"/>
    <tableColumn id="2" name="Stage / block"/>
    <tableColumn id="3" name="Drill ID / normal"/>
    <tableColumn id="4" name="Handedness"/>
    <tableColumn id="5" name="Bat / ball / load"/>
    <tableColumn id="6" name="Camera / feed / location"/>
    <tableColumn id="7" name="Event / phase"/>
    <tableColumn id="8" name="Observed movement"/>
    <tableColumn id="9" name="Candidate interpretation"/>
    <tableColumn id="10" name="Assessability"/>
    <tableColumn id="11" name="Contact / task outcome"/>
    <tableColumn id="12" name="Coach cue / response"/>
  </tableColumns>
  <tableStyleInfo name="TableStyleMedium2" showRowStripes="1"/>
</table>
</file>

<file path=xl/tables/table4.xml><?xml version="1.0" encoding="utf-8"?>
<table xmlns="http://schemas.openxmlformats.org/spreadsheetml/2006/main" id="4" name="SessionLog" displayName="SessionLog" ref="B6:W36" headerRowCount="1" totalsRowCount="0" totalsRowShown="0">
  <autoFilter ref="B6:W36"/>
  <tableColumns count="22">
    <tableColumn id="1" name="Date"/>
    <tableColumn id="2" name="Hitter / group"/>
    <tableColumn id="3" name="Stage"/>
    <tableColumn id="4" name="Dose"/>
    <tableColumn id="5" name="Focus"/>
    <tableColumn id="6" name="Planned task reps"/>
    <tableColumn id="7" name="Extra task reps"/>
    <tableColumn id="8" name="Plan incl. extras"/>
    <tableColumn id="9" name="Actual task reps"/>
    <tableColumn id="10" name="Actual swings"/>
    <tableColumn id="11" name="Primary target"/>
    <tableColumn id="12" name="Baseline controlled"/>
    <tableColumn id="13" name="Baseline assessable"/>
    <tableColumn id="14" name="Exit controlled"/>
    <tableColumn id="15" name="Exit assessable"/>
    <tableColumn id="16" name="Exit control rate"/>
    <tableColumn id="17" name="Safety / comfort"/>
    <tableColumn id="18" name="Contact outcome"/>
    <tableColumn id="19" name="Retention outcome"/>
    <tableColumn id="20" name="Coach decision"/>
    <tableColumn id="21" name="Next cue"/>
    <tableColumn id="22" name="Focus drill ID"/>
  </tableColumns>
  <tableStyleInfo name="TableStyleMedium2" showRowStripes="1"/>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table" Target="/xl/tables/table4.xml" Id="rId3"/></Relationships>
</file>

<file path=xl/worksheets/sheet1.xml><?xml version="1.0" encoding="utf-8"?>
<worksheet xmlns="http://schemas.openxmlformats.org/spreadsheetml/2006/main">
  <sheetPr filterMode="0">
    <tabColor rgb="FF087F8C"/>
    <outlinePr summaryBelow="1" summaryRight="1"/>
    <pageSetUpPr fitToPage="0"/>
  </sheetPr>
  <dimension ref="A1:M40"/>
  <sheetViews>
    <sheetView showFormulas="0" showGridLines="0" showRowColHeaders="1" showZeros="1" rightToLeft="0" tabSelected="1" showOutlineSymbols="1" defaultGridColor="1"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3" customWidth="1" style="33" min="1" max="1"/>
    <col width="16" customWidth="1" style="33" min="2" max="13"/>
  </cols>
  <sheetData>
    <row r="1" ht="9.75" customHeight="1" s="34"/>
    <row r="2" ht="39.75" customHeight="1" s="34">
      <c r="B2" s="35" t="inlineStr">
        <is>
          <t>BASEBALL HITTING | MASTER WORKBOOK</t>
        </is>
      </c>
    </row>
    <row r="3" ht="27.75" customHeight="1" s="34">
      <c r="B3" s="36" t="inlineStr">
        <is>
          <t>69 drill entries • six practice stages • full AI analysis • editable coach logs | Compiled 1 November 2026</t>
        </is>
      </c>
    </row>
    <row r="4" ht="27" customHeight="1" s="34">
      <c r="B4" s="37" t="inlineStr">
        <is>
          <t>START HERE</t>
        </is>
      </c>
    </row>
    <row r="5" ht="27" customHeight="1" s="34">
      <c r="B5" s="38" t="inlineStr">
        <is>
          <t>DRILLS / VARIATIONS</t>
        </is>
      </c>
      <c r="F5" s="38" t="inlineStr">
        <is>
          <t>PRACTICE STAGES</t>
        </is>
      </c>
      <c r="J5" s="38" t="inlineStr">
        <is>
          <t>OPTIONAL FOCUS</t>
        </is>
      </c>
    </row>
    <row r="6" ht="48" customHeight="1" s="34">
      <c r="B6" s="39">
        <f>COUNT('Drill Library'!B6:B74)</f>
        <v/>
      </c>
      <c r="F6" s="39">
        <f>COUNTIF('Coach Cards'!B:B,"Stage ? Card:*")</f>
        <v/>
      </c>
      <c r="J6" s="40" t="inlineStr">
        <is>
          <t>P  /  B  /  M</t>
        </is>
      </c>
    </row>
    <row r="7"/>
    <row r="8" ht="27.75" customHeight="1" s="34">
      <c r="B8" s="41" t="inlineStr">
        <is>
          <t>Start with a coach-approved target. Use the library for full instructions, the plan for sequencing, and the cards at practice. Filter Category in Drill Library; scroll right for unabridged AI analysis.</t>
        </is>
      </c>
    </row>
    <row r="9"/>
    <row r="10" ht="30.75" customHeight="1" s="34">
      <c r="B10" s="42" t="inlineStr">
        <is>
          <t>SESSION WORKLOAD | task reps, not necessarily swings</t>
        </is>
      </c>
    </row>
    <row r="11" ht="43.5" customHeight="1" s="34">
      <c r="B11" s="43" t="inlineStr">
        <is>
          <t>Session mode</t>
        </is>
      </c>
      <c r="C11" s="43" t="inlineStr">
        <is>
          <t>Baseline</t>
        </is>
      </c>
      <c r="D11" s="43" t="inlineStr">
        <is>
          <t>Drill / block</t>
        </is>
      </c>
      <c r="E11" s="43" t="inlineStr">
        <is>
          <t>Normal / block</t>
        </is>
      </c>
      <c r="F11" s="43" t="inlineStr">
        <is>
          <t>Core blocks</t>
        </is>
      </c>
      <c r="G11" s="43" t="inlineStr">
        <is>
          <t>Focus blocks</t>
        </is>
      </c>
      <c r="H11" s="43" t="inlineStr">
        <is>
          <t>Exit</t>
        </is>
      </c>
      <c r="I11" s="43" t="inlineStr">
        <is>
          <t>Total task reps</t>
        </is>
      </c>
    </row>
    <row r="12" ht="33.75" customHeight="1" s="34">
      <c r="B12" s="41" t="inlineStr">
        <is>
          <t>Standard base</t>
        </is>
      </c>
      <c r="C12" s="44" t="n">
        <v>6</v>
      </c>
      <c r="D12" s="44" t="n">
        <v>4</v>
      </c>
      <c r="E12" s="44" t="n">
        <v>4</v>
      </c>
      <c r="F12" s="44" t="n">
        <v>3</v>
      </c>
      <c r="G12" s="44" t="n">
        <v>0</v>
      </c>
      <c r="H12" s="44" t="n">
        <v>6</v>
      </c>
      <c r="I12" s="45">
        <f>C12+(D12+E12)*(F12+G12)+H12</f>
        <v/>
      </c>
    </row>
    <row r="13" ht="33.75" customHeight="1" s="34">
      <c r="B13" s="46" t="inlineStr">
        <is>
          <t>Standard focus</t>
        </is>
      </c>
      <c r="C13" s="47" t="n">
        <v>6</v>
      </c>
      <c r="D13" s="47" t="n">
        <v>4</v>
      </c>
      <c r="E13" s="47" t="n">
        <v>4</v>
      </c>
      <c r="F13" s="47" t="n">
        <v>3</v>
      </c>
      <c r="G13" s="47" t="n">
        <v>1</v>
      </c>
      <c r="H13" s="47" t="n">
        <v>6</v>
      </c>
      <c r="I13" s="45">
        <f>C13+(D13+E13)*(F13+G13)+H13</f>
        <v/>
      </c>
    </row>
    <row r="14" ht="33.75" customHeight="1" s="34">
      <c r="B14" s="41" t="inlineStr">
        <is>
          <t>Reduced base</t>
        </is>
      </c>
      <c r="C14" s="44" t="n">
        <v>4</v>
      </c>
      <c r="D14" s="44" t="n">
        <v>2</v>
      </c>
      <c r="E14" s="44" t="n">
        <v>2</v>
      </c>
      <c r="F14" s="44" t="n">
        <v>3</v>
      </c>
      <c r="G14" s="44" t="n">
        <v>0</v>
      </c>
      <c r="H14" s="44" t="n">
        <v>4</v>
      </c>
      <c r="I14" s="45">
        <f>C14+(D14+E14)*(F14+G14)+H14</f>
        <v/>
      </c>
    </row>
    <row r="15" ht="33.75" customHeight="1" s="34">
      <c r="B15" s="46" t="inlineStr">
        <is>
          <t>Reduced focus</t>
        </is>
      </c>
      <c r="C15" s="47" t="n">
        <v>4</v>
      </c>
      <c r="D15" s="47" t="n">
        <v>2</v>
      </c>
      <c r="E15" s="47" t="n">
        <v>2</v>
      </c>
      <c r="F15" s="47" t="n">
        <v>3</v>
      </c>
      <c r="G15" s="47" t="n">
        <v>1</v>
      </c>
      <c r="H15" s="47" t="n">
        <v>4</v>
      </c>
      <c r="I15" s="45">
        <f>C15+(D15+E15)*(F15+G15)+H15</f>
        <v/>
      </c>
    </row>
    <row r="16"/>
    <row r="17" ht="42.75" customHeight="1" s="34">
      <c r="B17" s="48" t="inlineStr">
        <is>
          <t>Choose at most ONE focus: P = posture, B = balance/head control, M = medicine ball. M means four throws TOTAL, not per side (two total in reduced mode). Warm-up, extra rehearsals, the tee-to-toss transition baseline and challenge sets are additional.</t>
        </is>
      </c>
    </row>
    <row r="18"/>
    <row r="19" ht="30.75" customHeight="1" s="34">
      <c r="B19" s="42" t="inlineStr">
        <is>
          <t>WORKBOOK MAP</t>
        </is>
      </c>
    </row>
    <row r="20" ht="27.75" customHeight="1" s="34">
      <c r="B20" s="49" t="inlineStr">
        <is>
          <t>Drill Library</t>
        </is>
      </c>
      <c r="E20" s="36" t="inlineStr">
        <is>
          <t>69 exact drill IDs with full objectives, equipment, steps and five AI-analysis fields.</t>
        </is>
      </c>
    </row>
    <row r="21" ht="27.75" customHeight="1" s="34">
      <c r="B21" s="49" t="inlineStr">
        <is>
          <t>Practice Plan</t>
        </is>
      </c>
      <c r="E21" s="36" t="inlineStr">
        <is>
          <t>Complete six-stage progression, P/B/M pairings, advancement rules, substitutions, dose adjustments and original tracker guidance.</t>
        </is>
      </c>
    </row>
    <row r="22" ht="27.75" customHeight="1" s="34">
      <c r="B22" s="49" t="inlineStr">
        <is>
          <t>Coach Cards</t>
        </is>
      </c>
      <c r="E22" s="36" t="inlineStr">
        <is>
          <t>Six concise stage cards plus the shared workload, safety and medicine-ball key.</t>
        </is>
      </c>
    </row>
    <row r="23" ht="27.75" customHeight="1" s="34">
      <c r="B23" s="49" t="inlineStr">
        <is>
          <t>AI &amp; Safety</t>
        </is>
      </c>
      <c r="E23" s="36" t="inlineStr">
        <is>
          <t>All remaining guidance: definitions, capture guidance, safety, flaw-to-drill mapping and implementation notes.</t>
        </is>
      </c>
    </row>
    <row r="24" ht="27.75" customHeight="1" s="34">
      <c r="B24" s="49" t="inlineStr">
        <is>
          <t>Training Logs</t>
        </is>
      </c>
      <c r="E24" s="36" t="inlineStr">
        <is>
          <t>Blank editable session, per-repetition, and medicine-ball tracking tables. Formulas calculate workload and exit ratios only.</t>
        </is>
      </c>
    </row>
    <row r="25" ht="27.75" customHeight="1" s="34">
      <c r="B25" s="49" t="inlineStr">
        <is>
          <t>Basis &amp; Limits</t>
        </is>
      </c>
      <c r="E25" s="36" t="inlineStr">
        <is>
          <t>What the workbook rests on and its limits. Outside names and links were removed; drill names are generic.</t>
        </is>
      </c>
    </row>
    <row r="26"/>
    <row r="27" ht="30.75" customHeight="1" s="34">
      <c r="B27" s="42" t="inlineStr">
        <is>
          <t>COACHING / AI BOUNDARY</t>
        </is>
      </c>
    </row>
    <row r="28" ht="42.75" customHeight="1" s="34">
      <c r="B28" s="41" t="inlineStr">
        <is>
          <t>These are proposed coaching rules and analysis specifications, not a validated computer-vision system. Natural torso tilt, knee bend, foot pivot and head movement are not automatic faults. Body pose does not measure eye gaze, force, foot pressure or muscle activation.</t>
        </is>
      </c>
    </row>
    <row r="29" ht="42.75" customHeight="1" s="34">
      <c r="B29" s="41" t="inlineStr">
        <is>
          <t>Suggested exit gate: 4 of 6 assessable normal swings (reduced: 3 of 4), with safe control, no material worsening and later matched retention. A coach makes the decision; no spreadsheet formula advances a hitter. Keep contact outcomes separate from mechanical observations.</t>
        </is>
      </c>
    </row>
    <row r="30" ht="42.75" customHeight="1" s="34">
      <c r="B30" s="48" t="inlineStr">
        <is>
          <t>Medicine-ball safety: coach-selected manageable known load, approved wall/landing area, clear lane, discrete throws and full resets. No rebound catching, universal ball weight or implied power score. Stop for pain or unsafe control.</t>
        </is>
      </c>
    </row>
    <row r="31"/>
    <row r="32" ht="39.75" customHeight="1" s="34">
      <c r="B32" s="50" t="inlineStr">
        <is>
          <t>Content baseline: all three current documents are consolidated without shortening drill instructions or AI descriptions. #30 is also medicine-ball work; the Medicine ball category contains 12 additional entries (#58–69), for 13 medicine-ball entries overall.</t>
        </is>
      </c>
    </row>
    <row r="33"/>
    <row r="34" ht="30.75" customHeight="1" s="34">
      <c r="B34" s="42" t="inlineStr">
        <is>
          <t>QUICK JUMP | stage cards</t>
        </is>
      </c>
    </row>
    <row r="35" ht="27.75" customHeight="1" s="34">
      <c r="B35" s="51" t="inlineStr">
        <is>
          <t>Stage 1 Card: Gather, Land, Deliver</t>
        </is>
      </c>
    </row>
    <row r="36" ht="27.75" customHeight="1" s="34">
      <c r="B36" s="51" t="inlineStr">
        <is>
          <t>Stage 2 Card: Coil, Receive, Organize</t>
        </is>
      </c>
    </row>
    <row r="37" ht="27.75" customHeight="1" s="34">
      <c r="B37" s="51" t="inlineStr">
        <is>
          <t>Stage 3 Card: Supported Turn, Controlled Reach</t>
        </is>
      </c>
    </row>
    <row r="38" ht="27.75" customHeight="1" s="34">
      <c r="B38" s="51" t="inlineStr">
        <is>
          <t>Stage 4 Card: Add Movement, Keep Control</t>
        </is>
      </c>
    </row>
    <row r="39" ht="27.75" customHeight="1" s="34">
      <c r="B39" s="51" t="inlineStr">
        <is>
          <t>Stage 5 Card: Rhythm Meets a Moving Ball</t>
        </is>
      </c>
    </row>
    <row r="40" ht="27.75" customHeight="1" s="34">
      <c r="B40" s="51" t="inlineStr">
        <is>
          <t>Stage 6 Card: Integrate, Then Remove the Drills</t>
        </is>
      </c>
    </row>
  </sheetData>
  <mergeCells count="37">
    <mergeCell ref="B2:M2"/>
    <mergeCell ref="B23:D23"/>
    <mergeCell ref="B6:E6"/>
    <mergeCell ref="B8:M8"/>
    <mergeCell ref="B17:M17"/>
    <mergeCell ref="B5:E5"/>
    <mergeCell ref="B29:M29"/>
    <mergeCell ref="B38:M38"/>
    <mergeCell ref="B34:M34"/>
    <mergeCell ref="B10:M10"/>
    <mergeCell ref="B28:M28"/>
    <mergeCell ref="B19:M19"/>
    <mergeCell ref="B37:M37"/>
    <mergeCell ref="B40:M40"/>
    <mergeCell ref="B30:M30"/>
    <mergeCell ref="J5:M5"/>
    <mergeCell ref="B24:D24"/>
    <mergeCell ref="F6:I6"/>
    <mergeCell ref="B20:D20"/>
    <mergeCell ref="E20:M20"/>
    <mergeCell ref="E25:M25"/>
    <mergeCell ref="B4:D4"/>
    <mergeCell ref="E22:M22"/>
    <mergeCell ref="B36:M36"/>
    <mergeCell ref="B32:M32"/>
    <mergeCell ref="J6:M6"/>
    <mergeCell ref="E21:M21"/>
    <mergeCell ref="F5:I5"/>
    <mergeCell ref="B25:D25"/>
    <mergeCell ref="B35:M35"/>
    <mergeCell ref="E24:M24"/>
    <mergeCell ref="B3:M3"/>
    <mergeCell ref="B22:D22"/>
    <mergeCell ref="E23:M23"/>
    <mergeCell ref="B21:D21"/>
    <mergeCell ref="B27:M27"/>
    <mergeCell ref="B39:M39"/>
  </mergeCells>
  <hyperlinks>
    <hyperlink ref="B4" location="'Start Here'!B2" display="START HERE"/>
    <hyperlink ref="B20" location="'Drill Library'!B2" display="Drill Library"/>
    <hyperlink ref="B21" location="'Practice Plan'!B2" display="Practice Plan"/>
    <hyperlink ref="B22" location="'Coach Cards'!B2" display="Coach Cards"/>
    <hyperlink ref="B23" location="'AI &amp; Safety'!B2" display="AI &amp; Safety"/>
    <hyperlink ref="B24" location="'Training Logs'!B2" display="Training Logs"/>
    <hyperlink ref="B25" location="'Basis &amp; Limits'!B2" display="Sources"/>
    <hyperlink ref="B35" location="'Coach Cards'!B24" display="Stage 1 Card: Gather, Land, Deliver"/>
    <hyperlink ref="B36" location="'Coach Cards'!B50" display="Stage 2 Card: Coil, Receive, Organize"/>
    <hyperlink ref="B37" location="'Coach Cards'!B76" display="Stage 3 Card: Supported Turn, Controlled Reach"/>
    <hyperlink ref="B38" location="'Coach Cards'!B102" display="Stage 4 Card: Add Movement, Keep Control"/>
    <hyperlink ref="B39" location="'Coach Cards'!B128" display="Stage 5 Card: Rhythm Meets a Moving Ball"/>
    <hyperlink ref="B40" location="'Coach Cards'!B154" display="Stage 6 Card: Integrate, Then Remove the Drills"/>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87F8C"/>
    <outlinePr summaryBelow="1" summaryRight="1"/>
    <pageSetUpPr fitToPage="0"/>
  </sheetPr>
  <dimension ref="A1:N74"/>
  <sheetViews>
    <sheetView showFormulas="0" showGridLines="0" showRowColHeaders="1" showZeros="1" rightToLeft="0" tabSelected="0" showOutlineSymbols="1" defaultGridColor="1" view="normal" topLeftCell="A1" colorId="64" zoomScale="75" zoomScaleNormal="75"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baseColWidth="8" defaultColWidth="8.6796875" defaultRowHeight="15" customHeight="0" zeroHeight="0" outlineLevelRow="0"/>
  <cols>
    <col width="3" customWidth="1" style="33" min="1" max="1"/>
    <col width="7" customWidth="1" style="33" min="2" max="2"/>
    <col width="24" customWidth="1" style="33" min="3" max="3"/>
    <col width="28" customWidth="1" style="33" min="4" max="4"/>
    <col width="56" customWidth="1" style="33" min="5" max="5"/>
    <col width="48" customWidth="1" style="33" min="6" max="6"/>
    <col width="44" customWidth="1" style="33" min="7" max="7"/>
    <col width="64" customWidth="1" style="33" min="8" max="8"/>
    <col width="58" customWidth="1" style="33" min="9" max="9"/>
    <col width="42" customWidth="1" style="33" min="10" max="10"/>
    <col width="85" customWidth="1" style="33" min="11" max="11"/>
    <col width="62" customWidth="1" style="33" min="12" max="12"/>
    <col width="64" customWidth="1" style="33" min="13" max="13"/>
    <col width="18" customWidth="1" style="33" min="14" max="14"/>
  </cols>
  <sheetData>
    <row r="1" ht="9.75" customHeight="1" s="34"/>
    <row r="2" ht="39.75" customHeight="1" s="34">
      <c r="B2" s="35" t="inlineStr">
        <is>
          <t>DRILL LIBRARY</t>
        </is>
      </c>
    </row>
    <row r="3" ht="27.75" customHeight="1" s="34">
      <c r="B3" s="36" t="inlineStr">
        <is>
          <t>One row per drill. Filter by category; scroll right for the five full AI-analysis fields. No instructions have been shortened. Drill names are generic Base Recruits names.</t>
        </is>
      </c>
    </row>
    <row r="4" ht="27" customHeight="1" s="34">
      <c r="B4" s="37" t="inlineStr">
        <is>
          <t>START HERE</t>
        </is>
      </c>
    </row>
    <row r="5" ht="42.75" customHeight="1" s="34">
      <c r="B5" s="43" t="inlineStr">
        <is>
          <t>Drill ID</t>
        </is>
      </c>
      <c r="C5" s="43" t="inlineStr">
        <is>
          <t>Category</t>
        </is>
      </c>
      <c r="D5" s="43" t="inlineStr">
        <is>
          <t>Drill name</t>
        </is>
      </c>
      <c r="E5" s="43" t="inlineStr">
        <is>
          <t>Related drill</t>
        </is>
      </c>
      <c r="F5" s="43" t="inlineStr">
        <is>
          <t>Objective</t>
        </is>
      </c>
      <c r="G5" s="43" t="inlineStr">
        <is>
          <t>Equipment</t>
        </is>
      </c>
      <c r="H5" s="43" t="inlineStr">
        <is>
          <t>Step-by-step instructions</t>
        </is>
      </c>
      <c r="I5" s="43" t="inlineStr">
        <is>
          <t>AI: views &amp; landmarks</t>
        </is>
      </c>
      <c r="J5" s="43" t="inlineStr">
        <is>
          <t>AI: movement phase</t>
        </is>
      </c>
      <c r="K5" s="43" t="inlineStr">
        <is>
          <t>AI: candidate flaw analysis</t>
        </is>
      </c>
      <c r="L5" s="43" t="inlineStr">
        <is>
          <t>AI: example feedback</t>
        </is>
      </c>
      <c r="M5" s="43" t="inlineStr">
        <is>
          <t>AI: limits / uncertainty</t>
        </is>
      </c>
      <c r="N5" s="43" t="inlineStr">
        <is>
          <t>Coach notes</t>
        </is>
      </c>
    </row>
    <row r="6" ht="117" customHeight="1" s="34">
      <c r="B6" s="52" t="n">
        <v>1</v>
      </c>
      <c r="C6" s="36" t="inlineStr">
        <is>
          <t>Top hand / back arm</t>
        </is>
      </c>
      <c r="D6" s="36" t="inlineStr">
        <is>
          <t>One-Hand Top-Hand Tee</t>
        </is>
      </c>
      <c r="E6" s="36" t="n"/>
      <c r="F6" s="36" t="inlineStr">
        <is>
          <t>Build top-hand barrel control with a coordinated turn rather than a forced arm push.</t>
        </is>
      </c>
      <c r="G6" s="36" t="inlineStr">
        <is>
          <t>Tee, short/light one-hand bat or manageable choked-up bat, soft balls, net.</t>
        </is>
      </c>
      <c r="H6" s="36" t="inlineStr">
        <is>
          <t>• Set the tee at a comfortable middle-zone contact point.
• Grip with the top hand only; rest the free hand on your chest.
• Rehearse the turn slowly, allowing the rear elbow to move naturally.
• Hit at controlled effort without forcing the arm straight or pinning the elbow to the ribs.
• Complete 6–10 reps, then five normal two-hand swings.</t>
        </is>
      </c>
      <c r="I6" s="36" t="inlineStr">
        <is>
          <t>Open-side plus protected front/oblique view; track rear shoulder, elbow, wrist, grip, torso, hips, knob, cap, ball, and visible hand landmarks.</t>
        </is>
      </c>
      <c r="J6" s="36" t="inlineStr">
        <is>
          <t>Swing initiation through contact and early follow-through.</t>
        </is>
      </c>
      <c r="K6" s="36" t="inlineStr">
        <is>
          <t>Plot rear-elbow movement relative to the grip and torso alongside barrel arrival at the ball. Flag candidate bat drag when an elbow-ahead pattern persists while barrel delivery remains delayed relative to matched controlled reps, not from normal lag alone. Flag candidate casting when the grip moves outward early and the hand/barrel path widens before reaching the ball. Review possible early rollover only if visible hand orientation turns over before the contact interval; otherwise withhold that label. Record the free hand leaving the chest separately as drill compliance.</t>
        </is>
      </c>
      <c r="L6" s="36" t="inlineStr">
        <is>
          <t>“Your rear elbow moved ahead of the grip while the barrel stayed behind longer than in your controlled reps. Reduce effort and rehearse delivering the barrel with the turn.”</t>
        </is>
      </c>
      <c r="M6" s="36" t="inlineStr">
        <is>
          <t>One-hand mechanics are not a two-hand template. A barrel below the hands or an elbow ahead in one image is insufficient evidence of a flaw.</t>
        </is>
      </c>
      <c r="N6" s="53" t="n"/>
    </row>
    <row r="7" ht="132" customHeight="1" s="34">
      <c r="B7" s="52" t="n">
        <v>2</v>
      </c>
      <c r="C7" s="36" t="inlineStr">
        <is>
          <t>Top hand / back arm</t>
        </is>
      </c>
      <c r="D7" s="36" t="inlineStr">
        <is>
          <t>Top-Hand Soft Toss</t>
        </is>
      </c>
      <c r="E7" s="36" t="n"/>
      <c r="F7" s="36" t="inlineStr">
        <is>
          <t>Transfer top-hand control to a moving ball while maintaining a comfortable contact orientation.</t>
        </is>
      </c>
      <c r="G7" s="36" t="inlineStr">
        <is>
          <t>Light one-hand bat, soft balls, net, trained tosser positioned outside the swing arc and protected as appropriate.</t>
        </is>
      </c>
      <c r="H7" s="36" t="inlineStr">
        <is>
          <t>• Use the top hand only and place the free hand on your chest.
• Have the tosser deliver consistent, gentle tosses into a comfortable hitting zone.
• Make a smooth turn to meet the ball; do not force the wrist into position.
• Allow a natural follow-through instead of holding the palm rigid after contact.
• Take 5–8 controlled tosses, then a short two-hand round.</t>
        </is>
      </c>
      <c r="I7" s="36" t="inlineStr">
        <is>
          <t>Side view for ball timing plus a protected oblique close view of the top hand; track ball, bat, rear arm, hips, shoulders, wrist, thumb, and finger bases.</t>
        </is>
      </c>
      <c r="J7" s="36" t="inlineStr">
        <is>
          <t>Toss release → swing initiation → contact interval → early follow-through.</t>
        </is>
      </c>
      <c r="K7" s="36" t="inlineStr">
        <is>
          <t>Classify toss location before comparing reps. Track hand orientation in the camera-calibrated frame and flag possible early rollover only when a repeatable visible turnover starts before contact, with sufficient hand detail to distinguish it from whole-arm turning. Track early reaching as increasing elbow extension and hand-to-torso distance before the ball arrives. Compare pelvis/torso movement with matched reps as context, without declaring an “arm-only swing” from a single projected hip angle.</t>
        </is>
      </c>
      <c r="L7" s="36" t="inlineStr">
        <is>
          <t>“On these similar tosses, your top hand began turning over before the bat reached the ball. Try a slower rep and let the ball reach the contact point.”</t>
        </is>
      </c>
      <c r="M7" s="36" t="inlineStr">
        <is>
          <t>An inconsistent toss can change timing and reach. A pull-side ground ball is an outcome, not confirmation of rollover; occluded hands require “not assessable.”</t>
        </is>
      </c>
      <c r="N7" s="53" t="n"/>
    </row>
    <row r="8" ht="132" customHeight="1" s="34">
      <c r="B8" s="52" t="n">
        <v>3</v>
      </c>
      <c r="C8" s="36" t="inlineStr">
        <is>
          <t>Top hand / back arm</t>
        </is>
      </c>
      <c r="D8" s="36" t="inlineStr">
        <is>
          <t>Back-Elbow Slot Pause</t>
        </is>
      </c>
      <c r="E8" s="36" t="n"/>
      <c r="F8" s="36" t="inlineStr">
        <is>
          <t>Explore rear-arm organization during the turn without forcing a fixed elbow height or slot angle.</t>
        </is>
      </c>
      <c r="G8" s="36" t="inlineStr">
        <is>
          <t>Light bat, tee, soft balls, net; optional mirror or video replay for slow rehearsals.</t>
        </is>
      </c>
      <c r="H8" s="36" t="inlineStr">
        <is>
          <t>• Begin in your normal stance and load.
• Slowly turn to an early delivery position selected with a coach, then pause for one count.
• Check that the arm and bat remain comfortable and controllable; do not jam the elbow into the hip.
• Reset fully before taking a continuous tee swing.
• Alternate three slow pause rehearsals with five controlled swings.</t>
        </is>
      </c>
      <c r="I8" s="36" t="inlineStr">
        <is>
          <t>Side and protected front/oblique views; track rear shoulder, elbow, wrist, grip, shoulders, hips, bat, and tee.</t>
        </is>
      </c>
      <c r="J8" s="36" t="inlineStr">
        <is>
          <t>Load → slow turn → pause; analyze the subsequent full swing separately.</t>
        </is>
      </c>
      <c r="K8" s="36" t="inlineStr">
        <is>
          <t>Measure rear-elbow height and motion relative to the shoulder and torso, rather than the image floor alone. Flag candidate excessive elbow drop when elbow/hand descent combines with a repeated barrel-path deviation below the intended delivery path for the same tee location, followed by a late correction. Review outward elbow separation when elbow motion away from the torso accompanies outward hand travel and a widened barrel approach. Verify the pause as a separate compliance event.</t>
        </is>
      </c>
      <c r="L8" s="36" t="inlineStr">
        <is>
          <t>“Your elbow and grip dropped together before the barrel entered the delivery path, then you lifted back toward the ball. Rehearse the turn more slowly without forcing the elbow down.”</t>
        </is>
      </c>
      <c r="M8" s="36" t="inlineStr">
        <is>
          <t>Normal elbow lowering, rear-shoulder tilt, and barrel depth are not automatically errors. A held pose does not prove that the same organization persists at full speed.</t>
        </is>
      </c>
      <c r="N8" s="53" t="n"/>
    </row>
    <row r="9" ht="147" customHeight="1" s="34">
      <c r="B9" s="52" t="n">
        <v>4</v>
      </c>
      <c r="C9" s="36" t="inlineStr">
        <is>
          <t>Top hand / back arm</t>
        </is>
      </c>
      <c r="D9" s="36" t="inlineStr">
        <is>
          <t>Open Top-Hand Tee</t>
        </is>
      </c>
      <c r="E9" s="36" t="n"/>
      <c r="F9" s="36" t="inlineStr">
        <is>
          <t>Explore a relaxed top-hand contact with the handle while the bottom hand securely controls the bat.</t>
        </is>
      </c>
      <c r="G9" s="36" t="inlineStr">
        <is>
          <t>Light bat, tee, soft balls, net; close hand-view camera if available.</t>
        </is>
      </c>
      <c r="H9" s="36" t="inlineStr">
        <is>
          <t>• Keep a secure bottom-hand grip and rest the open top hand lightly against the handle.
• Begin with slow dry turns; do not attempt the drill if the bat cannot be controlled securely.
• Add gentle tee swings toward a comfortable opposite-field target.
• Allow the torso to turn naturally rather than holding the shoulders rigid.
• Complete 5–8 reps, then restore the normal grip and compare.</t>
        </is>
      </c>
      <c r="I9" s="36" t="inlineStr">
        <is>
          <t>Side and oblique hand views; track both hands, finger joints when visible, rear elbow, shoulders, hips, grip, bat, and ball.</t>
        </is>
      </c>
      <c r="J9" s="36" t="inlineStr">
        <is>
          <t>Setup through contact, with a separate normal-grip comparison.</t>
        </is>
      </c>
      <c r="K9" s="36" t="inlineStr">
        <is>
          <t>Check whether the top fingers visibly wrap around the handle after starting open; report this as re-grip/drill compliance, not measured grip tension. Review candidate drag when the rear elbow advances relative to the grip while the barrel remains delayed compared with controlled reps using the same open-hand setup. Review pulling away when the hands leave the delivery region early together with increased torso displacement and disrupted contact, rather than judging shoulder rotation alone.</t>
        </is>
      </c>
      <c r="L9" s="36" t="inlineStr">
        <is>
          <t>“Your top fingers closed around the handle before contact. Return to a slower rehearsal while keeping secure control with the bottom hand.”</t>
        </is>
      </c>
      <c r="M9" s="36" t="inlineStr">
        <is>
          <t>Finger posture cannot measure grip pressure or which hand generates force. Hidden fingers cannot establish re-gripping, and opposite-field flight does not prove correct mechanics.</t>
        </is>
      </c>
      <c r="N9" s="53" t="n"/>
    </row>
    <row r="10" ht="117" customHeight="1" s="34">
      <c r="B10" s="52" t="n">
        <v>5</v>
      </c>
      <c r="C10" s="36" t="inlineStr">
        <is>
          <t>Top hand / back arm</t>
        </is>
      </c>
      <c r="D10" s="36" t="inlineStr">
        <is>
          <t>Split-Grip Contact Tee</t>
        </is>
      </c>
      <c r="E10" s="36" t="n"/>
      <c r="F10" s="36" t="inlineStr">
        <is>
          <t>Increase awareness of hand coordination and arm extension timing with a comfortably separated grip.</t>
        </is>
      </c>
      <c r="G10" s="36" t="inlineStr">
        <is>
          <t>Light bat with sufficient safe grip area, tee, soft balls, net, optional grip-position tape.</t>
        </is>
      </c>
      <c r="H10" s="36" t="inlineStr">
        <is>
          <t>• Separate the hands a small, comfortable distance while keeping both securely on the handle.
• Slowly rehearse to the intended contact position without a ball.
• Check for comfortable elbows and wrists; do not force either elbow to a fixed angle.
• Add controlled tee swings with a natural follow-through.
• Take 6–10 reps, then five normal-grip swings.</t>
        </is>
      </c>
      <c r="I10" s="36" t="inlineStr">
        <is>
          <t>Side plus protected front/oblique view; track each shoulder, elbow, wrist, hand, grip position, torso, bat, and ball.</t>
        </is>
      </c>
      <c r="J10" s="36" t="inlineStr">
        <is>
          <t>Setup → swing initiation → contact → early follow-through.</t>
        </is>
      </c>
      <c r="K10" s="36" t="inlineStr">
        <is>
          <t>Verify that hand spacing remains intentional. Plot each elbow's extension relative to barrel delivery; flag candidate early reach/lockout when the rear arm straightens well before the matched contact window while the grip moves outward and the barrel requires a wider approach. Review candidate drag only when rear-elbow advancement and delayed barrel arrival occur together. Review possible rollover using visible hand orientation before contact, never wrist vertical ordering alone.</t>
        </is>
      </c>
      <c r="L10" s="36" t="inlineStr">
        <is>
          <t>“Your rear arm straightened early and the hands moved away from your torso before the barrel reached the ball. Reduce speed and compare with your shorter, controlled delivery.”</t>
        </is>
      </c>
      <c r="M10" s="36" t="inlineStr">
        <is>
          <t>Split grip intentionally changes leverage and joint positions. Elbow convergence, crossed wrists in projection, and a straight arm at one instant are not independent diagnoses.</t>
        </is>
      </c>
      <c r="N10" s="53" t="n"/>
    </row>
    <row r="11" ht="117" customHeight="1" s="34">
      <c r="B11" s="52" t="n">
        <v>6</v>
      </c>
      <c r="C11" s="36" t="inlineStr">
        <is>
          <t>Top hand / back arm</t>
        </is>
      </c>
      <c r="D11" s="36" t="inlineStr">
        <is>
          <t>Top-Hand Release Tee</t>
        </is>
      </c>
      <c r="E11" s="36" t="n"/>
      <c r="F11" s="36" t="inlineStr">
        <is>
          <t>Practice a controlled post-contact top-hand release without changing the pre-contact delivery to force it.</t>
        </is>
      </c>
      <c r="G11" s="36" t="inlineStr">
        <is>
          <t>Manageable bat, tee, soft balls, net, clear follow-through space.</t>
        </is>
      </c>
      <c r="H11" s="36" t="inlineStr">
        <is>
          <t>• Begin with slow two-hand dry swings.
• Keep both hands on the bat through the intended contact point.
• Allow the top hand to release during the post-contact follow-through while the bottom hand retains control.
• Finish naturally without forcing a high finish or a particular chest direction.
• Take 5–8 gentle tee swings, then compare normal swings.</t>
        </is>
      </c>
      <c r="I11" s="36" t="inlineStr">
        <is>
          <t>Side view plus a protected close oblique hand view; track both wrists/fingers, the handle's grip region, elbows, shoulders, torso, bat, and ball.</t>
        </is>
      </c>
      <c r="J11" s="36" t="inlineStr">
        <is>
          <t>Immediately before contact → contact interval → visible release → finish.</t>
        </is>
      </c>
      <c r="K11" s="36" t="inlineStr">
        <is>
          <t>Detect release from visible finger opening and separation of the top hand from its grip location, corroborated across frames. Flag premature release for this drill only if separation clearly precedes contact, not merely because the wrist moves away from the knob. Analyze possible early rollover independently in the pre-contact window. Track loss of control after release as an abrupt bat-path change, recovery step, or disrupted finish compared with controlled reps.</t>
        </is>
      </c>
      <c r="L11" s="36" t="inlineStr">
        <is>
          <t>“Your top hand left the handle before the contact interval. Use a slower two-hand delivery and let the release happen afterward.”</t>
        </is>
      </c>
      <c r="M11" s="36" t="inlineStr">
        <is>
          <t>Hand occlusion can mimic release. There is no universal millisecond release deadline, and a one-hand finish is not required for a successful game swing.</t>
        </is>
      </c>
      <c r="N11" s="53" t="n"/>
    </row>
    <row r="12" ht="147" customHeight="1" s="34">
      <c r="B12" s="52" t="n">
        <v>7</v>
      </c>
      <c r="C12" s="36" t="inlineStr">
        <is>
          <t>Top hand / back arm</t>
        </is>
      </c>
      <c r="D12" s="36" t="inlineStr">
        <is>
          <t>Top-Hand Extension Hold</t>
        </is>
      </c>
      <c r="E12" s="36" t="n"/>
      <c r="F12" s="36" t="inlineStr">
        <is>
          <t>Develop awareness of a comfortable through-contact position and controlled deceleration.</t>
        </is>
      </c>
      <c r="G12" s="36" t="inlineStr">
        <is>
          <t>Very light training bat, tee, soft balls, net.</t>
        </is>
      </c>
      <c r="H12" s="36" t="inlineStr">
        <is>
          <t>• Start with a slow top-hand-only dry rehearsal; keep the free hand on the chest.
• Move through the contact region into a comfortable extended position without locking the elbow.
• Decelerate gently and hold the position for two seconds; never abruptly stop a full-speed swing.
• Add very low-effort soft-ball tee reps only if comfortable.
• Complete 5–8 reps, then compare with smooth two-hand swings.</t>
        </is>
      </c>
      <c r="I12" s="36" t="inlineStr">
        <is>
          <t>Side and oblique views; track rear shoulder/elbow/wrist, torso, top-hand landmarks, bat, and ball if used.</t>
        </is>
      </c>
      <c r="J12" s="36" t="inlineStr">
        <is>
          <t>Contact-region passage → deceleration → hold; no impact timestamp is assigned to dry reps.</t>
        </is>
      </c>
      <c r="K12" s="36" t="inlineStr">
        <is>
          <t>Track elbow-extension progression, grip travel relative to the torso, and bat direction through the selected region. Flag candidate early withdrawal when the hand reverses inward or wraps away before completing the coach-selected rehearsal path, with visible loss of delivery control. Review possible early rollover only before contact, not from the eventual hold orientation. Measure hold duration and gross movement while separating low-confidence landmark jitter from actual movement.</t>
        </is>
      </c>
      <c r="L12" s="36" t="inlineStr">
        <is>
          <t>“Your hand returned toward your torso before you reached the planned hold position. Make the rehearsal slower and finish the controlled path without forcing the elbow straight.”</t>
        </is>
      </c>
      <c r="M12" s="36" t="inlineStr">
        <is>
          <t>The hold is an artificial constraint, not a required game-swing finish. The bat travels on a curved path; straight-line extension and an exactly palm-up finish are not universal requirements.</t>
        </is>
      </c>
      <c r="N12" s="53" t="n"/>
    </row>
    <row r="13" ht="117" customHeight="1" s="34">
      <c r="B13" s="52" t="n">
        <v>8</v>
      </c>
      <c r="C13" s="36" t="inlineStr">
        <is>
          <t>Top hand / back arm</t>
        </is>
      </c>
      <c r="D13" s="36" t="inlineStr">
        <is>
          <t>Double-Tee Path Swings</t>
        </is>
      </c>
      <c r="E13" s="36" t="n"/>
      <c r="F13" s="36" t="inlineStr">
        <is>
          <t>Provide adjustable feedback on an unwanted early barrel-path deviation.</t>
        </is>
      </c>
      <c r="G13" s="36" t="inlineStr">
        <is>
          <t>Contact tee, soft adjustable rear obstacle or flexible second tee, bat, soft balls, net.</t>
        </is>
      </c>
      <c r="H13" s="36" t="inlineStr">
        <is>
          <t>• Set the contact tee at a comfortable location.
• Have a coach position a soft rear obstacle to target the observed deviation without blocking the hitter's controlled path.
• Rehearse very slowly to verify safe clearance.
• Add controlled tee swings; reset or reposition the obstacle if it encourages chopping or an awkward swing.
• Take 6–10 reps, then remove the obstacle and compare.</t>
        </is>
      </c>
      <c r="I13" s="36" t="inlineStr">
        <is>
          <t>Side plus oblique cross-check; track knob, cap, ball, both obstacle boundaries, grip, rear elbow, shoulders, and hips.</t>
        </is>
      </c>
      <c r="J13" s="36" t="inlineStr">
        <is>
          <t>Swing initiation through contact, retaining frames immediately before any obstacle touch.</t>
        </is>
      </c>
      <c r="K13" s="36" t="inlineStr">
        <is>
          <t>Track the bat as a segment and estimate its clearance from the obstacle. Mark constraint contact only with corroborating evidence such as visible overlap in appropriate views plus obstacle deflection; image overlap alone may be depth ambiguity. Review candidate early barrel dump/drag when the barrel takes a repeated early downward/backward deviation and arrives late relative to matched reps, with the elbow–hand relationship supplying context. Also flag a new steep compensating approach as an unintended response to the setup.</t>
        </is>
      </c>
      <c r="L13" s="36" t="inlineStr">
        <is>
          <t>“The barrel contacted the rear obstacle before approaching the ball. Review the preceding path with your coach, and adjust the obstacle if it blocks your controlled swing.”</t>
        </is>
      </c>
      <c r="M13" s="36" t="inlineStr">
        <is>
          <t>Obstacle contact does not prove bat drag. Natural barrel depth varies with pitch location, and keeping the barrel above the hands throughout the swing is not the goal.</t>
        </is>
      </c>
      <c r="N13" s="53" t="n"/>
    </row>
    <row r="14" ht="132" customHeight="1" s="34">
      <c r="B14" s="52" t="n">
        <v>9</v>
      </c>
      <c r="C14" s="36" t="inlineStr">
        <is>
          <t>Top hand / back arm</t>
        </is>
      </c>
      <c r="D14" s="36" t="inlineStr">
        <is>
          <t>Soft-Net Hand-Path Swings</t>
        </is>
      </c>
      <c r="E14" s="36" t="n"/>
      <c r="F14" s="36" t="inlineStr">
        <is>
          <t>Explore hand-path control without pushing the hands outward prematurely.</t>
        </is>
      </c>
      <c r="G14" s="36" t="inlineStr">
        <is>
          <t>Soft net or virtual boundary, light bat, clear space; no hard wall or fence contact.</t>
        </is>
      </c>
      <c r="H14" s="36" t="inlineStr">
        <is>
          <t>• With a coach, choose a safe boundary that allows a controlled swing rather than standing at a fixed bat-length distance.
• Start with slow dry turns and no ball.
• Allow the hands and barrel to turn naturally without reaching toward the boundary.
• Stop and reset after contact with the soft net; do not force the elbows against the body.
• Complete 6–10 slow reps, then compare unrestricted swings.</t>
        </is>
      </c>
      <c r="I14" s="36" t="inlineStr">
        <is>
          <t>Protected oblique/front view plus side view if available; track grip, rear elbow, shoulders, hips, bat segment, and net plane.</t>
        </is>
      </c>
      <c r="J14" s="36" t="inlineStr">
        <is>
          <t>Load through the coach-selected contact-region passage and follow-through; there is no actual ball-contact event.</t>
        </is>
      </c>
      <c r="K14" s="36" t="inlineStr">
        <is>
          <t>Express hand travel relative to the moving torso rather than a fixed screen point. Flag candidate casting when the grip moves outward early while the barrel arc widens toward the boundary, relative to safe reference reps. Treat confirmed net contact as a compliance event and inspect the approach frames to distinguish reaching from simply poor obstacle placement. Review candidate drag only if elbow advancement and delayed barrel delivery are also visible, not from a torso-midline crossing alone.</t>
        </is>
      </c>
      <c r="L14" s="36" t="inlineStr">
        <is>
          <t>“Your hands moved toward the net before the barrel reached the planned delivery region. Slow the rehearsal and compare the hand path with your unrestricted controlled rep.”</t>
        </is>
      </c>
      <c r="M14" s="36" t="inlineStr">
        <is>
          <t>A single view cannot reliably distinguish net contact from projection overlap. Avoiding a net can encourage an unnaturally cramped swing, so obstacle clearance alone is not success.</t>
        </is>
      </c>
      <c r="N14" s="53" t="n"/>
    </row>
    <row r="15" ht="162" customHeight="1" s="34">
      <c r="B15" s="52" t="n">
        <v>10</v>
      </c>
      <c r="C15" s="36" t="inlineStr">
        <is>
          <t>Top hand / back arm</t>
        </is>
      </c>
      <c r="D15" s="36" t="inlineStr">
        <is>
          <t>Rear-Elbow Path Video Check</t>
        </is>
      </c>
      <c r="E15" s="36" t="n"/>
      <c r="F15" s="36" t="inlineStr">
        <is>
          <t>Make the rear-elbow/hand relationship visible without physically restricting the arm.</t>
        </is>
      </c>
      <c r="G15" s="36" t="inlineStr">
        <is>
          <t>Camera/tripod and on-screen overlay, light bat, tee, soft balls, net; no rigid elbow barrier.</t>
        </is>
      </c>
      <c r="H15" s="36" t="inlineStr">
        <is>
          <t>• Record a few controlled swings from side and protected front/oblique views.
• With a coach, identify the rear elbow and grip through the delivery.
• Overlay their paths relative to the torso; do not place a hard object in the elbow path.
• Rehearse slowly, then hit controlled tee reps without deliberately pinning the elbow back.
• Review 5–8 reps for a repeatable pattern rather than judging one pose.</t>
        </is>
      </c>
      <c r="I15" s="36" t="inlineStr">
        <is>
          <t>Synchronized side and front/oblique views preferred; track rear shoulder/elbow/wrist, both hands, torso midline proxy, knob, cap, and ball.</t>
        </is>
      </c>
      <c r="J15" s="36" t="inlineStr">
        <is>
          <t>Swing initiation through contact.</t>
        </is>
      </c>
      <c r="K15" s="36" t="inlineStr">
        <is>
          <t>Plot torso-relative rear-elbow and grip trajectories together with bat-axis progression. Flag candidate racing-elbow bat drag when the elbow repeatedly advances relative to the grip while the barrel remains delayed and requires a late delivery adjustment compared with controlled reps. Use front view to inspect the elbow–hand relationship and side view to inspect barrel arrival; neither alone establishes the diagnosis. Show the entire flagged interval rather than a single elbow-stack image.</t>
        </is>
      </c>
      <c r="L15" s="36" t="inlineStr">
        <is>
          <t>“Across these reps, your rear elbow moved ahead of the grip while the barrel stayed behind until late. Compare the highlighted sequence with your controlled rep at lower effort.”</t>
        </is>
      </c>
      <c r="M15" s="36" t="inlineStr">
        <is>
          <t>A navel is not necessarily a detected landmark; use a labeled torso-midline proxy. Elbow crossing or stacking in projection can be normal or camera-dependent, and a virtual boundary must not become a universal anatomical rule.</t>
        </is>
      </c>
      <c r="N15" s="53" t="n"/>
    </row>
    <row r="16" ht="147" customHeight="1" s="34">
      <c r="B16" s="52" t="n">
        <v>11</v>
      </c>
      <c r="C16" s="36" t="inlineStr">
        <is>
          <t>Top hand / back arm</t>
        </is>
      </c>
      <c r="D16" s="36" t="inlineStr">
        <is>
          <t>Opposite-Field Deep Tee</t>
        </is>
      </c>
      <c r="E16" s="36" t="n"/>
      <c r="F16" s="36" t="inlineStr">
        <is>
          <t>Practice a deeper contact location and opposite-field intent while reviewing pre-contact hand control.</t>
        </is>
      </c>
      <c r="G16" s="36" t="inlineStr">
        <is>
          <t>Tee, bat, balls, net, marked opposite-field target; camera covering initial ball flight if feasible.</t>
        </is>
      </c>
      <c r="H16" s="36" t="inlineStr">
        <is>
          <t>• Place the tee slightly deeper than the hitter's usual middle-zone contact point, within comfortable reach.
• Mark a safe opposite-field target.
• Swing smoothly without steering the shoulders rigidly toward the target or forcing the palm to stay up.
• Record target hits and contact quality separately from mechanical observations.
• Take 8–10 reps, then compare a short set at the original tee position.</t>
        </is>
      </c>
      <c r="I16" s="36" t="inlineStr">
        <is>
          <t>Side view for contact depth plus protected oblique hand view and calibrated ball-flight view if available; track hands, rear arm, torso, bat, ball, tee, and target.</t>
        </is>
      </c>
      <c r="J16" s="36" t="inlineStr">
        <is>
          <t>Swing initiation → pre-contact window → impact → initial ball departure.</t>
        </is>
      </c>
      <c r="K16" s="36" t="inlineStr">
        <is>
          <t>Match comparisons to the same tee depth. Review possible early rollover when visible hand orientation turns over before contact, independently of where the ball travels. Review early reaching/pulling across when outward hand travel or early withdrawal changes the approach before the deeper contact point. Log ball direction as a separate outcome and overlay actual contact position for context.</t>
        </is>
      </c>
      <c r="L16" s="36" t="inlineStr">
        <is>
          <t>“Your hands began withdrawing across the body before the deeper contact point on these reps. Reduce effort and compare the approach with your controlled opposite-field rep.”</t>
        </is>
      </c>
      <c r="M16" s="36" t="inlineStr">
        <is>
          <t>Hitting opposite field does not rule out rollover, and a pull-side ground ball does not prove it. True spray or launch angles require suitable geometry; a single uncalibrated view supports only limited directional estimates.</t>
        </is>
      </c>
      <c r="N16" s="53" t="n"/>
    </row>
    <row r="17" ht="147" customHeight="1" s="34">
      <c r="B17" s="52" t="n">
        <v>12</v>
      </c>
      <c r="C17" s="36" t="inlineStr">
        <is>
          <t>Top hand / back arm</t>
        </is>
      </c>
      <c r="D17" s="36" t="inlineStr">
        <is>
          <t>Top-Hand Delivery, One-Hand Finish</t>
        </is>
      </c>
      <c r="E17" s="36" t="n"/>
      <c r="F17" s="36" t="inlineStr">
        <is>
          <t>Explore coordinated hand delivery and a controlled follow-through without exaggerating independent arm forces.</t>
        </is>
      </c>
      <c r="G17" s="36" t="inlineStr">
        <is>
          <t>Light or manageable bat, tee, soft balls, net, clear follow-through space.</t>
        </is>
      </c>
      <c r="H17" s="36" t="inlineStr">
        <is>
          <t>• Use a comfortable normal grip for this simplified version; do not force an inverted wrist position.
• Rehearse a smooth two-hand delivery through the contact region.
• Treat “push-pull” as a feel cue, not an instruction to shove one arm straight or yank the other backward.
• If comfortable, allow a top-hand release after contact while retaining bottom-hand control.
• Complete 6–10 reps, then compare with normal swings.</t>
        </is>
      </c>
      <c r="I17" s="36" t="inlineStr">
        <is>
          <t>Side plus protected oblique/front view; track both shoulders, elbows, wrists, visible hand landmarks, head, hips, bat, and ball.</t>
        </is>
      </c>
      <c r="J17" s="36" t="inlineStr">
        <is>
          <t>Swing initiation through contact, release if used, and finish.</t>
        </is>
      </c>
      <c r="K17" s="36" t="inlineStr">
        <is>
          <t>Compare both elbow-extension trajectories with grip and barrel delivery. Flag candidate early top-arm shove when rear-arm extension and outward grip travel begin early together, or candidate early withdrawal when the grip redirects inward before reaching the intended contact region. Review possible rollover only with usable pre-contact hand orientation. Record head/trunk displacement alongside delivery changes, rather than treating head movement or a bent front elbow alone as a fault. Verify any optional release occurs after the contact interval.</t>
        </is>
      </c>
      <c r="L17" s="36" t="inlineStr">
        <is>
          <t>“Your rear arm straightened early while the hands moved outward, changing the approach to the ball. Reduce the push-pull exaggeration and try a smoother coordinated turn.”</t>
        </is>
      </c>
      <c r="M17" s="36" t="inlineStr">
        <is>
          <t>Video kinematics cannot tell how much force each hand contributes or whether a player is truly pushing versus pulling. A bent front elbow, natural follow-through, or one-hand finish is not automatically defective.</t>
        </is>
      </c>
      <c r="N17" s="53" t="n"/>
    </row>
    <row r="18" ht="102.75" customHeight="1" s="34">
      <c r="B18" s="52" t="n">
        <v>13</v>
      </c>
      <c r="C18" s="36" t="inlineStr">
        <is>
          <t>Front leg</t>
        </is>
      </c>
      <c r="D18" s="36" t="inlineStr">
        <is>
          <t>Stride-to-Landing Hold</t>
        </is>
      </c>
      <c r="E18" s="36" t="n"/>
      <c r="F18" s="36" t="inlineStr">
        <is>
          <t>Practice a repeatable, controlled stride landing before adding the swing.</t>
        </is>
      </c>
      <c r="G18" s="36" t="inlineStr">
        <is>
          <t>Flat non-slip surface; floor tape for a comfortable landing target; optional bat for dry rehearsal.</t>
        </is>
      </c>
      <c r="H18" s="36" t="inlineStr">
        <is>
          <t>• Start in your normal batting stance.
• Make your normal load and stride without swinging.
• Land comfortably without deliberately snapping the knee straight.
• Hold the landing for two seconds, then reset.
• Perform 6–10 controlled repetitions.</t>
        </is>
      </c>
      <c r="I18" s="36" t="inlineStr">
        <is>
          <t>Side plus protected front view; track lead hip, knee, ankle, heel, toe, pelvis midpoint, and head.</t>
        </is>
      </c>
      <c r="J18" s="36" t="inlineStr">
        <is>
          <t>Final stride frames, first visible foot contact, and the two-second hold.</t>
        </is>
      </c>
      <c r="K18" s="36" t="inlineStr">
        <is>
          <t>Plot projected knee angle, heel/toe displacement, and pelvis travel. Flag a candidate unstable landing when the knee continues folding while the pelvis keeps advancing, the planted foot slides, or the hitter needs a recovery step. Record a near-straight landing for coach review only if it coincides with a visible jolt or loss of control; an angle alone is not a failure.</t>
        </is>
      </c>
      <c r="L18" s="36" t="inlineStr">
        <is>
          <t>“Your front foot landed, but your knee and hips kept moving forward during the hold. Rehearse landing and settling before adding the swing.”</t>
        </is>
      </c>
      <c r="M18" s="36" t="inlineStr">
        <is>
          <t>The no-swing drill cannot establish whether the leg braces effectively during a full swing or how much weight it carries.</t>
        </is>
      </c>
      <c r="N18" s="53" t="n"/>
    </row>
    <row r="19" ht="87.75" customHeight="1" s="34">
      <c r="B19" s="52" t="n">
        <v>14</v>
      </c>
      <c r="C19" s="36" t="inlineStr">
        <is>
          <t>Front leg</t>
        </is>
      </c>
      <c r="D19" s="36" t="inlineStr">
        <is>
          <t>Paused-Landing Tee Swings</t>
        </is>
      </c>
      <c r="E19" s="36" t="n"/>
      <c r="F19" s="36" t="inlineStr">
        <is>
          <t>Connect a controlled landing to rotation without an extra forward surge.</t>
        </is>
      </c>
      <c r="G19" s="36" t="inlineStr">
        <is>
          <t>Tee, light or regular bat suited to the hitter, balls, net.</t>
        </is>
      </c>
      <c r="H19" s="36" t="inlineStr">
        <is>
          <t>• Set the tee at a comfortable middle-zone contact point.
• Load and stride, then pause for one to two seconds.
• Swing smoothly from the paused position without another step.
• Let the lead leg support the turn without forcing lockout.
• Alternate five paused swings with five continuous swings.</t>
        </is>
      </c>
      <c r="I19" s="36" t="inlineStr">
        <is>
          <t>Side view; track both hips, lead knee/ankle, head, shoulders, bat, and ball.</t>
        </is>
      </c>
      <c r="J19" s="36" t="inlineStr">
        <is>
          <t>Landing → pause → swing restart → contact.</t>
        </is>
      </c>
      <c r="K19" s="36" t="inlineStr">
        <is>
          <t>Verify the pause separately from swing mechanics. Compare pelvis-forward travel and knee-angle change after restart with the hitter's controlled reps. Flag a candidate forward-collapse pattern when renewed knee flexion and continuing pelvis translation occur together into contact. A stable bent knee is not automatically a missing block.</t>
        </is>
      </c>
      <c r="L19" s="36" t="inlineStr">
        <is>
          <t>“You held the landing, then shifted forward again as the bat started. Try turning from the position you already established.”</t>
        </is>
      </c>
      <c r="M19" s="36" t="inlineStr">
        <is>
          <t>Compare paused reps with paused reps first; the pause intentionally changes rhythm, so its timing is not a live-swing template.</t>
        </is>
      </c>
      <c r="N19" s="53" t="n"/>
    </row>
    <row r="20" ht="117" customHeight="1" s="34">
      <c r="B20" s="52" t="n">
        <v>15</v>
      </c>
      <c r="C20" s="36" t="inlineStr">
        <is>
          <t>Front leg</t>
        </is>
      </c>
      <c r="D20" s="36" t="inlineStr">
        <is>
          <t>Walk-Up Momentum Swings</t>
        </is>
      </c>
      <c r="E20" s="36" t="n"/>
      <c r="F20" s="36" t="inlineStr">
        <is>
          <t>Practice controlling an exaggerated forward approach before rotating through the ball.</t>
        </is>
      </c>
      <c r="G20" s="36" t="inlineStr">
        <is>
          <t>Tee, bat, balls, net, clear approach area; optional floor marks.</t>
        </is>
      </c>
      <c r="H20" s="36" t="inlineStr">
        <is>
          <t>• Begin one or two small steps behind the hitting position.
• Rehearse a slow walk-up without a swing first.
• Step through into your usual stride position.
• Receive the landing under control, then rotate and hit; do not stomp or jam the knee.
• Start with 6–8 moderate-speed reps and stop if balance deteriorates.</t>
        </is>
      </c>
      <c r="I20" s="36" t="inlineStr">
        <is>
          <t>Wide side view capturing the entire approach; track hips, knees, ankles, feet, head, bat, and ball.</t>
        </is>
      </c>
      <c r="J20" s="36" t="inlineStr">
        <is>
          <t>Last approach step → lead-foot landing → contact → finish.</t>
        </is>
      </c>
      <c r="K20" s="36" t="inlineStr">
        <is>
          <t>Estimate image-plane pelvis velocity before and after landing using a fixed camera. Flag continued forward travel when it combines with increasing knee flexion, foot sliding, or an unplanned recovery step. Distinguish the intended approach motion from unwanted motion after landing; do not penalize the walk-up itself.</t>
        </is>
      </c>
      <c r="L20" s="36" t="inlineStr">
        <is>
          <t>“Your hips continued traveling forward after your front foot landed, and you needed an extra step. Reduce approach speed and keep the landing controlled.”</t>
        </is>
      </c>
      <c r="M20" s="36" t="inlineStr">
        <is>
          <t>Pelvis deceleration is a movement proxy, not a direct measure of braking force or energy transfer; a knee passing the toe alone is not a flaw.</t>
        </is>
      </c>
      <c r="N20" s="53" t="n"/>
    </row>
    <row r="21" ht="117" customHeight="1" s="34">
      <c r="B21" s="52" t="n">
        <v>16</v>
      </c>
      <c r="C21" s="36" t="inlineStr">
        <is>
          <t>Front leg</t>
        </is>
      </c>
      <c r="D21" s="36" t="inlineStr">
        <is>
          <t>Front-Leg Post Finish</t>
        </is>
      </c>
      <c r="E21" s="36" t="n"/>
      <c r="F21" s="36" t="inlineStr">
        <is>
          <t>Practice a controlled finish supported by the lead leg.</t>
        </is>
      </c>
      <c r="G21" s="36" t="inlineStr">
        <is>
          <t>Tee, light bat, balls, net, flat non-slip surface.</t>
        </is>
      </c>
      <c r="H21" s="36" t="inlineStr">
        <is>
          <t>• Rehearse a slow dry swing.
• As you complete the swing, allow the rear foot to lift rather than jumping onto the lead leg.
• Hold the single-leg finish for two seconds with a comfortable knee position.
• Reset between reps; return to a two-foot finish if control is poor.
• Try 5–8 controlled tee swings.</t>
        </is>
      </c>
      <c r="I21" s="36" t="inlineStr">
        <is>
          <t>Side and front views; track both feet, lead knee/hip, pelvis, shoulders, and head.</t>
        </is>
      </c>
      <c r="J21" s="36" t="inlineStr">
        <is>
          <t>Contact through the balance hold.</t>
        </is>
      </c>
      <c r="K21" s="36" t="inlineStr">
        <is>
          <t>Detect rear-foot clearance and time until it touches down. Count extra hops or steps and measure pelvis/trunk sway relative to the planted foot. Flag repeated knee displacement together with foot rolling or a recovery movement as an alignment/control issue for review, not a diagnosis from a single front-view frame.</t>
        </is>
      </c>
      <c r="L21" s="36" t="inlineStr">
        <is>
          <t>“You held the finish for less than one second and put the rear foot down to recover. Reduce swing speed and work toward a controlled hold.”</t>
        </is>
      </c>
      <c r="M21" s="36" t="inlineStr">
        <is>
          <t>This deliberately constrained finish is a drill goal, not a required game-swing finish. A skeleton's hip midpoint is not a measured whole-body center of mass.</t>
        </is>
      </c>
      <c r="N21" s="53" t="n"/>
    </row>
    <row r="22" ht="117" customHeight="1" s="34">
      <c r="B22" s="52" t="n">
        <v>17</v>
      </c>
      <c r="C22" s="36" t="inlineStr">
        <is>
          <t>Front leg</t>
        </is>
      </c>
      <c r="D22" s="36" t="inlineStr">
        <is>
          <t>High-Tee Transfer Check</t>
        </is>
      </c>
      <c r="E22" s="36" t="n"/>
      <c r="F22" s="36" t="inlineStr">
        <is>
          <t>Check whether landing and lead-leg control persist when tee height changes.</t>
        </is>
      </c>
      <c r="G22" s="36" t="inlineStr">
        <is>
          <t>Adjustable tee, bat, balls, net; mark the tee height and position.</t>
        </is>
      </c>
      <c r="H22" s="36" t="inlineStr">
        <is>
          <t>• Begin with a few comfortable middle-height tee swings.
• Raise the tee to the upper part of the hitter's strike zone.
• Keep the landing routine consistent and swing at controlled effort.
• Alternate middle-height and high-tee sets.
• Compare contact and balance without forcing a particular spine tilt or knee angle.</t>
        </is>
      </c>
      <c r="I22" s="36" t="inlineStr">
        <is>
          <t>Side plus front view if available; track lead leg, hips, shoulders, bat axis, ball, and tee.</t>
        </is>
      </c>
      <c r="J22" s="36" t="inlineStr">
        <is>
          <t>Plant through contact, with each rep labeled by tee height.</t>
        </is>
      </c>
      <c r="K22" s="36" t="inlineStr">
        <is>
          <t>Compare forward pelvis travel, knee motion, and torso position within each height condition. Flag a repeated high-tee pattern only when visible loss of lower-body control accompanies a change in barrel delivery or contact. Record misses and ball flight as outcomes separate from the mechanical label.</t>
        </is>
      </c>
      <c r="L22" s="36" t="inlineStr">
        <is>
          <t>“On the higher tee, your front knee continued bending and your pelvis moved farther forward than in your controlled reps. Review the landing sequence alongside the bat path.”</t>
        </is>
      </c>
      <c r="M22" s="36" t="inlineStr">
        <is>
          <t>A pop-up, miss, steep bat path, or good line drive does not prove that front-leg bracing failed or succeeded. This is a transfer check, not an isolated diagnostic test.</t>
        </is>
      </c>
      <c r="N22" s="53" t="n"/>
    </row>
    <row r="23" ht="102.75" customHeight="1" s="34">
      <c r="B23" s="52" t="n">
        <v>18</v>
      </c>
      <c r="C23" s="36" t="inlineStr">
        <is>
          <t>Front leg</t>
        </is>
      </c>
      <c r="D23" s="36" t="inlineStr">
        <is>
          <t>Landing-Foot Tape Line</t>
        </is>
      </c>
      <c r="E23" s="36" t="n"/>
      <c r="F23" s="36" t="inlineStr">
        <is>
          <t>Improve landing consistency and identify uncontrolled foot sliding without preventing natural rotation.</t>
        </is>
      </c>
      <c r="G23" s="36" t="inlineStr">
        <is>
          <t>Tee, bat, balls, net, flat floor tape; no rigid object beside the stride foot.</t>
        </is>
      </c>
      <c r="H23" s="36" t="inlineStr">
        <is>
          <t>• Mark the hitter's comfortable landing area with tape.
• Rehearse a normal stride into the area.
• Add a controlled swing while keeping the foot supported.
• Allow a comfortable toe angle and natural pivot; do not glue the foot to the ground.
• Complete 8–10 reps, resetting after any slip.</t>
        </is>
      </c>
      <c r="I23" s="36" t="inlineStr">
        <is>
          <t>Elevated oblique or protected front view plus side view; track lead heel, toe, ankle, knee, hips, and the tape target.</t>
        </is>
      </c>
      <c r="J23" s="36" t="inlineStr">
        <is>
          <t>Landing through contact.</t>
        </is>
      </c>
      <c r="K23" s="36" t="inlineStr">
        <is>
          <t>Estimate landing location, foot translation, and orientation over time. Separate rotation around a reasonably stable base from a sliding heel, abrupt foot displacement, or a loss of support accompanied by trunk sway. Mark out-of-target landings as drill-compliance events, not automatic swing flaws.</t>
        </is>
      </c>
      <c r="L23" s="36" t="inlineStr">
        <is>
          <t>“Your heel slid away from the landing mark as your torso turned. Slow the rep and check surface traction and landing control.”</t>
        </is>
      </c>
      <c r="M23" s="36" t="inlineStr">
        <is>
          <t>Natural foot opening or rear-heel lift is not automatically a sequencing defect. Use ground-plane calibration before interpreting precise foot angles.</t>
        </is>
      </c>
      <c r="N23" s="53" t="n"/>
    </row>
    <row r="24" ht="117" customHeight="1" s="34">
      <c r="B24" s="52" t="n">
        <v>19</v>
      </c>
      <c r="C24" s="36" t="inlineStr">
        <is>
          <t>Front leg</t>
        </is>
      </c>
      <c r="D24" s="36" t="inlineStr">
        <is>
          <t>Raised Front-Foot Platform</t>
        </is>
      </c>
      <c r="E24" s="36" t="n"/>
      <c r="F24" s="36" t="inlineStr">
        <is>
          <t>Explore lead-leg support with the front foot pre-positioned on a stable raised surface.</t>
        </is>
      </c>
      <c r="G24" s="36" t="inlineStr">
        <is>
          <t>Low, wide, non-slip platform; tee, bat, balls, net; coach supervision.</t>
        </is>
      </c>
      <c r="H24" s="36" t="inlineStr">
        <is>
          <t>• Check that the platform cannot rock or slide.
• Place the whole lead foot on it before starting; do not stride onto it at speed.
• Adjust the stance and tee for comfortable reach.
• Make slow, controlled swings, keeping the foot supported and avoiding forced knee extension.
• Perform 5–8 reps, then compare with flat-ground swings.</t>
        </is>
      </c>
      <c r="I24" s="36" t="inlineStr">
        <is>
          <t>Side plus oblique view showing the platform edges; track lead foot outline, ankle/knee/hip, pelvis, and trunk.</t>
        </is>
      </c>
      <c r="J24" s="36" t="inlineStr">
        <is>
          <t>Setup → swing → finish; there is no new stride-foot landing in this version.</t>
        </is>
      </c>
      <c r="K24" s="36" t="inlineStr">
        <is>
          <t>Monitor whether the foot stays on the support surface, whether the platform moves, and whether knee flexion and forward trunk/pelvis travel increase together. Flag a loss of support immediately as a drill-safety event; flag repeated forward collapse for coaching review.</t>
        </is>
      </c>
      <c r="L24" s="36" t="inlineStr">
        <is>
          <t>“Your front foot moved toward the platform edge during rotation. Stop, reset the equipment, and resume only with a stable base.”</t>
        </is>
      </c>
      <c r="M24" s="36" t="inlineStr">
        <is>
          <t>Calibrate the raised support plane separately from the floor. Do not compare its raw joint positions directly with flat-ground reps or infer weight distribution from them.</t>
        </is>
      </c>
      <c r="N24" s="53" t="n"/>
    </row>
    <row r="25" ht="117" customHeight="1" s="34">
      <c r="B25" s="52" t="n">
        <v>20</v>
      </c>
      <c r="C25" s="36" t="inlineStr">
        <is>
          <t>Front leg</t>
        </is>
      </c>
      <c r="D25" s="36" t="inlineStr">
        <is>
          <t>Stride Height Guide</t>
        </is>
      </c>
      <c r="E25" s="36" t="n"/>
      <c r="F25" s="36" t="inlineStr">
        <is>
          <t>Build awareness of unnecessary upward or forward movement during the stride.</t>
        </is>
      </c>
      <c r="G25" s="36" t="inlineStr">
        <is>
          <t>Camera/tripod, floor tape, virtual on-screen head-height guide; optional tee, bat, balls, net.</t>
        </is>
      </c>
      <c r="H25" s="36" t="inlineStr">
        <is>
          <t>• Record the hitter's comfortable stance and controlled stride.
• Draw an on-screen guide around the usual head-height range rather than using a rigid overhead bar.
• Rehearse the stride without swinging.
• Review whether you rise, drop, or surge beyond your controlled pattern.
• Add 5–8 easy tee swings while allowing natural movement.</t>
        </is>
      </c>
      <c r="I25" s="36" t="inlineStr">
        <is>
          <t>Fixed side view; track head center, shoulders, hips, both ankles, heel, and toe.</t>
        </is>
      </c>
      <c r="J25" s="36" t="inlineStr">
        <is>
          <t>Load through landing; assess post-plant travel separately.</t>
        </is>
      </c>
      <c r="K25" s="36" t="inlineStr">
        <is>
          <t>Plot vertical head/pelvis excursion and forward pelvis travel against the hitter's reference reps. Flag rising when both head and pelvis rise unexpectedly; flag a candidate lunge when excessive forward travel continues beyond landing with reduced control. Measure stride as lead-foot displacement from its starting location, not simply distance between both feet at landing.</t>
        </is>
      </c>
      <c r="L25" s="36" t="inlineStr">
        <is>
          <t>“Your head and pelvis rose during the stride, then dropped again as you started the swing. Try a smoother stride at lower effort.”</t>
        </is>
      </c>
      <c r="M25" s="36" t="inlineStr">
        <is>
          <t>A long stride or moving head is not inherently wrong. Require a repeatable change from controlled reps and a related control problem before labeling it a flaw.</t>
        </is>
      </c>
      <c r="N25" s="53" t="n"/>
    </row>
    <row r="26" ht="102.75" customHeight="1" s="34">
      <c r="B26" s="52" t="n">
        <v>21</v>
      </c>
      <c r="C26" s="36" t="inlineStr">
        <is>
          <t>Front leg</t>
        </is>
      </c>
      <c r="D26" s="36" t="inlineStr">
        <is>
          <t>One-and-One Front-Leg Swings</t>
        </is>
      </c>
      <c r="E26" s="36" t="n"/>
      <c r="F26" s="36" t="inlineStr">
        <is>
          <t>Compare lead-leg action in a normal swing with a second, no-stride swing.</t>
        </is>
      </c>
      <c r="G26" s="36" t="inlineStr">
        <is>
          <t>Tee, bat, balls, net; hitter or helper resets the ball only after the bat is still.</t>
        </is>
      </c>
      <c r="H26" s="36" t="inlineStr">
        <is>
          <t>• Take one normal tee swing and come to a safe stop.
• Keep the feet in a comfortable position while the ball is reset.
• Reset the hands and soften the lead knee comfortably.
• Take a second controlled swing without another stride.
• Repeat 4–5 pairs, allowing the knee to firm without snapping it straight.</t>
        </is>
      </c>
      <c r="I26" s="36" t="inlineStr">
        <is>
          <t>Side and front views; track lead hip/knee/ankle, both feet, pelvis, trunk, bat, and ball.</t>
        </is>
      </c>
      <c r="J26" s="36" t="inlineStr">
        <is>
          <t>First swing → complete stop → reset → second swing → contact.</t>
        </is>
      </c>
      <c r="K26" s="36" t="inlineStr">
        <is>
          <t>Pair the reps and verify the no-stride reset. Compare knee-angle trajectories and pelvis travel aligned to each contact. Flag repeated knee folding with forward drift in the second swing, or a sudden extension accompanied by a body rise or loss of balance. Do not grade the second swing against the first swing's stride timing.</t>
        </is>
      </c>
      <c r="L26" s="36" t="inlineStr">
        <is>
          <t>“In the no-stride rep, your knee kept bending as your hips moved forward. Reduce effort and rehearse the turn from a stable setup.”</t>
        </is>
      </c>
      <c r="M26" s="36" t="inlineStr">
        <is>
          <t>No single contact knee angle is required. A naturally bent but stable knee is not a failure, and these videos cannot measure joint loading.</t>
        </is>
      </c>
      <c r="N26" s="53" t="n"/>
    </row>
    <row r="27" ht="147" customHeight="1" s="34">
      <c r="B27" s="52" t="n">
        <v>22</v>
      </c>
      <c r="C27" s="36" t="inlineStr">
        <is>
          <t>Rear leg</t>
        </is>
      </c>
      <c r="D27" s="36" t="inlineStr">
        <is>
          <t>Rear-Hip Hinge Pause</t>
        </is>
      </c>
      <c r="E27" s="36" t="n"/>
      <c r="F27" s="36" t="inlineStr">
        <is>
          <t>Practice a comfortable rear-hip loading position without substituting an uncontrolled squat, catcherward sway, or forward torso fold.</t>
        </is>
      </c>
      <c r="G27" s="36" t="inlineStr">
        <is>
          <t>Flat non-slip floor, camera or mirror, optional floor tape; no bat required initially.</t>
        </is>
      </c>
      <c r="H27" s="36" t="inlineStr">
        <is>
          <t>• Begin in a comfortable batting stance with soft knees.
• Make a small load toward the rear side while hinging comfortably at the hips; do not push the knee to a prescribed position.
• Keep the feet supported and the torso comfortable rather than forcing a deep bend.
• Pause for two seconds, then return smoothly to the start.
• Complete 6–8 rehearsals, then compare a few normal dry loads or gentle tee swings.</t>
        </is>
      </c>
      <c r="I27" s="36" t="inlineStr">
        <is>
          <t>Side plus oblique view; track rear hip, knee, ankle, heel/toe, both hips, shoulders, and head.</t>
        </is>
      </c>
      <c r="J27" s="36" t="inlineStr">
        <is>
          <t>Stance → load → hold → reset; there is no ball-contact event.</t>
        </is>
      </c>
      <c r="K27" s="36" t="inlineStr">
        <is>
          <t>Compare pelvis travel, projected rear-knee angle, and torso/thigh orientation with coach-approved hinge reps. Flag candidate sinking/collapse when increasing knee flexion and pelvis descent continue into the hold with foot movement or a recovery adjustment. Flag candidate load sway when catcherward travel exceeds the controlled pattern and must be reversed abruptly to regain balance. Review excessive torso folding only with a related loss of control, not from trunk lean alone.</t>
        </is>
      </c>
      <c r="L27" s="36" t="inlineStr">
        <is>
          <t>“During the hold, your rear knee kept folding and your pelvis continued dropping. Try a smaller hinge that you can hold comfortably without another adjustment.”</t>
        </is>
      </c>
      <c r="M27" s="36" t="inlineStr">
        <is>
          <t>Video cannot confirm where foot pressure is concentrated, how strongly the glute is working, or whether the spine is anatomically neutral. A bent knee and some catcherward movement are normal possibilities, not independent failures.</t>
        </is>
      </c>
      <c r="N27" s="53" t="n"/>
    </row>
    <row r="28" ht="117" customHeight="1" s="34">
      <c r="B28" s="52" t="n">
        <v>23</v>
      </c>
      <c r="C28" s="36" t="inlineStr">
        <is>
          <t>Rear leg</t>
        </is>
      </c>
      <c r="D28" s="36" t="inlineStr">
        <is>
          <t>Coil-and-Freeze Stride</t>
        </is>
      </c>
      <c r="E28" s="36" t="n"/>
      <c r="F28" s="36" t="inlineStr">
        <is>
          <t>Explore a small, controlled turn into the rear side without forcing a large twist or replacing the turn with a sway.</t>
        </is>
      </c>
      <c r="G28" s="36" t="inlineStr">
        <is>
          <t>Flat non-slip surface, camera or mirror, optional light bat and floor tape.</t>
        </is>
      </c>
      <c r="H28" s="36" t="inlineStr">
        <is>
          <t>• Take your normal stance and begin without a bat.
• Make a small comfortable coil into the rear side while allowing the torso to respond naturally.
• Freeze briefly without forcing the rear knee outward or inward.
• Reset, then repeat with a slow stride to a controlled landing.
• Perform 6–8 repetitions; add gentle tee swings only after the movement feels comfortable.</t>
        </is>
      </c>
      <c r="I28" s="36" t="inlineStr">
        <is>
          <t>Protected front/oblique plus side view; track both hips and shoulders, rear hip/knee/ankle, feet, and head.</t>
        </is>
      </c>
      <c r="J28" s="36" t="inlineStr">
        <is>
          <t>Initial load through the brief hold, then the optional stride as a separate phase.</t>
        </is>
      </c>
      <c r="K28" s="36" t="inlineStr">
        <is>
          <t>Track pelvis/torso orientation changes together with pelvis translation and rear-foot motion. Review candidate sway-dominant loading when the body travels toward the catcher without the intended visible turn and then needs a corrective move. Review candidate over-coiling when a larger turn repeatedly accompanies foot sliding, a sudden posture change, or difficulty exiting into the stride. Verify the hold independently as drill compliance.</t>
        </is>
      </c>
      <c r="L28" s="36" t="inlineStr">
        <is>
          <t>“Your larger coil moved you off your controlled starting base and you had to reset the rear foot. Make the turn smaller and keep the transition comfortable.”</t>
        </is>
      </c>
      <c r="M28" s="36" t="inlineStr">
        <is>
          <t>A projected hip line does not quantify anatomical hip internal rotation or stored elastic energy. Do not score a maximum coil angle or require the shoulders to stay motionless; an obscured far hip makes precise orientation analysis unreliable.</t>
        </is>
      </c>
      <c r="N28" s="53" t="n"/>
    </row>
    <row r="29" ht="162" customHeight="1" s="34">
      <c r="B29" s="52" t="n">
        <v>24</v>
      </c>
      <c r="C29" s="36" t="inlineStr">
        <is>
          <t>Rear leg</t>
        </is>
      </c>
      <c r="D29" s="36" t="inlineStr">
        <is>
          <t>Step-Back Tee Swings</t>
        </is>
      </c>
      <c r="E29" s="36" t="n"/>
      <c r="F29" s="36" t="inlineStr">
        <is>
          <t>Link a deliberate rear-foot step to a controlled load and forward stride.</t>
        </is>
      </c>
      <c r="G29" s="36" t="inlineStr">
        <is>
          <t>Tee, manageable bat, soft balls, net, clear space behind the stance; optional protected soft-toss progression.</t>
        </is>
      </c>
      <c r="H29" s="36" t="inlineStr">
        <is>
          <t>• Begin slightly forward of your usual hitting spot so a small backward step leaves comfortable reach.
• Take a short step toward the catcher with the rear foot and gather into the rear side.
• Move smoothly into the normal lead-foot stride without a backward hop or forced pause.
• Turn and hit at controlled effort, allowing natural rear-foot motion.
• Complete 6–10 reps, then compare normal swings from the same contact location.</t>
        </is>
      </c>
      <c r="I29" s="36" t="inlineStr">
        <is>
          <t>Wide side view plus oblique cross-check; track both feet, rear knee/hip, pelvis, shoulders, head, bat, and ball.</t>
        </is>
      </c>
      <c r="J29" s="36" t="inlineStr">
        <is>
          <t>Rear-foot lift → backward landing → forward stride → contact.</t>
        </is>
      </c>
      <c r="K29" s="36" t="inlineStr">
        <is>
          <t>Confirm actual backward rear-foot displacement rather than a lift-and-replace, recording this as drill compliance. Flag candidate oversized step/hop when the rearward move creates airborne or recovery motion that interrupts the forward transition. Review candidate early extension when rear-knee/hip straightening coincides with a body rise or movement toward the plate before lead-foot landing and disrupted delivery. Review uncontrolled forward travel after the step together with balance and contact changes, not merely stride length.</t>
        </is>
      </c>
      <c r="L29" s="36" t="inlineStr">
        <is>
          <t>“Your backward step became a hop, then you rushed the stride to reach the ball. Use a smaller step and blend it into the forward move.”</t>
        </is>
      </c>
      <c r="M29" s="36" t="inlineStr">
        <is>
          <t>This drill intentionally adds rearward movement, so normal-swing displacement thresholds do not apply. Visible heel lift does not prove early unloading, and video cannot verify glute activation or weight-distribution percentages.</t>
        </is>
      </c>
      <c r="N29" s="53" t="n"/>
    </row>
    <row r="30" ht="132" customHeight="1" s="34">
      <c r="B30" s="52" t="n">
        <v>25</v>
      </c>
      <c r="C30" s="36" t="inlineStr">
        <is>
          <t>Rear leg</t>
        </is>
      </c>
      <c r="D30" s="36" t="inlineStr">
        <is>
          <t>Wide-Stance Rocker Swings</t>
        </is>
      </c>
      <c r="E30" s="36" t="n"/>
      <c r="F30" s="36" t="inlineStr">
        <is>
          <t>Build rhythm between a rear-side gather and the turn without adding a stride.</t>
        </is>
      </c>
      <c r="G30" s="36" t="inlineStr">
        <is>
          <t>Tee, manageable bat, soft balls, net, flat non-slip surface.</t>
        </is>
      </c>
      <c r="H30" s="36" t="inlineStr">
        <is>
          <t>• Start in a comfortably wider-than-normal stance, not a forced split.
• Keep the feet in their setup locations while rocking gently toward the front side and then the rear side.
• Blend the rearward gather directly into a controlled swing.
• Allow a natural heel lift or pivot; do not twist against a deliberately fixed foot.
• Complete 6–8 reps, then compare normal swings.</t>
        </is>
      </c>
      <c r="I30" s="36" t="inlineStr">
        <is>
          <t>Side and protected oblique views; track hips, shoulders, rear knee, both ankles/feet, head, bat, and ball.</t>
        </is>
      </c>
      <c r="J30" s="36" t="inlineStr">
        <is>
          <t>Forward rock → rearward rock → reversal into the turn → contact.</t>
        </is>
      </c>
      <c r="K30" s="36" t="inlineStr">
        <is>
          <t>Segment the deliberate rocking cycles before reviewing the swing. Flag candidate excessive rear-side sink when the rearward rock produces added knee folding and pelvis descent followed by an abrupt upward correction. Review candidate hanging-back/reaching pattern when the pelvis continues moving catcherward while the grip reaches toward the ball and contact/control differs from matched successful rocker reps. Detect unintended steps separately from natural foot pivoting.</t>
        </is>
      </c>
      <c r="L30" s="36" t="inlineStr">
        <is>
          <t>“At the end of the rearward rock, you sank lower and then rose abruptly as the bat started. Use a smaller rocking motion and a smoother change of direction.”</t>
        </is>
      </c>
      <c r="M30" s="36" t="inlineStr">
        <is>
          <t>The deliberate rocking is not itself sway to be eliminated. Apparent hanging back is a movement description, not proof that weight stayed on the rear foot; tee placement and the intentionally wide stance must be considered.</t>
        </is>
      </c>
      <c r="N30" s="53" t="n"/>
    </row>
    <row r="31" ht="132" customHeight="1" s="34">
      <c r="B31" s="52" t="n">
        <v>26</v>
      </c>
      <c r="C31" s="36" t="inlineStr">
        <is>
          <t>Rear leg</t>
        </is>
      </c>
      <c r="D31" s="36" t="inlineStr">
        <is>
          <t>Rear-Leg Balance Start</t>
        </is>
      </c>
      <c r="E31" s="36" t="n"/>
      <c r="F31" s="36" t="inlineStr">
        <is>
          <t>Practice rear-leg balance and a controlled transition into the stride, distinct from holding a front-leg finish.</t>
        </is>
      </c>
      <c r="G31" s="36" t="inlineStr">
        <is>
          <t>Tee, light bat, soft balls, net, flat non-slip ground; optional support for no-bat balance rehearsal only.</t>
        </is>
      </c>
      <c r="H31" s="36" t="inlineStr">
        <is>
          <t>• Begin without a bat and lift the lead foot only as high as comfortable.
• Balance briefly on the rear leg with a soft knee; lower the foot if you need to recover.
• Move into a controlled lead-foot landing instead of jumping or falling forward.
• Add a gentle tee swing once the transition is comfortable.
• Take 5–8 reps, then return to your normal leg lift and stride.</t>
        </is>
      </c>
      <c r="I31" s="36" t="inlineStr">
        <is>
          <t>Side plus protected front view; track rear hip/knee/ankle, rear heel/toe, lead foot, pelvis, shoulders, head, bat, and ball.</t>
        </is>
      </c>
      <c r="J31" s="36" t="inlineStr">
        <is>
          <t>Lead-foot lift → balance hold → stride → landing → contact.</t>
        </is>
      </c>
      <c r="K31" s="36" t="inlineStr">
        <is>
          <t>Verify lead-foot clearance and measure hold duration, pelvis sway, and rear-foot displacement. Flag rear-leg balance loss when the rear foot hops, the lead foot touches down unexpectedly, or knee/pelvis motion requires recovery. Review candidate collapse during departure when increased rear-knee flexion and pelvis drop accompany a rushed fall into landing rather than the controlled reference pattern. Distinguish hold instability from later swing issues.</t>
        </is>
      </c>
      <c r="L31" s="36" t="inlineStr">
        <is>
          <t>“You needed a rear-foot hop before starting the stride. Lower the lead-leg lift and find a brief comfortable hold before adding the swing.”</t>
        </is>
      </c>
      <c r="M31" s="36" t="inlineStr">
        <is>
          <t>Single-leg balance performance does not diagnose weakness or predict hitting ability. Neither a high knee lift nor a long static hold is required in the game swing, and the hip midpoint is not a measured whole-body center of mass.</t>
        </is>
      </c>
      <c r="N31" s="53" t="n"/>
    </row>
    <row r="32" ht="117" customHeight="1" s="34">
      <c r="B32" s="52" t="n">
        <v>27</v>
      </c>
      <c r="C32" s="36" t="inlineStr">
        <is>
          <t>Rear leg</t>
        </is>
      </c>
      <c r="D32" s="36" t="inlineStr">
        <is>
          <t>Crossed-Leg Load and Stride</t>
        </is>
      </c>
      <c r="E32" s="36" t="n"/>
      <c r="F32" s="36" t="inlineStr">
        <is>
          <t>Practice maintaining a comfortable rear-side load while moving out of a crossed-leg setup.</t>
        </is>
      </c>
      <c r="G32" s="36" t="inlineStr">
        <is>
          <t>Tee, light/manageable bat, soft balls, net; clear non-slip area and coach supervision.</t>
        </is>
      </c>
      <c r="H32" s="36" t="inlineStr">
        <is>
          <t>• Rehearse without a bat first, gently crossing the lead leg in front of the rear leg without locking the legs together.
• Find a small comfortable rear-hip hinge and coil.
• Lift and uncross the lead foot into a controlled forward stride.
• Blend the landing into a smooth swing; do not hold the rear knee rigid or overreach.
• Complete 5–8 controlled reps, then compare your regular setup.</t>
        </is>
      </c>
      <c r="I32" s="36" t="inlineStr">
        <is>
          <t>Side and front/oblique views; track both hips/shoulders, rear hip/knee/ankle, both feet, head, bat, and ball.</t>
        </is>
      </c>
      <c r="J32" s="36" t="inlineStr">
        <is>
          <t>Crossed setup → uncrossing → stride → contact.</t>
        </is>
      </c>
      <c r="K32" s="36" t="inlineStr">
        <is>
          <t>Label the deliberate crossing separately so it is not mistaken for a knee-alignment flaw. Review candidate premature loss of hinge when rear-leg straightening combines with the pelvis/body rising or moving toward the plate before landing, followed by a corrective swing path. Review excessive or shortened stride only when it accompanies rushing, recovery, or inconsistent contact relative to matched Hook ’Em reps. Check that the feet actually clear one another.</t>
        </is>
      </c>
      <c r="L32" s="36" t="inlineStr">
        <is>
          <t>“As you uncrossed, your body rose before the lead foot landed, then you dropped back toward the ball. Use a shorter, slower forward move while keeping the setup comfortable.”</t>
        </is>
      </c>
      <c r="M32" s="36" t="inlineStr">
        <is>
          <t>A crossed-leg setup increases occlusion and can swap tracked leg identities. Withhold knee-angle flags if the model loses the rear leg; do not infer a precise hip–shoulder separation angle from an uncalibrated 2D view.</t>
        </is>
      </c>
      <c r="N32" s="53" t="n"/>
    </row>
    <row r="33" ht="132" customHeight="1" s="34">
      <c r="B33" s="52" t="n">
        <v>28</v>
      </c>
      <c r="C33" s="36" t="inlineStr">
        <is>
          <t>Rear leg</t>
        </is>
      </c>
      <c r="D33" s="36" t="inlineStr">
        <is>
          <t>Offset Open-Stance Swings</t>
        </is>
      </c>
      <c r="E33" s="36" t="n"/>
      <c r="F33" s="36" t="inlineStr">
        <is>
          <t>Explore rear-hip loading and posture control from an open, no-stride setup.</t>
        </is>
      </c>
      <c r="G33" s="36" t="inlineStr">
        <is>
          <t>Tee, bat, soft balls, net, optional floor tape showing the comfortable open stance.</t>
        </is>
      </c>
      <c r="H33" s="36" t="inlineStr">
        <is>
          <t>• Open your stance comfortably, with the lead foot farther from the plate than the rear foot.
• Mark the setup so repeated trials begin from the same position.
• Make a small coil into the rear side without a stride.
• Swing smoothly toward a middle-field target, allowing natural foot pivoting and torso motion.
• Complete 6–10 reps, then compare normal-stance swings separately.</t>
        </is>
      </c>
      <c r="I33" s="36" t="inlineStr">
        <is>
          <t>Side plus protected front/oblique view; track rear hip/knee/ankle, both feet, pelvis, shoulders, head, bat, and ball.</t>
        </is>
      </c>
      <c r="J33" s="36" t="inlineStr">
        <is>
          <t>Open setup → coil → turn → contact.</t>
        </is>
      </c>
      <c r="K33" s="36" t="inlineStr">
        <is>
          <t>Establish the starting open orientation before measuring changes. Review candidate over-coil/posture loss when an enlarged loading turn accompanies rear-foot sliding, knee/hip instability, or a rapid body rise. Flag candidate early extension when rear-leg straightening occurs with pelvis movement toward the plate and a delivery correction relative to controlled offset-open reps. Record optional upper-body rollover or barrel-path observations separately using the original hand-analysis rules.</t>
        </is>
      </c>
      <c r="L33" s="36" t="inlineStr">
        <is>
          <t>“Your larger coil was followed by a rear-foot slide and a rise toward the ball. Reduce the coil and keep this open-stance rep controlled.”</t>
        </is>
      </c>
      <c r="M33" s="36" t="inlineStr">
        <is>
          <t>Open hips at setup are intentional, not premature opening. Knee/hip projections differ from a square stance, and natural pelvis rotation cannot be judged as a fault solely because the foot pivots or the ball goes to the pull side.</t>
        </is>
      </c>
      <c r="N33" s="53" t="n"/>
    </row>
    <row r="34" ht="147" customHeight="1" s="34">
      <c r="B34" s="52" t="n">
        <v>29</v>
      </c>
      <c r="C34" s="36" t="inlineStr">
        <is>
          <t>Rear leg</t>
        </is>
      </c>
      <c r="D34" s="36" t="inlineStr">
        <is>
          <t>No-Bat Lower-Half Turns</t>
        </is>
      </c>
      <c r="E34" s="36" t="n"/>
      <c r="F34" s="36" t="inlineStr">
        <is>
          <t>Observe how the rear hip, knee, and foot participate in the turn without managing a swinging bat.</t>
        </is>
      </c>
      <c r="G34" s="36" t="inlineStr">
        <is>
          <t>Flat non-slip area, floor tape, camera; arms crossed comfortably at the chest instead of holding a bat.</t>
        </is>
      </c>
      <c r="H34" s="36" t="inlineStr">
        <is>
          <t>• Start in a normal stance with arms folded loosely across the chest.
• Make your usual load and a small comfortable stride.
• Pause briefly after landing, then turn smoothly through a comfortable range.
• Let the rear knee, hip, and foot move together naturally rather than manually twisting the shoe or squeezing the knees together.
• Take 6–8 reps, remove the pause, and then compare gentle bat swings.</t>
        </is>
      </c>
      <c r="I34" s="36" t="inlineStr">
        <is>
          <t>Side plus protected front/oblique views; track both hips/shoulders, rear knee/ankle/heel/toe, lead foot, and head.</t>
        </is>
      </c>
      <c r="J34" s="36" t="inlineStr">
        <is>
          <t>Load → landing/pause → turn onset → finish; no ball-contact frame exists.</t>
        </is>
      </c>
      <c r="K34" s="36" t="inlineStr">
        <is>
          <t>Display the relative onset and progression of pelvis, rear-knee, and foot movement. Flag candidate isolated rear-foot spinning only when the shoe repeatedly turns before a coordinated body turn and is accompanied by sliding, wobble, or a corrective movement. Review apparent knee buckling only when repeated lateral displacement combines with foot rolling or loss of balance, cross-checked in both views.</t>
        </is>
      </c>
      <c r="L34" s="36" t="inlineStr">
        <is>
          <t>“Your rear shoe turned first while your pelvis remained nearly still, and you needed a balance correction. Rehearse a smooth body turn instead of deliberately twisting the foot.”</t>
        </is>
      </c>
      <c r="M34" s="36" t="inlineStr">
        <is>
          <t>Timing here is descriptive, not a universal hips–knee–foot sequence. This no-bat rehearsal cannot establish bat timing, impact power, joint torque, or whether inward knee motion is harmful.</t>
        </is>
      </c>
      <c r="N34" s="53" t="n"/>
    </row>
    <row r="35" ht="147" customHeight="1" s="34">
      <c r="B35" s="52" t="n">
        <v>30</v>
      </c>
      <c r="C35" s="36" t="inlineStr">
        <is>
          <t>Rear leg</t>
        </is>
      </c>
      <c r="D35" s="36" t="inlineStr">
        <is>
          <t>Rotational Medicine-Ball Throw</t>
        </is>
      </c>
      <c r="E35" s="36" t="n"/>
      <c r="F35" s="36" t="inlineStr">
        <is>
          <t>Rehearse a rear-side gather followed by coordinated rotation and a controlled release without bat contact.</t>
        </is>
      </c>
      <c r="G35" s="36" t="inlineStr">
        <is>
          <t>Light medicine ball selected by a qualified coach, suitable throwing wall or clear designated landing area, non-slip floor; no nearby bystanders.</t>
        </is>
      </c>
      <c r="H35" s="36" t="inlineStr">
        <is>
          <t>• Stand side-on to the target with both feet comfortably supported.
• Hold the ball near the rear hip and make a small comfortable gather.
• Rotate and release the ball with both hands toward the target at controlled effort.
• Allow natural rear-foot motion and finish balanced; do not catch a hard rebound.
• Reset fully for 4–6 throws; use no-ball rehearsals if the ball changes posture or control.</t>
        </is>
      </c>
      <c r="I35" s="36" t="inlineStr">
        <is>
          <t>Side/oblique views covering the whole throw and floor; track both hips/shoulders, rear knee/ankle/foot, both hands, ball, and head.</t>
        </is>
      </c>
      <c r="J35" s="36" t="inlineStr">
        <is>
          <t>Gather → forward/rotational move → ball release → recovery.</t>
        </is>
      </c>
      <c r="K35" s="36" t="inlineStr">
        <is>
          <t>Use release, not bat contact, as the event anchor. Review candidate rear-side sink/early rise when knee flexion and pelvis drop are followed by abrupt extension and a balance correction before release. Review candidate arm-dominant rehearsal when the hands/ball move substantially while pelvis/torso movement is limited relative to controlled throws, without claiming the arms supplied all force. Record slips and unplanned steps as control events.</t>
        </is>
      </c>
      <c r="L35" s="36" t="inlineStr">
        <is>
          <t>“The ball moved forward while your torso stayed nearly still, then you stepped to recover. Use a lighter ball or a no-ball rehearsal and blend the turn into the release.”</t>
        </is>
      </c>
      <c r="M35" s="36" t="inlineStr">
        <is>
          <t>Ball distance or speed does not isolate rear-leg power or predict bat speed. This drill changes the implement and movement task; video alone cannot measure hand force, rear-foot pressure, torque, or muscle activation.</t>
        </is>
      </c>
      <c r="N35" s="53" t="n"/>
    </row>
    <row r="36" ht="132" customHeight="1" s="34">
      <c r="B36" s="52" t="n">
        <v>31</v>
      </c>
      <c r="C36" s="36" t="inlineStr">
        <is>
          <t>Rear leg</t>
        </is>
      </c>
      <c r="D36" s="36" t="inlineStr">
        <is>
          <t>Rear-Foot Tape Outline</t>
        </is>
      </c>
      <c r="E36" s="36" t="n"/>
      <c r="F36" s="36" t="inlineStr">
        <is>
          <t>Make rear-foot movement visible without forcing a fixed heel position or treating every pivot as an error.</t>
        </is>
      </c>
      <c r="G36" s="36" t="inlineStr">
        <is>
          <t>Tee, bat, soft balls, net, flat floor tape, camera; no cone or rigid obstacle beside the moving foot.</t>
        </is>
      </c>
      <c r="H36" s="36" t="inlineStr">
        <is>
          <t>• Mark the rear foot's initial location with flat tape.
• Record several slow dry turns without deliberately twisting the rear shoe.
• Add controlled tee swings and allow the heel to lift, pivot, or reposition naturally as needed.
• Review the foot together with the knee, hip, and balance; do not try to keep the shoe inside the outline throughout the swing.
• Take 6–10 reps and compare with ordinary swings.</t>
        </is>
      </c>
      <c r="I36" s="36" t="inlineStr">
        <is>
          <t>Low oblique view of the feet plus full-body side view; track rear shoe outline, heel, toe, ankle, knee, hip, pelvis, lead foot, bat, and ball.</t>
        </is>
      </c>
      <c r="J36" s="36" t="inlineStr">
        <is>
          <t>Load through contact and early finish.</t>
        </is>
      </c>
      <c r="K36" s="36" t="inlineStr">
        <is>
          <t>Separate rear-foot translation, rotation, and heel height rather than combining them into one “spin” score. Flag candidate uncontrolled rear-foot slip/spin when abrupt movement relative to the floor accompanies rear-knee/pelvis disruption or a recovery step. Compare timing with pelvis movement and contact, but log a smooth heel lift or pivot as an observation rather than a failure. Do not interpret tape crossing as a failed rep.</t>
        </is>
      </c>
      <c r="L36" s="36" t="inlineStr">
        <is>
          <t>“Your rear foot slid abruptly as the turn began, and your pelvis shifted to recover. Check traction and reduce effort before reviewing the movement again.”</t>
        </is>
      </c>
      <c r="M36" s="36" t="inlineStr">
        <is>
          <t>A foot can pivot or leave the ground in a controlled swing. Shoe appearance does not reveal pressure distribution; a rigid ‘heel down’ or ‘shoelaces down’ rule is not supported by this proposed system.</t>
        </is>
      </c>
      <c r="N36" s="53" t="n"/>
    </row>
    <row r="37" ht="162" customHeight="1" s="34">
      <c r="B37" s="52" t="n">
        <v>32</v>
      </c>
      <c r="C37" s="36" t="inlineStr">
        <is>
          <t>Rear leg</t>
        </is>
      </c>
      <c r="D37" s="36" t="inlineStr">
        <is>
          <t>Kneeling Rear-Leg Rise</t>
        </is>
      </c>
      <c r="E37" s="36" t="n"/>
      <c r="F37" s="36" t="inlineStr">
        <is>
          <t>Challenge rear-leg control while rising into a batting position, then transfer that control into a stride.</t>
        </is>
      </c>
      <c r="G37" s="36" t="inlineStr">
        <is>
          <t>Firm knee pad on non-slip ground, coach supervision, optional tee/light bat/soft balls/net; no unstable dome required.</t>
        </is>
      </c>
      <c r="H37" s="36" t="inlineStr">
        <is>
          <t>• Begin without a bat, with the rear foot planted and the lead knee resting comfortably on the pad.
• Rise slowly using a comfortable range until the lead knee clears the pad; do not force the movement if painful or uncontrolled.
• Find a brief controlled position, then step the lead foot into the batting stance.
• Only if stable, add a gentle swing after the rise and landing; do not rush directly from the pad into a hard swing.
• Perform 3–5 repetitions or substitute drill 26 if you need repeated assistance.</t>
        </is>
      </c>
      <c r="I37" s="36" t="inlineStr">
        <is>
          <t>Side plus front/oblique view showing the pad and both feet; track rear hip/knee/ankle, lead knee/foot, pelvis, shoulders, head, pad, and bat/ball if used.</t>
        </is>
      </c>
      <c r="J37" s="36" t="inlineStr">
        <is>
          <t>Knee-down setup → rise → brief control phase → stride → optional contact.</t>
        </is>
      </c>
      <c r="K37" s="36" t="inlineStr">
        <is>
          <t>Verify lead-knee clearance and track rear-foot displacement, pelvis rise, and trunk movement. Flag candidate unstable rise when a backward rock, hop, foot slip, repeated lead-knee touchdown, or abrupt forward fall replaces the controlled transition. Review apparent rear-knee alignment changes only with corroborating foot/body instability. Separate difficulty in the rise from faults in the later swing.</t>
        </is>
      </c>
      <c r="L37" s="36" t="inlineStr">
        <is>
          <t>“You rocked backward and shifted the rear foot before clearing the pad. Stop the swing progression and use the simpler standing balance drill.”</t>
        </is>
      </c>
      <c r="M37" s="36" t="inlineStr">
        <is>
          <t>A controlled rise necessarily involves knee/hip extension and upward motion; those are not “early extension” faults in this phase. Failure cannot diagnose strength, mobility, pain, or injury, and this advanced variation is not required for every hitter.</t>
        </is>
      </c>
      <c r="N37" s="53" t="n"/>
    </row>
    <row r="38" ht="147" customHeight="1" s="34">
      <c r="B38" s="52" t="n">
        <v>33</v>
      </c>
      <c r="C38" s="36" t="inlineStr">
        <is>
          <t>Rear leg</t>
        </is>
      </c>
      <c r="D38" s="36" t="inlineStr">
        <is>
          <t>Shuffle-Step Swings</t>
        </is>
      </c>
      <c r="E38" s="36" t="n"/>
      <c r="F38" s="36" t="inlineStr">
        <is>
          <t>Integrate the rear-leg gather with extra forward movement and a coordinated transition into the swing.</t>
        </is>
      </c>
      <c r="G38" s="36" t="inlineStr">
        <is>
          <t>Tee or protected soft toss, bat, soft balls, net, clear non-slip approach lane; optional floor marks.</t>
        </is>
      </c>
      <c r="H38" s="36" t="inlineStr">
        <is>
          <t>• Begin farther toward the catcher than your normal hitting spot.
• Rehearse a small controlled shuffle toward the hitting position with no ball first; do not cross or tangle the feet.
• Gather briefly on the rear side as the lead foot moves into its landing.
• Blend the movement into a smooth turn and hit at moderate effort.
• Take 6–8 reps, then compare normal swings; add toss timing only after the footwork is controlled.</t>
        </is>
      </c>
      <c r="I38" s="36" t="inlineStr">
        <is>
          <t>Wide side plus protected oblique view; track both feet, rear knee/hip, pelvis, shoulders, head, bat, ball, and toss release if applicable.</t>
        </is>
      </c>
      <c r="J38" s="36" t="inlineStr">
        <is>
          <t>Shuffle initiation → rear-foot gather → lead-foot landing → contact → recovery.</t>
        </is>
      </c>
      <c r="K38" s="36" t="inlineStr">
        <is>
          <t>Identify the footfalls before comparing timing. Review candidate rushed rear-side departure when the gather becomes an abrupt rise/hop and the hitter requires a last-second landing or delivery correction. Review a candidate stalled/hanging-back transition when forward progression stops unexpectedly while the hands reach for the ball. Also flag continuing forward collapse or sliding after landing, using the front-leg rules rather than blaming the rear leg automatically. Log contact-location variability as an outcome, not a causal diagnosis.</t>
        </is>
      </c>
      <c r="L38" s="36" t="inlineStr">
        <is>
          <t>“Your shuffle finished late, leaving a rushed landing before contact. Slow the approach or begin the movement earlier relative to the toss.”</t>
        </is>
      </c>
      <c r="M38" s="36" t="inlineStr">
        <is>
          <t>Extra forward travel is intentional in this drill. A mistimed toss, starting too far from the tee, or variable shuffle length can mimic a rear-leg issue; compare similar setups and do not equate more movement with more power.</t>
        </is>
      </c>
      <c r="N38" s="53" t="n"/>
    </row>
    <row r="39" ht="102.75" customHeight="1" s="34">
      <c r="B39" s="52" t="n">
        <v>34</v>
      </c>
      <c r="C39" s="36" t="inlineStr">
        <is>
          <t>Posture</t>
        </is>
      </c>
      <c r="D39" s="36" t="inlineStr">
        <is>
          <t>Hinge-to-Landing Posture Rehearsal</t>
        </is>
      </c>
      <c r="E39" s="36" t="n"/>
      <c r="F39" s="36" t="inlineStr">
        <is>
          <t>Establish a comfortable torso/pelvis relationship and carry it into the stride.</t>
        </is>
      </c>
      <c r="G39" s="36" t="inlineStr">
        <is>
          <t>Camera, floor tape, flat ground; no bat initially.</t>
        </is>
      </c>
      <c r="H39" s="36" t="inlineStr">
        <is>
          <t>• Start in a comfortable stance.
• Make a small hip hinge without forcing a deep squat or arched back.
• Add a slow load and stride, then pause at landing.
• Reset if you need to rise, fold farther, or step to recover.
• Take 6–8 rehearsals, then compare gentle normal tee swings.</t>
        </is>
      </c>
      <c r="I39" s="36" t="inlineStr">
        <is>
          <t>Side plus oblique; shoulders, hips, head, knees, feet.</t>
        </is>
      </c>
      <c r="J39" s="36" t="inlineStr">
        <is>
          <t>Setup → load → landing hold.</t>
        </is>
      </c>
      <c r="K39" s="36" t="inlineStr">
        <is>
          <t>Trace torso-axis orientation, pelvis height, and foot support. Review candidate excessive folding when added forward bend accompanies pelvis drop and a late rise to recover; review candidate early rise when torso/pelvis elevation disrupts the landing. Compare with a comfortable reference, not a prescribed angle.</t>
        </is>
      </c>
      <c r="L39" s="36" t="inlineStr">
        <is>
          <t>“Use a smaller hinge that you can carry into the landing without another adjustment.”</t>
        </is>
      </c>
      <c r="M39" s="36" t="inlineStr">
        <is>
          <t>A torso proxy cannot assess spinal neutrality, strength, or pain. Some head drop and posture change during loading may be normal.</t>
        </is>
      </c>
      <c r="N39" s="53" t="n"/>
    </row>
    <row r="40" ht="132" customHeight="1" s="34">
      <c r="B40" s="52" t="n">
        <v>35</v>
      </c>
      <c r="C40" s="36" t="inlineStr">
        <is>
          <t>Posture</t>
        </is>
      </c>
      <c r="D40" s="36" t="inlineStr">
        <is>
          <t>Shoulder-Line Posture Turns</t>
        </is>
      </c>
      <c r="E40" s="36" t="n"/>
      <c r="F40" s="36" t="inlineStr">
        <is>
          <t>Explore torso turning and pitch-specific tilt without managing a bat swing.</t>
        </is>
      </c>
      <c r="G40" s="36" t="inlineStr">
        <is>
          <t>Folded arms or short foam rod held gently across the upper chest; tee as a visual target; clear space.</t>
        </is>
      </c>
      <c r="H40" s="36" t="inlineStr">
        <is>
          <t>• Rehearse with folded arms first.
• If using a rod, hold it below the neck without pressure or trapping it behind the shoulders.
• Turn slowly toward an imaginary middle-height contact point.
• Reset and rehearse a comfortably higher or lower target; let the torso adjust.
• Complete 6–8 slow reps, then normal tee swings without the rod.</t>
        </is>
      </c>
      <c r="I40" s="36" t="inlineStr">
        <is>
          <t>Side and oblique; shoulders, hips, knees, head, rod endpoints.</t>
        </is>
      </c>
      <c r="J40" s="36" t="inlineStr">
        <is>
          <t>Landing-ready setup through slow turn.</t>
        </is>
      </c>
      <c r="K40" s="36" t="inlineStr">
        <is>
          <t>Compare torso and shoulder orientation with target height and pelvis motion. Flag candidate loss of organized tilt only when rising/diving or retreat accompanies a disrupted turn or recovery. Track rod slippage separately so a moving implement does not masquerade as shoulder motion.</t>
        </is>
      </c>
      <c r="L40" s="36" t="inlineStr">
        <is>
          <t>“Turn toward this target smoothly instead of rising first and correcting down.”</t>
        </is>
      </c>
      <c r="M40" s="36" t="inlineStr">
        <is>
          <t>Rod angle is not spinal angle; rotation changes its 2D projection. The drill does not require perfectly level shoulders or one tilt for every pitch.</t>
        </is>
      </c>
      <c r="N40" s="53" t="n"/>
    </row>
    <row r="41" ht="117" customHeight="1" s="34">
      <c r="B41" s="52" t="n">
        <v>36</v>
      </c>
      <c r="C41" s="36" t="inlineStr">
        <is>
          <t>Posture</t>
        </is>
      </c>
      <c r="D41" s="36" t="inlineStr">
        <is>
          <t>Slow Delivery-Path Rehearsal</t>
        </is>
      </c>
      <c r="E41" s="36" t="n"/>
      <c r="F41" s="36" t="inlineStr">
        <is>
          <t>Observe torso organization while rehearsing an approach to contact.</t>
        </is>
      </c>
      <c r="G41" s="36" t="inlineStr">
        <is>
          <t>Light bat, contact tee, optional second soft visual reference, net.</t>
        </is>
      </c>
      <c r="H41" s="36" t="inlineStr">
        <is>
          <t>• Set a comfortable contact point and mark an earlier delivery region with a soft reference.
• Slowly rehearse the barrel approaching the ball without hitting either object.
• Let the torso turn rather than forcing a straight-line barrel path.
• Remove the extra reference before controlled ball contact.
• Alternate 3–4 dry rehearsals with a short normal tee set.</t>
        </is>
      </c>
      <c r="I41" s="36" t="inlineStr">
        <is>
          <t>Side plus oblique; torso/hips, head, grip, bat endpoints, tee.</t>
        </is>
      </c>
      <c r="J41" s="36" t="inlineStr">
        <is>
          <t>Early delivery through the contact region.</t>
        </is>
      </c>
      <c r="K41" s="36" t="inlineStr">
        <is>
          <t>Review a torso rise, plateward dive, or catcherward retreat that coincides with a late barrel redirection compared with matched dry reps. Record crossing a reference region as compliance, not a diagnosis. Inspect whether removing the reference restores or preserves natural delivery.</t>
        </is>
      </c>
      <c r="L41" s="36" t="inlineStr">
        <is>
          <t>“Your torso rose and the barrel redirected just before the target. Slow the rehearsal and review the whole turn.”</t>
        </is>
      </c>
      <c r="M41" s="36" t="inlineStr">
        <is>
          <t>The reference is not a prescribed bat-path rail. A lower barrel or curved path is not automatically dumping, and apparent contact in one image may be depth overlap.</t>
        </is>
      </c>
      <c r="N41" s="53" t="n"/>
    </row>
    <row r="42" ht="102.75" customHeight="1" s="34">
      <c r="B42" s="52" t="n">
        <v>37</v>
      </c>
      <c r="C42" s="36" t="inlineStr">
        <is>
          <t>Posture</t>
        </is>
      </c>
      <c r="D42" s="36" t="inlineStr">
        <is>
          <t>No-Stride Posture Swings</t>
        </is>
      </c>
      <c r="E42" s="36" t="n"/>
      <c r="F42" s="36" t="inlineStr">
        <is>
          <t>Review torso control with the stride removed before restoring normal movement.</t>
        </is>
      </c>
      <c r="G42" s="36" t="inlineStr">
        <is>
          <t>Tee, manageable bat, soft balls, net.</t>
        </is>
      </c>
      <c r="H42" s="36" t="inlineStr">
        <is>
          <t>• Set a comfortable no-stride base and normal grip.
• Make a small load without stepping.
• Turn through the ball at easy effort, allowing natural tilt and foot pivot.
• Finish comfortably rather than freezing the torso.
• Take 6–8 reps, then compare normal-stride swings.</t>
        </is>
      </c>
      <c r="I42" s="36" t="inlineStr">
        <is>
          <t>Side and front/oblique; shoulders, hips, head, knees/feet, bat/ball.</t>
        </is>
      </c>
      <c r="J42" s="36" t="inlineStr">
        <is>
          <t>No-stride load → turn → contact → finish.</t>
        </is>
      </c>
      <c r="K42" s="36" t="inlineStr">
        <is>
          <t>Review candidate early extension when torso rising or pelvis movement toward the plate accompanies lost support or a delivery correction before contact. Distinguish normal finish rising from pre-contact change. Compare no-stride and stride conditions separately.</t>
        </is>
      </c>
      <c r="L42" s="36" t="inlineStr">
        <is>
          <t>“Turn from the comfortable setup without first rising toward the ball.”</t>
        </is>
      </c>
      <c r="M42" s="36" t="inlineStr">
        <is>
          <t>No-stride success does not establish full-swing transfer. Video cannot identify lumbar loading or prove that a particular joint caused the path change.</t>
        </is>
      </c>
      <c r="N42" s="53" t="n"/>
    </row>
    <row r="43" ht="132" customHeight="1" s="34">
      <c r="B43" s="52" t="n">
        <v>38</v>
      </c>
      <c r="C43" s="36" t="inlineStr">
        <is>
          <t>Posture</t>
        </is>
      </c>
      <c r="D43" s="36" t="inlineStr">
        <is>
          <t>Low-Tee Posture Swings</t>
        </is>
      </c>
      <c r="E43" s="36" t="n"/>
      <c r="F43" s="36" t="inlineStr">
        <is>
          <t>Adapt to a low pitch with controlled body organization instead of an abrupt dip or reach.</t>
        </is>
      </c>
      <c r="G43" s="36" t="inlineStr">
        <is>
          <t>Adjustable tee, bat, soft balls, net.</t>
        </is>
      </c>
      <c r="H43" s="36" t="inlineStr">
        <is>
          <t>• Set the tee in a comfortably reachable lower strike-zone location.
• Rehearse the target slowly before swinging.
• Allow comfortable torso and leg adjustments rather than forcing only the arms down.
• Hit at controlled effort and reset between reps.
• Take 6–8 reps, then compare a few middle-height swings separately.</t>
        </is>
      </c>
      <c r="I43" s="36" t="inlineStr">
        <is>
          <t>Side plus oblique; torso, pelvis, both knees, head, grip, bat/ball, tee.</t>
        </is>
      </c>
      <c r="J43" s="36" t="inlineStr">
        <is>
          <t>Load through contact.</t>
        </is>
      </c>
      <c r="K43" s="36" t="inlineStr">
        <is>
          <t>Compare low-pitch references. Review candidate dip-and-rise when abrupt pelvis/head descent is followed by an upward correction and changed barrel delivery; review rising away from the low target with an exaggerated reach. Record contact quality separately.</t>
        </is>
      </c>
      <c r="L43" s="36" t="inlineStr">
        <is>
          <t>“Make the adjustment to the lower target smoothly instead of dropping and lifting at the last moment.”</t>
        </is>
      </c>
      <c r="M43" s="36" t="inlineStr">
        <is>
          <t>More side bend or knee flexion can be appropriate here. A ground ball or pop-up alone cannot prove posture loss, and there is no universal low-pitch torso angle.</t>
        </is>
      </c>
      <c r="N43" s="53" t="n"/>
    </row>
    <row r="44" ht="117" customHeight="1" s="34">
      <c r="B44" s="52" t="n">
        <v>39</v>
      </c>
      <c r="C44" s="36" t="inlineStr">
        <is>
          <t>Posture</t>
        </is>
      </c>
      <c r="D44" s="36" t="inlineStr">
        <is>
          <t>High-Tee Posture Swings</t>
        </is>
      </c>
      <c r="E44" s="36" t="n"/>
      <c r="F44" s="36" t="inlineStr">
        <is>
          <t>Organize the body for a higher pitch without excessive preparatory folding or a late stand-up correction.</t>
        </is>
      </c>
      <c r="G44" s="36" t="inlineStr">
        <is>
          <t>Adjustable tee, bat, soft balls, net.</t>
        </is>
      </c>
      <c r="H44" s="36" t="inlineStr">
        <is>
          <t>• Put the tee in a comfortably reachable upper strike-zone position.
• Establish a comfortable setup rather than exaggerating a low-pitch hinge.
• Swing smoothly without locking the knees or shoulders.
• Compare the whole delivery, not only ball flight.
• Complete 6–8 reps, then restore the normal tee location.</t>
        </is>
      </c>
      <c r="I44" s="36" t="inlineStr">
        <is>
          <t>Side plus oblique; shoulders, hips, head, knees, bat/ball, tee.</t>
        </is>
      </c>
      <c r="J44" s="36" t="inlineStr">
        <is>
          <t>Load/landing through contact.</t>
        </is>
      </c>
      <c r="K44" s="36" t="inlineStr">
        <is>
          <t>Review repeated additional folding during the stride followed by an abrupt rise or reach to the high ball. Compare within this height condition and track whether a calmer setup reduces the correction. Separate a front-leg observation from the posture label.</t>
        </is>
      </c>
      <c r="L44" s="36" t="inlineStr">
        <is>
          <t>“Set up comfortably for this height so you do not need to stand up into the ball.”</t>
        </is>
      </c>
      <c r="M44" s="36" t="inlineStr">
        <is>
          <t>A taller organization than on a low pitch is not automatically early extension. High-tee contact cannot prove that the front leg blocked correctly.</t>
        </is>
      </c>
      <c r="N44" s="53" t="n"/>
    </row>
    <row r="45" ht="102.75" customHeight="1" s="34">
      <c r="B45" s="52" t="n">
        <v>40</v>
      </c>
      <c r="C45" s="36" t="inlineStr">
        <is>
          <t>Posture</t>
        </is>
      </c>
      <c r="D45" s="36" t="inlineStr">
        <is>
          <t>Mixed-Height Posture Tee</t>
        </is>
      </c>
      <c r="E45" s="36" t="n"/>
      <c r="F45" s="36" t="inlineStr">
        <is>
          <t>Change posture with pitch height while preserving control and delivery.</t>
        </is>
      </c>
      <c r="G45" s="36" t="inlineStr">
        <is>
          <t>Adjustable tee or safe toss setup, bat, soft balls, net, three marked height settings.</t>
        </is>
      </c>
      <c r="H45" s="36" t="inlineStr">
        <is>
          <t>• Begin with a comfortable middle-height rep.
• Change to high, then low, resetting safely between balls.
• Let the body adjust rather than trying to copy one pose.
• Keep effort similar across locations.
• Perform 2–3 rounds, then test normal swings at one matched baseline location.</t>
        </is>
      </c>
      <c r="I45" s="36" t="inlineStr">
        <is>
          <t>Side plus oblique; head, torso, pelvis, knees/feet, bat/ball and actual height.</t>
        </is>
      </c>
      <c r="J45" s="36" t="inlineStr">
        <is>
          <t>Load through contact, tagged by location.</t>
        </is>
      </c>
      <c r="K45" s="36" t="inlineStr">
        <is>
          <t>Compare within-height patterns before cross-height trends. Review abrupt extra reaching, diving, or rising at a particular height together with disrupted delivery or recovery. Do not score appropriate height-dependent posture differences as inconsistency.</t>
        </is>
      </c>
      <c r="L45" s="36" t="inlineStr">
        <is>
          <t>“The low setting caused a last-second dip. Slow that rep and find a comfortable adjustment before adding speed.”</t>
        </is>
      </c>
      <c r="M45" s="36" t="inlineStr">
        <is>
          <t>Three locations are three conditions, not one universal angle target. Ball-flight differences can have multiple causes.</t>
        </is>
      </c>
      <c r="N45" s="53" t="n"/>
    </row>
    <row r="46" ht="117" customHeight="1" s="34">
      <c r="B46" s="52" t="n">
        <v>41</v>
      </c>
      <c r="C46" s="36" t="inlineStr">
        <is>
          <t>Posture</t>
        </is>
      </c>
      <c r="D46" s="36" t="inlineStr">
        <is>
          <t>Low-Outside Tee Reach</t>
        </is>
      </c>
      <c r="E46" s="36" t="n"/>
      <c r="F46" s="36" t="inlineStr">
        <is>
          <t>Reach an outside-low contact point without an uncontrolled dive or retreat.</t>
        </is>
      </c>
      <c r="G46" s="36" t="inlineStr">
        <is>
          <t>Tee, bat, soft balls, net, opposite-field target.</t>
        </is>
      </c>
      <c r="H46" s="36" t="inlineStr">
        <is>
          <t>• Set a reachable lower-outside contact point with a coach.
• Rehearse slowly to confirm you do not need to fall toward the plate.
• Hit with comfortable opposite-field intent without locking the shoulders.
• Adjust the tee if safe reach is impossible.
• Take 6–8 reps, then normal middle-zone swings.</t>
        </is>
      </c>
      <c r="I46" s="36" t="inlineStr">
        <is>
          <t>Side plus protected pitcher-facing/oblique view; shoulders, pelvis, head, feet, hands, bat/ball.</t>
        </is>
      </c>
      <c r="J46" s="36" t="inlineStr">
        <is>
          <t>Stride through contact.</t>
        </is>
      </c>
      <c r="K46" s="36" t="inlineStr">
        <is>
          <t>Separate plateward travel from pitcherward travel. Flag candidate diving/reaching when head/torso move toward the plate with foot instability or a late arm stretch relative to controlled same-location reps. Review backing away when it causes a recovery reach.</t>
        </is>
      </c>
      <c r="L46" s="36" t="inlineStr">
        <is>
          <t>“You moved toward the plate and needed a late reach. Check tee distance before changing the swing.”</t>
        </is>
      </c>
      <c r="M46" s="36" t="inlineStr">
        <is>
          <t>Some reach and torso adjustment are appropriate outside. A hooked ball does not establish posture loss or rollover; first rule out an unsuitable setup.</t>
        </is>
      </c>
      <c r="N46" s="53" t="n"/>
    </row>
    <row r="47" ht="117" customHeight="1" s="34">
      <c r="B47" s="52" t="n">
        <v>42</v>
      </c>
      <c r="C47" s="36" t="inlineStr">
        <is>
          <t>Posture</t>
        </is>
      </c>
      <c r="D47" s="36" t="inlineStr">
        <is>
          <t>Short-Bat Posture Swings</t>
        </is>
      </c>
      <c r="E47" s="36" t="n"/>
      <c r="F47" s="36" t="inlineStr">
        <is>
          <t>Explore delivery and torso adjustment with a shorter implement, then test normal-bat transfer.</t>
        </is>
      </c>
      <c r="G47" s="36" t="inlineStr">
        <is>
          <t>Age/strength-appropriate light short bat or safely choked-up bat, tee, soft balls, net.</t>
        </is>
      </c>
      <c r="H47" s="36" t="inlineStr">
        <is>
          <t>• Choose a bat you can control; do not copy an adult weighted-trainer specification.
• Set the tee within comfortable reach for that implement.
• Take easy two-hand swings without lunging to compensate for length.
• Reset or reposition the tee if reach is awkward.
• Take 5–8 reps, then restore normal bat and baseline setup.</t>
        </is>
      </c>
      <c r="I47" s="36" t="inlineStr">
        <is>
          <t>Side plus oblique; head, shoulders/hips, knees/feet, grip, bat length/endpoints, ball.</t>
        </is>
      </c>
      <c r="J47" s="36" t="inlineStr">
        <is>
          <t>Load through contact.</t>
        </is>
      </c>
      <c r="K47" s="36" t="inlineStr">
        <is>
          <t>Match short-bat reps to short-bat references. Review torso rising, plateward diving, or an arm-only reach when paired with control/path disruption. Evaluate normal-bat transfer separately rather than demanding identical joint positions.</t>
        </is>
      </c>
      <c r="L47" s="36" t="inlineStr">
        <is>
          <t>“Use a reachable setup and a smooth turn instead of leaning farther for the short bat.”</t>
        </is>
      </c>
      <c r="M47" s="36" t="inlineStr">
        <is>
          <t>Implement length and mass alter the task; differences do not prove a mechanical flaw. Do not infer greater power or impose additional side bend as an automatic success criterion.</t>
        </is>
      </c>
      <c r="N47" s="53" t="n"/>
    </row>
    <row r="48" ht="87.75" customHeight="1" s="34">
      <c r="B48" s="52" t="n">
        <v>43</v>
      </c>
      <c r="C48" s="36" t="inlineStr">
        <is>
          <t>Posture</t>
        </is>
      </c>
      <c r="D48" s="36" t="inlineStr">
        <is>
          <t>Three-Stance Rotation Check</t>
        </is>
      </c>
      <c r="E48" s="36" t="n"/>
      <c r="F48" s="36" t="inlineStr">
        <is>
          <t>Maintain control while changing stance, without assuming one stance's posture fits every setup.</t>
        </is>
      </c>
      <c r="G48" s="36" t="inlineStr">
        <is>
          <t>Tee, bat, soft balls, net, floor marks.</t>
        </is>
      </c>
      <c r="H48" s="36" t="inlineStr">
        <is>
          <t>• Take one controlled open-stance swing.
• Reset to a regular no-stride setup for one swing.
• Reset to a comfortably closed stance for one swing.
• Keep the range comfortable and allow natural foot release.
• Perform two rounds, then test the normal stance separately.</t>
        </is>
      </c>
      <c r="I48" s="36" t="inlineStr">
        <is>
          <t>Side plus oblique; stance markers, feet, pelvis, torso, head, bat/ball.</t>
        </is>
      </c>
      <c r="J48" s="36" t="inlineStr">
        <is>
          <t>Setup through contact, labeled by stance.</t>
        </is>
      </c>
      <c r="K48" s="36" t="inlineStr">
        <is>
          <t>Establish each stance's baseline orientation. Review a repeated rise/dive/retreat with loss of support or late barrel correction within that stance. Compare the normal-stance transfer without requiring other stance angles to match it.</t>
        </is>
      </c>
      <c r="L48" s="36" t="inlineStr">
        <is>
          <t>“The closed setup made you lean away and reach. Reduce the stance change and keep the turn comfortable.”</t>
        </is>
      </c>
      <c r="M48" s="36" t="inlineStr">
        <is>
          <t>Deliberately open or closed hips are not faults. A projected shoulder-line change can reflect different camera geometry rather than lost posture.</t>
        </is>
      </c>
      <c r="N48" s="53" t="n"/>
    </row>
    <row r="49" ht="117" customHeight="1" s="34">
      <c r="B49" s="52" t="n">
        <v>44</v>
      </c>
      <c r="C49" s="36" t="inlineStr">
        <is>
          <t>Posture</t>
        </is>
      </c>
      <c r="D49" s="36" t="inlineStr">
        <is>
          <t>Torso Path Video Check</t>
        </is>
      </c>
      <c r="E49" s="36" t="n"/>
      <c r="F49" s="36" t="inlineStr">
        <is>
          <t>Make excessive torso retreat or plateward diving visible without restricting the head.</t>
        </is>
      </c>
      <c r="G49" s="36" t="inlineStr">
        <is>
          <t>Camera, virtual overlay, optional light bat and tee; no physical head contact.</t>
        </is>
      </c>
      <c r="H49" s="36" t="inlineStr">
        <is>
          <t>• Record a few comfortable dry turns.
• Overlay broad reference traces for shoulder midpoint and pelvis rather than a rigid head box.
• Repeat slow turns and review unexpected departures from the reference.
• Add easy tee swings only when control is comfortable.
• Complete 6–8 reps, then remove the overlay cue.</t>
        </is>
      </c>
      <c r="I49" s="36" t="inlineStr">
        <is>
          <t>Side and oblique; shoulder/hip midpoints, head, feet, bat if used.</t>
        </is>
      </c>
      <c r="J49" s="36" t="inlineStr">
        <is>
          <t>Landing-ready setup through turn/contact region.</t>
        </is>
      </c>
      <c r="K49" s="36" t="inlineStr">
        <is>
          <t>Track torso translation and tilt together, comparing the same phase. Review retreat/dive only when repeatable and paired with correction or instability. Treat overlay crossing as a prompt for review, not an automatic failure.</t>
        </is>
      </c>
      <c r="L49" s="36" t="inlineStr">
        <is>
          <t>“Your torso moved away from the delivery region before your hands reached it. Review the slow turn without trying to hold your head rigid.”</t>
        </is>
      </c>
      <c r="M49" s="36" t="inlineStr">
        <is>
          <t>This is a visualization adaptation, not a measured anatomical boundary. Head and torso trajectories need not stay fixed, and 2D traces cannot resolve all depth motion.</t>
        </is>
      </c>
      <c r="N49" s="53" t="n"/>
    </row>
    <row r="50" ht="102.75" customHeight="1" s="34">
      <c r="B50" s="52" t="n">
        <v>45</v>
      </c>
      <c r="C50" s="36" t="inlineStr">
        <is>
          <t>Posture</t>
        </is>
      </c>
      <c r="D50" s="36" t="inlineStr">
        <is>
          <t>Location-Change Transfer Tee</t>
        </is>
      </c>
      <c r="E50" s="36" t="n"/>
      <c r="F50" s="36" t="inlineStr">
        <is>
          <t>Test posture control outside a repeated tee condition.</t>
        </is>
      </c>
      <c r="G50" s="36" t="inlineStr">
        <is>
          <t>Adjustable tee or protected consistent tosser, bat, soft balls, net, location labels.</t>
        </is>
      </c>
      <c r="H50" s="36" t="inlineStr">
        <is>
          <t>• Begin with a short predictable middle-zone round.
• Introduce one comfortable high or low location at a time.
• Tell the hitter the location before the rep; vary order only after control is established.
• Keep effort and feed quality similar.
• Take 6–8 reps and finish with a matched middle-zone check.</t>
        </is>
      </c>
      <c r="I50" s="36" t="inlineStr">
        <is>
          <t>Side plus protected oblique; torso, head, pelvis, feet, hands, bat/ball and feed release.</t>
        </is>
      </c>
      <c r="J50" s="36" t="inlineStr">
        <is>
          <t>Feed/load through contact, grouped by actual location.</t>
        </is>
      </c>
      <c r="K50" s="36" t="inlineStr">
        <is>
          <t>Review location-specific late dives, rises, retreats, or recovery, not variation in itself. Separate an inaccurate toss from the hitter's response and compare the final middle-zone set with its baseline.</t>
        </is>
      </c>
      <c r="L50" s="36" t="inlineStr">
        <is>
          <t>“On the lower tosses you made a late downward correction. Return to a predictable low target before mixing heights.”</t>
        </is>
      </c>
      <c r="M50" s="36" t="inlineStr">
        <is>
          <t>This is a transfer task, not proof of improved vision or game performance. Do not merge different pitch locations into a single posture-failure rate.</t>
        </is>
      </c>
      <c r="N50" s="53" t="n"/>
    </row>
    <row r="51" ht="87.75" customHeight="1" s="34">
      <c r="B51" s="52" t="n">
        <v>46</v>
      </c>
      <c r="C51" s="36" t="inlineStr">
        <is>
          <t>Balance / head control</t>
        </is>
      </c>
      <c r="D51" s="36" t="inlineStr">
        <is>
          <t>Four-Count Dry Swing</t>
        </is>
      </c>
      <c r="E51" s="36" t="n"/>
      <c r="F51" s="36" t="inlineStr">
        <is>
          <t>Identify which phase introduces unwanted balance or head movement.</t>
        </is>
      </c>
      <c r="G51" s="36" t="inlineStr">
        <is>
          <t>Light bat or no bat, coach, flat floor, optional camera.</t>
        </is>
      </c>
      <c r="H51" s="36" t="inlineStr">
        <is>
          <t>• Start in a comfortable stance.
• On count one, load; on two, stride and settle.
• On three, identify an imaginary reachable contact location.
• On four, make a slow dry swing and finish naturally.
• Complete 4–6 reps, then remove the counts for normal swings.</t>
        </is>
      </c>
      <c r="I51" s="36" t="inlineStr">
        <is>
          <t>Side plus oblique; head, shoulders, hips, both feet, bat.</t>
        </is>
      </c>
      <c r="J51" s="36" t="inlineStr">
        <is>
          <t>Four labeled events and transitions; no actual contact.</t>
        </is>
      </c>
      <c r="K51" s="36" t="inlineStr">
        <is>
          <t>Mark the first phase with a slip, unplanned step, head/torso surge, or recovery. Compare with controlled counted reps, and distinguish an intended pause from hesitation in normal swings.</t>
        </is>
      </c>
      <c r="L51" s="36" t="inlineStr">
        <is>
          <t>“The extra step happened after the stride. Make the landing smaller before adding the turn.”</t>
        </is>
      </c>
      <c r="M51" s="36" t="inlineStr">
        <is>
          <t>This segmented rehearsal does not establish continuous-swing timing. Head movement is not an error merely because it crosses a static screen coordinate.</t>
        </is>
      </c>
      <c r="N51" s="53" t="n"/>
    </row>
    <row r="52" ht="117" customHeight="1" s="34">
      <c r="B52" s="52" t="n">
        <v>47</v>
      </c>
      <c r="C52" s="36" t="inlineStr">
        <is>
          <t>Balance / head control</t>
        </is>
      </c>
      <c r="D52" s="36" t="inlineStr">
        <is>
          <t>Small Toe-Tap Rhythm Swings</t>
        </is>
      </c>
      <c r="E52" s="36" t="n"/>
      <c r="F52" s="36" t="inlineStr">
        <is>
          <t>Rehearse a small rhythmic gather without bobbing or losing support.</t>
        </is>
      </c>
      <c r="G52" s="36" t="inlineStr">
        <is>
          <t>Tee, light/manageable bat, soft balls, net, non-slip floor.</t>
        </is>
      </c>
      <c r="H52" s="36" t="inlineStr">
        <is>
          <t>• Begin without a swing and make one or two small lead-foot taps within a comfortable stance.
• Keep the rear foot supported without deliberately locking it.
• Blend the last tap into the normal landing and a gentle tee swing.
• Reset rather than repeatedly tapping through fatigue.
• Take 5–8 reps, then normal swings without the taps.</t>
        </is>
      </c>
      <c r="I52" s="36" t="inlineStr">
        <is>
          <t>Side and oblique; both feet, knees, pelvis, head, torso, bat/ball.</t>
        </is>
      </c>
      <c r="J52" s="36" t="inlineStr">
        <is>
          <t>Tap cycle → final landing → contact.</t>
        </is>
      </c>
      <c r="K52" s="36" t="inlineStr">
        <is>
          <t>Verify tap events and track whether head/pelvis bobbing increases or an unplanned hop/slip interrupts the transition. Review changes relative to controlled tap reps, not a no-stride standard.</t>
        </is>
      </c>
      <c r="L52" s="36" t="inlineStr">
        <is>
          <t>“Make the taps smaller so you can move into the swing without hopping.”</t>
        </is>
      </c>
      <c r="M52" s="36" t="inlineStr">
        <is>
          <t>This is a simplified rhythm adaptation; taps intentionally add movement. It does not prove improved eye tracking or require a toe tap in the game swing.</t>
        </is>
      </c>
      <c r="N52" s="53" t="n"/>
    </row>
    <row r="53" ht="102.75" customHeight="1" s="34">
      <c r="B53" s="52" t="n">
        <v>48</v>
      </c>
      <c r="C53" s="36" t="inlineStr">
        <is>
          <t>Balance / head control</t>
        </is>
      </c>
      <c r="D53" s="36" t="inlineStr">
        <is>
          <t>Feet-Together Stride Swings</t>
        </is>
      </c>
      <c r="E53" s="36" t="n"/>
      <c r="F53" s="36" t="inlineStr">
        <is>
          <t>Expand from a compact starting base into a controlled hitting stance.</t>
        </is>
      </c>
      <c r="G53" s="36" t="inlineStr">
        <is>
          <t>Tee, bat, soft balls, net, floor marks.</t>
        </is>
      </c>
      <c r="H53" s="36" t="inlineStr">
        <is>
          <t>• Begin with feet comfortably closer together, not touching or on a narrow beam.
• Rehearse a small lead-foot step into the normal stance.
• Receive the step without falling or crossing the feet.
• Add a controlled swing only after the footwork is comfortable.
• Complete 5–8 reps, then normal-stance swings.</t>
        </is>
      </c>
      <c r="I53" s="36" t="inlineStr">
        <is>
          <t>Wide side plus oblique; both feet, knees, hips, head, shoulders, bat/ball.</t>
        </is>
      </c>
      <c r="J53" s="36" t="inlineStr">
        <is>
          <t>Compact setup → step → landing → contact.</t>
        </is>
      </c>
      <c r="K53" s="36" t="inlineStr">
        <is>
          <t>Compare landing location, foot separation, head/pelvis travel, and recovery events. Flag overreaching or a rushed fall only when accompanied by loss of control or a late delivery correction, not because the stance widened.</t>
        </is>
      </c>
      <c r="L53" s="36" t="inlineStr">
        <is>
          <t>“Use a shorter step so you arrive ready to turn rather than catching yourself.”</t>
        </is>
      </c>
      <c r="M53" s="36" t="inlineStr">
        <is>
          <t>Added forward travel is deliberate. Nose-over-foot position cannot measure balance forces, and starting too far from the tee can mimic a flaw.</t>
        </is>
      </c>
      <c r="N53" s="53" t="n"/>
    </row>
    <row r="54" ht="117" customHeight="1" s="34">
      <c r="B54" s="52" t="n">
        <v>49</v>
      </c>
      <c r="C54" s="36" t="inlineStr">
        <is>
          <t>Balance / head control</t>
        </is>
      </c>
      <c r="D54" s="36" t="inlineStr">
        <is>
          <t>Leg-Lift Stride Swings</t>
        </is>
      </c>
      <c r="E54" s="36" t="n"/>
      <c r="F54" s="36" t="inlineStr">
        <is>
          <t>Challenge lead-leg lift/lowering and stride control without a rigid balance-point hold.</t>
        </is>
      </c>
      <c r="G54" s="36" t="inlineStr">
        <is>
          <t>Tee, bat, soft balls, net; flat non-slip ground.</t>
        </is>
      </c>
      <c r="H54" s="36" t="inlineStr">
        <is>
          <t>• Start with a comfortably compact stance.
• Lift the lead leg only as high as controlled.
• Lower it smoothly into the forward move rather than jumping or locking the rear knee.
• Land and take an easy swing; begin with dry rehearsals if needed.
• Take 5–8 reps, then return to the normal stride.</t>
        </is>
      </c>
      <c r="I54" s="36" t="inlineStr">
        <is>
          <t>Side plus front/oblique; both feet, rear knee/hip, pelvis, head, torso, bat/ball.</t>
        </is>
      </c>
      <c r="J54" s="36" t="inlineStr">
        <is>
          <t>Lift → lowering → stride → contact.</t>
        </is>
      </c>
      <c r="K54" s="36" t="inlineStr">
        <is>
          <t>Review unintended lead-foot touches, rear-foot hops, or forward/backward falls. Compare head motion relative to the moving torso and review only abrupt corrections associated with poor control. Separate feed timing from balance if using toss.</t>
        </is>
      </c>
      <c r="L54" s="36" t="inlineStr">
        <is>
          <t>“Lower the leg lift and ride into the stride without a recovery hop.”</t>
        </is>
      </c>
      <c r="M54" s="36" t="inlineStr">
        <is>
          <t>A high leg lift is not a prerequisite for hitting. Task difficulty cannot diagnose weakness, vestibular problems, or injury.</t>
        </is>
      </c>
      <c r="N54" s="53" t="n"/>
    </row>
    <row r="55" ht="117" customHeight="1" s="34">
      <c r="B55" s="52" t="n">
        <v>50</v>
      </c>
      <c r="C55" s="36" t="inlineStr">
        <is>
          <t>Balance / head control</t>
        </is>
      </c>
      <c r="D55" s="36" t="inlineStr">
        <is>
          <t>Two-Foot Finish Hold</t>
        </is>
      </c>
      <c r="E55" s="36" t="n"/>
      <c r="F55" s="36" t="inlineStr">
        <is>
          <t>Practice controlled deceleration and observe recovery movements after contact.</t>
        </is>
      </c>
      <c r="G55" s="36" t="inlineStr">
        <is>
          <t>Tee, bat, soft balls, net.</t>
        </is>
      </c>
      <c r="H55" s="36" t="inlineStr">
        <is>
          <t>• Take a moderate-effort tee swing.
• Decelerate naturally; do not stop the bat abruptly.
• Hold the resulting comfortable finish for about two seconds without deliberately lifting a foot.
• Note whether you step or hop to recover, then reset.
• Complete 6–8 reps and compare normal finishes without a hold cue.</t>
        </is>
      </c>
      <c r="I55" s="36" t="inlineStr">
        <is>
          <t>Side plus oblique; both feet, pelvis, torso, head, bat/ball.</t>
        </is>
      </c>
      <c r="J55" s="36" t="inlineStr">
        <is>
          <t>Contact → deceleration → hold.</t>
        </is>
      </c>
      <c r="K55" s="36" t="inlineStr">
        <is>
          <t>Measure hold duration after deceleration and mark unplanned steps, slips, or increasing sway. Rewind to pre-contact frames before attributing the finish to an earlier flaw; planned rear-foot release is not automatically a recovery step.</t>
        </is>
      </c>
      <c r="L55" s="36" t="inlineStr">
        <is>
          <t>“Use less effort so you can finish without the extra recovery step.”</t>
        </is>
      </c>
      <c r="M55" s="36" t="inlineStr">
        <is>
          <t>This is not #16's single-front-leg finish requirement. A good posed finish cannot prove a good contact sequence or reveal weight distribution.</t>
        </is>
      </c>
      <c r="N55" s="53" t="n"/>
    </row>
    <row r="56" ht="117" customHeight="1" s="34">
      <c r="B56" s="52" t="n">
        <v>51</v>
      </c>
      <c r="C56" s="36" t="inlineStr">
        <is>
          <t>Balance / head control</t>
        </is>
      </c>
      <c r="D56" s="36" t="inlineStr">
        <is>
          <t>Contact-to-Finish Rehearsal</t>
        </is>
      </c>
      <c r="E56" s="36" t="n"/>
      <c r="F56" s="36" t="inlineStr">
        <is>
          <t>Explore comfortable follow-through control without a full-speed approach.</t>
        </is>
      </c>
      <c r="G56" s="36" t="inlineStr">
        <is>
          <t>Light bat, optional tee as a non-contact reference, clear space.</t>
        </is>
      </c>
      <c r="H56" s="36" t="inlineStr">
        <is>
          <t>• Slowly place the bat near a comfortable imagined contact position.
• Move gently through the follow-through, allowing the body and head to turn naturally.
• Settle into a comfortable finish without locking joints.
• Reset fully; do not accelerate violently from the static position.
• Take 4–6 rehearsals, then gentle normal swings.</t>
        </is>
      </c>
      <c r="I56" s="36" t="inlineStr">
        <is>
          <t>Side/oblique; grip, arms, bat, head, torso, pelvis, feet.</t>
        </is>
      </c>
      <c r="J56" s="36" t="inlineStr">
        <is>
          <t>Preset contact-region start → follow-through → settle.</t>
        </is>
      </c>
      <c r="K56" s="36" t="inlineStr">
        <is>
          <t>Review wobble, sudden backward arching, or foot recovery during the rehearsal. Track head/torso motion without scoring ordinary rotation as pulling off. Compare transfer only in full normal swings.</t>
        </is>
      </c>
      <c r="L56" s="36" t="inlineStr">
        <is>
          <t>“Make the finish smooth enough that you do not need to step to catch yourself.”</t>
        </is>
      </c>
      <c r="M56" s="36" t="inlineStr">
        <is>
          <t>The prescribed starting position is not actual impact and cannot diagnose early rollover, bat drag, or swing sequencing before contact.</t>
        </is>
      </c>
      <c r="N56" s="53" t="n"/>
    </row>
    <row r="57" ht="117" customHeight="1" s="34">
      <c r="B57" s="52" t="n">
        <v>52</v>
      </c>
      <c r="C57" s="36" t="inlineStr">
        <is>
          <t>Balance / head control</t>
        </is>
      </c>
      <c r="D57" s="36" t="inlineStr">
        <is>
          <t>Tee-Top Focus Swings</t>
        </is>
      </c>
      <c r="E57" s="36" t="n"/>
      <c r="F57" s="36" t="inlineStr">
        <is>
          <t>Reduce a rushed look-away during tee work without holding the neck rigid.</t>
        </is>
      </c>
      <c r="G57" s="36" t="inlineStr">
        <is>
          <t>Tee, manageable bat, soft balls, net, camera.</t>
        </is>
      </c>
      <c r="H57" s="36" t="inlineStr">
        <is>
          <t>• Locate the ball on the tee with a comfortable head position.
• Make an easy normal swing.
• Briefly retain attention in the contact area rather than immediately chasing ball flight.
• Let the head turn naturally as the body finishes; do not pin chin to shoulder.
• Take 5–8 reps, then remove the attention cue for normal swings.</t>
        </is>
      </c>
      <c r="I57" s="36" t="inlineStr">
        <is>
          <t>Side plus protected face-visible view; head center/orientation, shoulders, torso, bat/ball.</t>
        </is>
      </c>
      <c r="J57" s="36" t="inlineStr">
        <is>
          <t>Pre-contact → contact interval → early follow-through.</t>
        </is>
      </c>
      <c r="K57" s="36" t="inlineStr">
        <is>
          <t>Review abrupt head rotation or translation before contact together with torso withdrawal or a delivery correction. Separate that from a natural post-contact look. If only the nose is visible, lower confidence rather than calling every displacement a lunge.</t>
        </is>
      </c>
      <c r="L57" s="36" t="inlineStr">
        <is>
          <t>“Keep the contact area in mind through the swing, without forcing your head down.”</t>
        </is>
      </c>
      <c r="M57" s="36" t="inlineStr">
        <is>
          <t>The camera cannot prove the hitter watched contact, and a head turn alone does not establish gaze loss. Tee attention does not automatically transfer to a moving pitch.</t>
        </is>
      </c>
      <c r="N57" s="53" t="n"/>
    </row>
    <row r="58" ht="102.75" customHeight="1" s="34">
      <c r="B58" s="52" t="n">
        <v>53</v>
      </c>
      <c r="C58" s="36" t="inlineStr">
        <is>
          <t>Balance / head control</t>
        </is>
      </c>
      <c r="D58" s="36" t="inlineStr">
        <is>
          <t>Post-Swing Symbol Call</t>
        </is>
      </c>
      <c r="E58" s="36" t="n"/>
      <c r="F58" s="36" t="inlineStr">
        <is>
          <t>Add a simple attention-report task without placing a coach near the swing path.</t>
        </is>
      </c>
      <c r="G58" s="36" t="inlineStr">
        <is>
          <t>Tee with a securely placed flat symbol visible after ball removal, soft balls, bat, net; symbol changed only when bat is still.</t>
        </is>
      </c>
      <c r="H58" s="36" t="inlineStr">
        <is>
          <t>• Have a coach prepare a large symbol near the tee cup, concealed by the ball where practical.
• Take a gentle tee swing without bending closer to read it.
• Once the swing has safely finished, report the symbol.
• Reset and change the symbol only after the hitter stops.
• Take 4–6 reps, then remove the reporting task.</t>
        </is>
      </c>
      <c r="I58" s="36" t="inlineStr">
        <is>
          <t>Full-body side plus clear tee/symbol view; head, torso, feet, bat/ball, symbol.</t>
        </is>
      </c>
      <c r="J58" s="36" t="inlineStr">
        <is>
          <t>Swing → ball departure → finish → spoken report.</t>
        </is>
      </c>
      <c r="K58" s="36" t="inlineStr">
        <is>
          <t>Record symbol/report correctness separately from movement. Review diving or delayed recovery caused by trying to read the cue, and stop the constraint if it disrupts the swing. Do not infer visual fixation from answer timing.</t>
        </is>
      </c>
      <c r="L58" s="36" t="inlineStr">
        <is>
          <t>“Do not lean in to read the symbol. Finish comfortably, then give your answer.”</t>
        </is>
      </c>
      <c r="M58" s="36" t="inlineStr">
        <is>
          <t>A correct answer may come from a post-swing glance, prior visibility, or guessing; it does not prove attention at impact. This is not a vision-acuity test.</t>
        </is>
      </c>
      <c r="N58" s="53" t="n"/>
    </row>
    <row r="59" ht="132" customHeight="1" s="34">
      <c r="B59" s="52" t="n">
        <v>54</v>
      </c>
      <c r="C59" s="36" t="inlineStr">
        <is>
          <t>Balance / head control</t>
        </is>
      </c>
      <c r="D59" s="36" t="inlineStr">
        <is>
          <t>Slow-Motion Head-Path Review</t>
        </is>
      </c>
      <c r="E59" s="36" t="n"/>
      <c r="F59" s="36" t="inlineStr">
        <is>
          <t>Locate disruptive head movement by phase without imposing a motionless head.</t>
        </is>
      </c>
      <c r="G59" s="36" t="inlineStr">
        <is>
          <t>Camera, optional virtual trajectory overlay, light bat; no physical head guide.</t>
        </is>
      </c>
      <c r="H59" s="36" t="inlineStr">
        <is>
          <t>• Record comfortable slow dry swings.
• Review load, landing, delivery, and finish separately.
• Overlay the head path from controlled reps as a reference, not a rigid box.
• Repeat at easy effort with one cue addressing the observed abrupt movement.
• Take 4–6 rehearsals, then normal tee swings without the overlay cue.</t>
        </is>
      </c>
      <c r="I59" s="36" t="inlineStr">
        <is>
          <t>Fixed side plus face-visible oblique; multiple head points, shoulders, pelvis, feet, bat.</t>
        </is>
      </c>
      <c r="J59" s="36" t="inlineStr">
        <is>
          <t>Load through finish, with no impact event for dry swings.</t>
        </is>
      </c>
      <c r="K59" s="36" t="inlineStr">
        <is>
          <t>Separate field-relative head travel from head movement relative to the torso and from estimated head rotation. Review abrupt changes only if repeatable and paired with lost control or disrupted delivery. Verify camera shake and tracking jumps before flagging.</t>
        </is>
      </c>
      <c r="L59" s="36" t="inlineStr">
        <is>
          <t>“The abrupt head move appears as the swing starts. Slow that transition rather than trying to freeze your head for the whole rep.”</t>
        </is>
      </c>
      <c r="M59" s="36" t="inlineStr">
        <is>
          <t>A head trace is not eye tracking. Natural stride motion, pitch adjustment, and finish rotation remain permitted; an arbitrary two-inch box is not a universal standard.</t>
        </is>
      </c>
      <c r="N59" s="53" t="n"/>
    </row>
    <row r="60" ht="132" customHeight="1" s="34">
      <c r="B60" s="52" t="n">
        <v>55</v>
      </c>
      <c r="C60" s="36" t="inlineStr">
        <is>
          <t>Balance / head control</t>
        </is>
      </c>
      <c r="D60" s="36" t="inlineStr">
        <is>
          <t>No-Swing Pitch Tracking</t>
        </is>
      </c>
      <c r="E60" s="36" t="n"/>
      <c r="F60" s="36" t="inlineStr">
        <is>
          <t>Separate ball observation and stance control from swinging.</t>
        </is>
      </c>
      <c r="G60" s="36" t="inlineStr">
        <is>
          <t>Helmet, protected consistent tosser, soft balls, net; no bat initially.</t>
        </is>
      </c>
      <c r="H60" s="36" t="inlineStr">
        <is>
          <t>• Take a comfortable stance in a clear safe area.
• Receive gentle predictable tosses without swinging or reaching to catch.
• Attend to the ball from release into the receiving net.
• After each toss, report a simple location such as high/middle/low.
• Use 6–8 takes, then compare a short normal-swing set separately.</t>
        </is>
      </c>
      <c r="I60" s="36" t="inlineStr">
        <is>
          <t>Side plus protected face-visible view; head, torso, pelvis/feet, ball, release and zone reference.</t>
        </is>
      </c>
      <c r="J60" s="36" t="inlineStr">
        <is>
          <t>Release → zone passage → report; no bat contact.</t>
        </is>
      </c>
      <c r="K60" s="36" t="inlineStr">
        <is>
          <t>Track visible head orientation/translation and stance recovery, comparing similar feeds. Score the stated location against labeled ball passage separately. A wrong call is a task outcome, not automatic evidence of poor balance or head motion.</t>
        </is>
      </c>
      <c r="L60" s="36" t="inlineStr">
        <is>
          <t>“Keep a comfortable stance and make the location call after the ball passes.”</t>
        </is>
      </c>
      <c r="M60" s="36" t="inlineStr">
        <is>
          <t>The system cannot verify continuous gaze or perception from head pose. Flinching or an errant feed should prompt safety review, not a mechanical diagnosis.</t>
        </is>
      </c>
      <c r="N60" s="53" t="n"/>
    </row>
    <row r="61" ht="132" customHeight="1" s="34">
      <c r="B61" s="52" t="n">
        <v>56</v>
      </c>
      <c r="C61" s="36" t="inlineStr">
        <is>
          <t>Balance / head control</t>
        </is>
      </c>
      <c r="D61" s="36" t="inlineStr">
        <is>
          <t>Color-Call Takes</t>
        </is>
      </c>
      <c r="E61" s="36" t="n"/>
      <c r="F61" s="36" t="inlineStr">
        <is>
          <t>Add an explicit recognition response while preserving comfortable head and body control.</t>
        </is>
      </c>
      <c r="G61" s="36" t="inlineStr">
        <is>
          <t>Soft training balls with large visible colors/marks, helmet, protected gentle tosser, net; no bat.</t>
        </is>
      </c>
      <c r="H61" s="36" t="inlineStr">
        <is>
          <t>• Begin with slow, consistently delivered tosses and clearly distinguishable colors.
• Take every toss without swinging or catching it.
• Report the color after passage, without moving closer to the flight path.
• Slow or simplify the feed if the marking is not reliably visible.
• Complete 6–8 takes; score recognition separately from movement.</t>
        </is>
      </c>
      <c r="I61" s="36" t="inlineStr">
        <is>
          <t>Full-body plus clear ball view; ball identity, release, head/torso, feet.</t>
        </is>
      </c>
      <c r="J61" s="36" t="inlineStr">
        <is>
          <t>Release → passage → report.</t>
        </is>
      </c>
      <c r="K61" s="36" t="inlineStr">
        <is>
          <t>Compare reported color with ground truth and count abstentions or unclear markings. Review lunging/ducking or recovery only as visible movement observations. Ensure color-label errors from the camera are not attributed to the hitter.</t>
        </is>
      </c>
      <c r="L61" s="36" t="inlineStr">
        <is>
          <t>“Stay in the comfortable stance; if you cannot see the mark, say so and we will slow the toss.”</t>
        </is>
      </c>
      <c r="M61" s="36" t="inlineStr">
        <is>
          <t>Color calls do not measure gaze fixation, pitch-spin recognition, or visual acuity. Lighting, color-vision differences, and marking visibility can affect performance.</t>
        </is>
      </c>
      <c r="N61" s="53" t="n"/>
    </row>
    <row r="62" ht="147" customHeight="1" s="34">
      <c r="B62" s="52" t="n">
        <v>57</v>
      </c>
      <c r="C62" s="36" t="inlineStr">
        <is>
          <t>Balance / head control</t>
        </is>
      </c>
      <c r="D62" s="36" t="inlineStr">
        <is>
          <t>Controlled Take-or-Swing Reads</t>
        </is>
      </c>
      <c r="E62" s="36" t="n"/>
      <c r="F62" s="36" t="inlineStr">
        <is>
          <t>Test control when the hitter must decide, not merely repeat a predetermined swing.</t>
        </is>
      </c>
      <c r="G62" s="36" t="inlineStr">
        <is>
          <t>Helmet, bat, soft balls, protected consistent tosser, net, agreed reachable target window.</t>
        </is>
      </c>
      <c r="H62" s="36" t="inlineStr">
        <is>
          <t>• Agree on a simple comfortable swing window before the round.
• Begin with predictable gentle feeds and a few clear takes outside that window.
• Swing only at suitable feeds; take the others without a forced check swing.
• Review the choice, body control, and contact outcome separately.
• Use 6–8 deliveries, then a short matched normal-swing check if workload allows.</t>
        </is>
      </c>
      <c r="I62" s="36" t="inlineStr">
        <is>
          <t>Side plus protected oblique; head/torso, pelvis/feet, grip/bat, ball, release and target window.</t>
        </is>
      </c>
      <c r="J62" s="36" t="inlineStr">
        <is>
          <t>Release → decision response → swing/contact or take → recovery.</t>
        </is>
      </c>
      <c r="K62" s="36" t="inlineStr">
        <is>
          <t>Label delivered location and actual swing/take before examining balance. Review repeated pre-contact head/torso surges with rushed footwork or recovery on comparable swing trials. Keep decision accuracy, head movement, contact, and balance in separate fields; use only swing trials for contact-based analysis.</t>
        </is>
      </c>
      <c r="L62" s="36" t="inlineStr">
        <is>
          <t>“Make the same comfortable move and keep the option to take; do not rush just because the ball is coming.”</t>
        </is>
      </c>
      <c r="M62" s="36" t="inlineStr">
        <is>
          <t>A poor decision does not establish a head-control defect. Ordinary video cannot identify when the hitter perceived the pitch or diagnose anxiety, attention problems, or visual impairment.</t>
        </is>
      </c>
      <c r="N62" s="53" t="n"/>
    </row>
    <row r="63" ht="132" customHeight="1" s="34">
      <c r="B63" s="52" t="n">
        <v>58</v>
      </c>
      <c r="C63" s="36" t="inlineStr">
        <is>
          <t>Medicine ball</t>
        </is>
      </c>
      <c r="D63" s="36" t="inlineStr">
        <is>
          <t>Paused Standing Scoop Toss</t>
        </is>
      </c>
      <c r="E63" s="36" t="n"/>
      <c r="F63" s="36" t="inlineStr">
        <is>
          <t>Rehearse a comfortable rear-side gather and coordinated release without added approach momentum.</t>
        </is>
      </c>
      <c r="G63" s="36" t="inlineStr">
        <is>
          <t>Coach-selected light medicine ball, approved wall/landing lane, flat non-slip surface, target marker.</t>
        </is>
      </c>
      <c r="H63" s="36" t="inlineStr">
        <is>
          <t>• Stand side-on to the target with a comfortable base.
• Hold the ball with both hands near the rear hip and make a small gather.
• Pause briefly without sinking farther or twisting to end range.
• Turn and scoop-release smoothly; allow natural foot motion and follow-through.
• Let the ball stop, reset, and complete 4–6 total reps across comfortable directions.</t>
        </is>
      </c>
      <c r="I63" s="36" t="inlineStr">
        <is>
          <t>Side/oblique; hips, shoulders, rear knee/foot, hands, ball, head, target.</t>
        </is>
      </c>
      <c r="J63" s="36" t="inlineStr">
        <is>
          <t>Gather → pause → turn → release → recovery.</t>
        </is>
      </c>
      <c r="K63" s="36" t="inlineStr">
        <is>
          <t>Verify the pause separately from throw quality. Review continued knee folding/pelvis descent followed by a rushed rise, or hand/ball travel that occurs with an abrupt torso correction. Compare matched paused throws, then assess normal swings independently.</t>
        </is>
      </c>
      <c r="L63" s="36" t="inlineStr">
        <is>
          <t>“Use a smaller gather so you can turn and release without rising to recover.”</t>
        </is>
      </c>
      <c r="M63" s="36" t="inlineStr">
        <is>
          <t>A pause changes rhythm; throw speed/distance does not reveal rear-leg force or prove bat-speed improvement.</t>
        </is>
      </c>
      <c r="N63" s="53" t="n"/>
    </row>
    <row r="64" ht="147" customHeight="1" s="34">
      <c r="B64" s="52" t="n">
        <v>59</v>
      </c>
      <c r="C64" s="36" t="inlineStr">
        <is>
          <t>Medicine ball</t>
        </is>
      </c>
      <c r="D64" s="36" t="inlineStr">
        <is>
          <t>Split-Stance Scoop Toss</t>
        </is>
      </c>
      <c r="E64" s="36" t="n"/>
      <c r="F64" s="36" t="inlineStr">
        <is>
          <t>Explore lead-side support and rotation from a pre-set staggered base.</t>
        </is>
      </c>
      <c r="G64" s="36" t="inlineStr">
        <is>
          <t>Light medicine ball, approved target area, floor marks, non-slip surface.</t>
        </is>
      </c>
      <c r="H64" s="36" t="inlineStr">
        <is>
          <t>• Set the lead foot slightly closer to the target in a comfortable staggered stance.
• Hold the ball near the rear hip; do not force a long split or locked front knee.
• Make a small gather and rotate into a two-hand scoop release without adding a stride.
• Allow a comfortable pivot and finish; stop if the feet slide.
• Reset for 4–6 total throws, changing direction only after a safe setup.</t>
        </is>
      </c>
      <c r="I64" s="36" t="inlineStr">
        <is>
          <t>Side plus oblique; both feet/knees, pelvis, torso, hands, ball/target.</t>
        </is>
      </c>
      <c r="J64" s="36" t="inlineStr">
        <is>
          <t>Pre-set stance → gather → release → finish; there is no new lead-foot landing.</t>
        </is>
      </c>
      <c r="K64" s="36" t="inlineStr">
        <is>
          <t>Review lead-knee folding together with continued pelvis travel and recovery, or deliberate knee lockout with a body jolt. Record an added step as compliance first, distinguishing a necessary safety recovery from intended foot release.</t>
        </is>
      </c>
      <c r="L64" s="36" t="inlineStr">
        <is>
          <t>“Turn from the base you set rather than sliding forward through it.”</t>
        </is>
      </c>
      <c r="M64" s="36" t="inlineStr">
        <is>
          <t>A visible front-leg position does not measure braking force or weight transfer, and a stable bent knee is not a failed block.</t>
        </is>
      </c>
      <c r="N64" s="53" t="n"/>
    </row>
    <row r="65" ht="117" customHeight="1" s="34">
      <c r="B65" s="52" t="n">
        <v>60</v>
      </c>
      <c r="C65" s="36" t="inlineStr">
        <is>
          <t>Medicine ball</t>
        </is>
      </c>
      <c r="D65" s="36" t="inlineStr">
        <is>
          <t>Step-Back Scoop Toss</t>
        </is>
      </c>
      <c r="E65" s="36" t="n"/>
      <c r="F65" s="36" t="inlineStr">
        <is>
          <t>Connect a small rearward step to a smooth forward/rotational transition.</t>
        </is>
      </c>
      <c r="G65" s="36" t="inlineStr">
        <is>
          <t>Light medicine ball, approved target lane, clear approach space, floor marks.</t>
        </is>
      </c>
      <c r="H65" s="36" t="inlineStr">
        <is>
          <t>• Rehearse the footwork without a ball first.
• Hold the ball comfortably and take a small rear-foot step away from the target along the intended movement line.
• Gather, then move into a controlled lead-foot landing and turn.
• Scoop-release without a hop or forced knee extension.
• Wait for the ball to stop; complete 4–6 total throws, returning to #58 if control is poor.</t>
        </is>
      </c>
      <c r="I65" s="36" t="inlineStr">
        <is>
          <t>Wide side/oblique; both feet, rear knee/hip, pelvis, head/torso, hands, ball.</t>
        </is>
      </c>
      <c r="J65" s="36" t="inlineStr">
        <is>
          <t>Rear step → gather → lead landing → release.</t>
        </is>
      </c>
      <c r="K65" s="36" t="inlineStr">
        <is>
          <t>Review an oversized step/hop with a rushed landing, or rear-side rise with a late arm correction. Compare against the same step-back task rather than penalizing intended rearward travel. Check ball position remains controllable during the approach.</t>
        </is>
      </c>
      <c r="L65" s="36" t="inlineStr">
        <is>
          <t>“Shorten the backward step so the landing and release stay smooth.”</t>
        </is>
      </c>
      <c r="M65" s="36" t="inlineStr">
        <is>
          <t>This is a proposed combination, not a standard drill. Visible movement cannot establish pressure transfer, and added momentum must not be mistaken for greater intrinsic rotational power.</t>
        </is>
      </c>
      <c r="N65" s="53" t="n"/>
    </row>
    <row r="66" ht="117" customHeight="1" s="34">
      <c r="B66" s="52" t="n">
        <v>61</v>
      </c>
      <c r="C66" s="36" t="inlineStr">
        <is>
          <t>Medicine ball</t>
        </is>
      </c>
      <c r="D66" s="36" t="inlineStr">
        <is>
          <t>Step-In Rotational Toss</t>
        </is>
      </c>
      <c r="E66" s="36" t="n"/>
      <c r="F66" s="36" t="inlineStr">
        <is>
          <t>Blend a short approach with a controlled plant, turn, and release.</t>
        </is>
      </c>
      <c r="G66" s="36" t="inlineStr">
        <is>
          <t>Light medicine ball, approved target/landing lane, approach marks, non-slip surface.</t>
        </is>
      </c>
      <c r="H66" s="36" t="inlineStr">
        <is>
          <t>• Begin only a short comfortable step from the throwing setup.
• Hold the ball securely and rehearse the approach at walking pace.
• Step into the side-on release setup, receive the landing, then turn and throw.
• Finish without a forced stop or running into the rebound lane.
• Reset fully for 4–6 total throws; no run-up is required.</t>
        </is>
      </c>
      <c r="I66" s="36" t="inlineStr">
        <is>
          <t>Wide side plus oblique; both feet/knees, pelvis, torso/head, hands, ball/target.</t>
        </is>
      </c>
      <c r="J66" s="36" t="inlineStr">
        <is>
          <t>Approach → landing → turn/release → recovery.</t>
        </is>
      </c>
      <c r="K66" s="36" t="inlineStr">
        <is>
          <t>Review continued forward collapse or foot sliding after landing with an awkward release/recovery. Separate the intended approach from unwanted post-landing travel; inspect whether the ball starts moving toward the target before a stable transition is established, without imposing a universal timing cutoff.</t>
        </is>
      </c>
      <c r="L66" s="36" t="inlineStr">
        <is>
          <t>“Slow the step so you can turn from the landing instead of chasing the throw.”</t>
        </is>
      </c>
      <c r="M66" s="36" t="inlineStr">
        <is>
          <t>Approach speed changes output. A farther throw does not prove better front-leg bracing or improved hitting mechanics.</t>
        </is>
      </c>
      <c r="N66" s="53" t="n"/>
    </row>
    <row r="67" ht="132" customHeight="1" s="34">
      <c r="B67" s="52" t="n">
        <v>62</v>
      </c>
      <c r="C67" s="36" t="inlineStr">
        <is>
          <t>Medicine ball</t>
        </is>
      </c>
      <c r="D67" s="36" t="inlineStr">
        <is>
          <t>Small-Shuffle Scoop Toss</t>
        </is>
      </c>
      <c r="E67" s="36" t="n"/>
      <c r="F67" s="36" t="inlineStr">
        <is>
          <t>Coordinate extra footwork, a rear-side gather, and a controlled release.</t>
        </is>
      </c>
      <c r="G67" s="36" t="inlineStr">
        <is>
          <t>Light medicine ball, approved target, clear non-slip lane, optional footfall marks.</t>
        </is>
      </c>
      <c r="H67" s="36" t="inlineStr">
        <is>
          <t>• Rehearse a small sideways shuffle without crossing the feet.
• Add the ball once the footwork is controlled.
• Gather into the rear side, land on the lead side, and turn into the scoop throw.
• Keep the approach modest; do not jump into release or chase a hard rebound.
• Use 4–6 total throws with full resets, reverting to #61 or #58 if needed.</t>
        </is>
      </c>
      <c r="I67" s="36" t="inlineStr">
        <is>
          <t>Wide side/oblique; both feet, rear knee/hip, pelvis, torso/head, hands, ball.</t>
        </is>
      </c>
      <c r="J67" s="36" t="inlineStr">
        <is>
          <t>Shuffle → gather → lead landing → release → recovery.</t>
        </is>
      </c>
      <c r="K67" s="36" t="inlineStr">
        <is>
          <t>Identify footfalls before judging timing. Review a hop, tangled feet, or stalled gather followed by a rushed arm throw and recovery. Distinguish planned approach steps from uncontrolled steps after release.</t>
        </is>
      </c>
      <c r="L67" s="36" t="inlineStr">
        <is>
          <t>“Make the shuffle smaller so the gather and release stay connected.”</t>
        </is>
      </c>
      <c r="M67" s="36" t="inlineStr">
        <is>
          <t>This footwork adaptation is not a mandated swing pattern. Throw output cannot isolate rear-leg power, and different approach distances must not be pooled into one score.</t>
        </is>
      </c>
      <c r="N67" s="53" t="n"/>
    </row>
    <row r="68" ht="147" customHeight="1" s="34">
      <c r="B68" s="52" t="n">
        <v>63</v>
      </c>
      <c r="C68" s="36" t="inlineStr">
        <is>
          <t>Medicine ball</t>
        </is>
      </c>
      <c r="D68" s="36" t="inlineStr">
        <is>
          <t>Step-Behind Rotational Push Throw</t>
        </is>
      </c>
      <c r="E68" s="36" t="n"/>
      <c r="F68" s="36" t="inlineStr">
        <is>
          <t>Explore a controlled step-behind approach to a rotational push once simpler throws are reliable.</t>
        </is>
      </c>
      <c r="G68" s="36" t="inlineStr">
        <is>
          <t>Light coach-selected medicine ball, approved target lane, ample clear space; direct supervision.</t>
        </is>
      </c>
      <c r="H68" s="36" t="inlineStr">
        <is>
          <t>• Begin side-on with the ball near the rear shoulder, supported by both hands.
• Rehearse a small rear-foot step behind the lead foot, then a lead-foot step toward the target.
• Turn and push-release with the rear-side hand while the other hand guides safely.
• Follow through comfortably without trapping or tangling the feet.
• Allow the rebound to stop; use 4 total controlled throws or substitute #66.</t>
        </is>
      </c>
      <c r="I68" s="36" t="inlineStr">
        <is>
          <t>Side plus oblique; crossed-foot events, hips/shoulders, rear elbow/wrist, both hands, ball.</t>
        </is>
      </c>
      <c r="J68" s="36" t="inlineStr">
        <is>
          <t>Cross-step → opening step → turn → release.</t>
        </is>
      </c>
      <c r="K68" s="36" t="inlineStr">
        <is>
          <t>Verify leg identity during crossing, then review foot tangling, late landing, abrupt torso correction, or uncomfortable-looking delivery that prompts the athlete to stop. Compare the shoulder-level push with shot-put references, not scoop trajectories.</t>
        </is>
      </c>
      <c r="L68" s="36" t="inlineStr">
        <is>
          <t>“Remove the cross-step until you can land and release without tangling the feet.”</t>
        </is>
      </c>
      <c r="M68" s="36" t="inlineStr">
        <is>
          <t>Rebound catching is intentionally omitted. Do not infer shoulder loading, pain, or safe joint range from pose, and do not map a one-arm push directly to top-hand bat mechanics.</t>
        </is>
      </c>
      <c r="N68" s="53" t="n"/>
    </row>
    <row r="69" ht="162" customHeight="1" s="34">
      <c r="B69" s="52" t="n">
        <v>64</v>
      </c>
      <c r="C69" s="36" t="inlineStr">
        <is>
          <t>Medicine ball</t>
        </is>
      </c>
      <c r="D69" s="36" t="inlineStr">
        <is>
          <t>Tall-Kneeling Rotational Scoop</t>
        </is>
      </c>
      <c r="E69" s="36" t="n"/>
      <c r="F69" s="36" t="inlineStr">
        <is>
          <t>Explore comfortable rotational delivery with stepping removed.</t>
        </is>
      </c>
      <c r="G69" s="36" t="inlineStr">
        <is>
          <t>Very light suitable ball, firm knee pad, approved target area, coach supervision.</t>
        </is>
      </c>
      <c r="H69" s="36" t="inlineStr">
        <is>
          <t>• Kneel on both knees on the pad in a comfortable upright position.
• Hold the ball in two hands and make a small comfortable turn to one side.
• Rotate back toward the target and release gently without forcing a long backswing.
• Allow comfortable hip/torso motion rather than pinning the pelvis.
• Reset for 4 total throws across comfortable directions; choose standing work if kneeling is uncomfortable.</t>
        </is>
      </c>
      <c r="I69" s="36" t="inlineStr">
        <is>
          <t>Side/oblique; hips, shoulders, head, knees/pad, hands, ball.</t>
        </is>
      </c>
      <c r="J69" s="36" t="inlineStr">
        <is>
          <t>Kneeling setup → gather → release → settle.</t>
        </is>
      </c>
      <c r="K69" s="36" t="inlineStr">
        <is>
          <t>Review uncontrolled leaning, rising off the pad, or a catch-up torso motion after the ball moves. Record pad/knee movement and recovery separately from the chosen torso pattern; there is no foot-stride event.</t>
        </is>
      </c>
      <c r="L69" s="36" t="inlineStr">
        <is>
          <t>“Keep the turn within a comfortable range and use a lighter ball if you need to lean to release it.”</t>
        </is>
      </c>
      <c r="M69" s="36" t="inlineStr">
        <is>
          <t>Kneeling does not isolate one muscle group or prove core strength. A stable kneeling throw cannot establish lower-body sequencing in a normal swing.</t>
        </is>
      </c>
      <c r="N69" s="53" t="n"/>
    </row>
    <row r="70" ht="132" customHeight="1" s="34">
      <c r="B70" s="52" t="n">
        <v>65</v>
      </c>
      <c r="C70" s="36" t="inlineStr">
        <is>
          <t>Medicine ball</t>
        </is>
      </c>
      <c r="D70" s="36" t="inlineStr">
        <is>
          <t>Half-Kneeling Scoop Toss</t>
        </is>
      </c>
      <c r="E70" s="36" t="n"/>
      <c r="F70" s="36" t="inlineStr">
        <is>
          <t>Review rotational control from an asymmetric supported base.</t>
        </is>
      </c>
      <c r="G70" s="36" t="inlineStr">
        <is>
          <t>Very light suitable ball, firm pad, approved target, non-slip floor.</t>
        </is>
      </c>
      <c r="H70" s="36" t="inlineStr">
        <is>
          <t>• Place one knee on the pad and the other foot ahead in a comfortable stable position.
• Start facing the target with the ball near the kneeling-side hip.
• Make a modest gather, then rotate and scoop toward the target without striking the raised knee.
• Reset fully; switch setup only when the ball is still.
• Take 4 total reps, normally 2 per comfortable orientation, or return to standing if needed.</t>
        </is>
      </c>
      <c r="I70" s="36" t="inlineStr">
        <is>
          <t>Front/oblique plus side; lead foot/knee, kneeling knee/pad, hips/shoulders, head, hands, ball.</t>
        </is>
      </c>
      <c r="J70" s="36" t="inlineStr">
        <is>
          <t>Setup → gather → release → recovery.</t>
        </is>
      </c>
      <c r="K70" s="36" t="inlineStr">
        <is>
          <t>Review lead-foot rocking/sliding, pelvis leaning, or a late arm lift to clear the leg. Tag which knee is down so mirrored views do not reverse the interpretation. A moving torso is expected; review control rather than enforcing a stationary pelvis.</t>
        </is>
      </c>
      <c r="L70" s="36" t="inlineStr">
        <is>
          <t>“Adjust the setup so the ball clears your leg without a last-second lift or lean.”</t>
        </is>
      </c>
      <c r="M70" s="36" t="inlineStr">
        <is>
          <t>A knee-on-pad constraint changes the movement and may not suit the athlete. Camera projection does not diagnose hip mobility or determine a correct trunk-separation angle.</t>
        </is>
      </c>
      <c r="N70" s="53" t="n"/>
    </row>
    <row r="71" ht="147" customHeight="1" s="34">
      <c r="B71" s="52" t="n">
        <v>66</v>
      </c>
      <c r="C71" s="36" t="inlineStr">
        <is>
          <t>Medicine ball</t>
        </is>
      </c>
      <c r="D71" s="36" t="inlineStr">
        <is>
          <t>Standing Rotational Push Throw</t>
        </is>
      </c>
      <c r="E71" s="36" t="n"/>
      <c r="F71" s="36" t="inlineStr">
        <is>
          <t>Coordinate a rotational push with the body turn and a controlled finish.</t>
        </is>
      </c>
      <c r="G71" s="36" t="inlineStr">
        <is>
          <t>Light suitable medicine ball, approved target/landing lane, non-slip ground.</t>
        </is>
      </c>
      <c r="H71" s="36" t="inlineStr">
        <is>
          <t>• Stand side-on with the ball comfortably near the rear shoulder or upper chest.
• Place the rear-side hand behind the ball and the other hand in support.
• Make a small gather, rotate, and push-release toward a reachable target.
• Do not force elbow lockout, wrist snap, or a high launch angle.
• Reset for 4–6 total throws; reduce the load or return to a two-hand scoop if uncomfortable.</t>
        </is>
      </c>
      <c r="I71" s="36" t="inlineStr">
        <is>
          <t>Side/oblique; shoulders/hips, rear elbow/wrist, supporting hand, feet, head, ball.</t>
        </is>
      </c>
      <c r="J71" s="36" t="inlineStr">
        <is>
          <t>Gather → turn → push/release → recovery.</t>
        </is>
      </c>
      <c r="K71" s="36" t="inlineStr">
        <is>
          <t>Review an early reach/push that accompanies limited torso movement and a late body correction relative to controlled same-task reps. Inspect abrupt leaning or foot recovery after release. Distinguish intentional elbow extension in a push from premature extension labels used in bat swings.</t>
        </is>
      </c>
      <c r="L71" s="36" t="inlineStr">
        <is>
          <t>“Blend the body turn and the push instead of reaching first and catching up afterward.”</t>
        </is>
      </c>
      <c r="M71" s="36" t="inlineStr">
        <is>
          <t>Hand/arm force cannot be measured from this video. A rotational shot put is not a bat swing, and ball spin or flight alone cannot validate a kinetic-chain sequence.</t>
        </is>
      </c>
      <c r="N71" s="53" t="n"/>
    </row>
    <row r="72" ht="117" customHeight="1" s="34">
      <c r="B72" s="52" t="n">
        <v>67</v>
      </c>
      <c r="C72" s="36" t="inlineStr">
        <is>
          <t>Medicine ball</t>
        </is>
      </c>
      <c r="D72" s="36" t="inlineStr">
        <is>
          <t>Half-Kneeling Rotational Push</t>
        </is>
      </c>
      <c r="E72" s="36" t="n"/>
      <c r="F72" s="36" t="inlineStr">
        <is>
          <t>Explore comfortable upper-body push timing with stepping removed.</t>
        </is>
      </c>
      <c r="G72" s="36" t="inlineStr">
        <is>
          <t>Very light suitable ball, firm knee pad, approved target area, supervision.</t>
        </is>
      </c>
      <c r="H72" s="36" t="inlineStr">
        <is>
          <t>• Set a comfortable half-kneeling base facing the target.
• Hold the ball near the rear-side shoulder with one hand behind and the other supporting.
• Make a small turn and push-release without forcing a large twist.
• Let the arms follow through and regain a comfortable base.
• Complete 4 total throws or substitute #66 if kneeling is awkward.</t>
        </is>
      </c>
      <c r="I72" s="36" t="inlineStr">
        <is>
          <t>Side plus front/oblique; knees/foot/pad, hips/shoulders, both hands, rear elbow, ball, head.</t>
        </is>
      </c>
      <c r="J72" s="36" t="inlineStr">
        <is>
          <t>Setup through release and recovery.</t>
        </is>
      </c>
      <c r="K72" s="36" t="inlineStr">
        <is>
          <t>Review torso side-fall, lead-foot sliding, or a late push after a balance correction. Track elbow extension as an intentional task feature, not an automatic “barring” fault. Record the actual kneeling orientation for matched comparisons.</t>
        </is>
      </c>
      <c r="L72" s="36" t="inlineStr">
        <is>
          <t>“Use a smaller turn and lighter ball so the push does not pull you off the base.”</t>
        </is>
      </c>
      <c r="M72" s="36" t="inlineStr">
        <is>
          <t>This does not isolate the arms or establish top-hand strength. Pose cannot diagnose knee/shoulder stress, and visible compensations should prompt coaching review rather than a medical label.</t>
        </is>
      </c>
      <c r="N72" s="53" t="n"/>
    </row>
    <row r="73" ht="162" customHeight="1" s="34">
      <c r="B73" s="52" t="n">
        <v>68</v>
      </c>
      <c r="C73" s="36" t="inlineStr">
        <is>
          <t>Medicine ball</t>
        </is>
      </c>
      <c r="D73" s="36" t="inlineStr">
        <is>
          <t>Controlled Overhead Floor Slam</t>
        </is>
      </c>
      <c r="E73" s="36" t="n"/>
      <c r="F73" s="36" t="inlineStr">
        <is>
          <t>Practice a controlled raise, downward release, and recovery as a general athletic task.</t>
        </is>
      </c>
      <c r="G73" s="36" t="inlineStr">
        <is>
          <t>Appropriately light low/no-bounce slam ball rated for floor impact, approved floor, clear space, supervision.</t>
        </is>
      </c>
      <c r="H73" s="36" t="inlineStr">
        <is>
          <t>• Start with a comfortable stance and the ball supported in both hands.
• Raise it only within a comfortable overhead range without forcing a back arch.
• Use a controlled downward throw to a clear floor spot in front of, not under, the feet.
• Keep clear of any rebound and wait until the ball stops before retrieval.
• Perform 4 total slams; omit this drill if overhead movement or the facility setup is unsuitable.</t>
        </is>
      </c>
      <c r="I73" s="36" t="inlineStr">
        <is>
          <t>Side plus oblique; hands/ball, shoulders/hips, head, feet, floor target.</t>
        </is>
      </c>
      <c r="J73" s="36" t="inlineStr">
        <is>
          <t>Raise → downward release → impact → recovery; ball impact is not hitter contact.</t>
        </is>
      </c>
      <c r="K73" s="36" t="inlineStr">
        <is>
          <t>Review abrupt backward lean during the raise, loss of support on release, unsafe foot proximity to the impact zone, or an uncontrolled attempt to catch a rebound. Expected downward torso motion is not a “posture collapse” by itself.</t>
        </is>
      </c>
      <c r="L73" s="36" t="inlineStr">
        <is>
          <t>“Use a comfortable raise and place the slam safely ahead of your feet, then let the ball stop.”</t>
        </is>
      </c>
      <c r="M73" s="36" t="inlineStr">
        <is>
          <t>This is a general supplemental adaptation, not a hitting-specific mechanic or proof of front-leg blocking. Do not infer spinal loading from a torso line.</t>
        </is>
      </c>
      <c r="N73" s="53" t="n"/>
    </row>
    <row r="74" ht="132" customHeight="1" s="34">
      <c r="B74" s="52" t="n">
        <v>69</v>
      </c>
      <c r="C74" s="36" t="inlineStr">
        <is>
          <t>Medicine ball</t>
        </is>
      </c>
      <c r="D74" s="36" t="inlineStr">
        <is>
          <t>Medicine-Ball Carry and Place</t>
        </is>
      </c>
      <c r="E74" s="36" t="n"/>
      <c r="F74" s="36" t="inlineStr">
        <is>
          <t>Practice approaching, decelerating, and intentionally placing an object while maintaining control.</t>
        </is>
      </c>
      <c r="G74" s="36" t="inlineStr">
        <is>
          <t>Manageable medicine ball, stable broad low platform appropriate to the athlete, non-slip lane, clear reset area.</t>
        </is>
      </c>
      <c r="H74" s="36" t="inlineStr">
        <is>
          <t>• Pick up and hold the ball comfortably near the torso.
• Walk a short marked path toward the platform; do not begin with a sprint.
• Slow down and place the ball gently without dropping, throwing, or colliding with the platform.
• Release only once the ball is supported, then step away.
• Reset for 4 total placements; reduce load or distance if control deteriorates.</t>
        </is>
      </c>
      <c r="I74" s="36" t="inlineStr">
        <is>
          <t>Full-body side/oblique; feet, pelvis/torso/head, hands/ball, platform boundary.</t>
        </is>
      </c>
      <c r="J74" s="36" t="inlineStr">
        <is>
          <t>Carry → approach/deceleration → placement → hand release → exit.</t>
        </is>
      </c>
      <c r="K74" s="36" t="inlineStr">
        <is>
          <t>Review extra recovery steps, a dropped ball, collision risk, or a rushed forward lean during placement. Confirm support before labeling a release successful; distinguish the intended placement bend from loss of posture.</t>
        </is>
      </c>
      <c r="L74" s="36" t="inlineStr">
        <is>
          <t>“Slow earlier so you can place the ball rather than dropping it to catch your balance.”</t>
        </is>
      </c>
      <c r="M74" s="36" t="inlineStr">
        <is>
          <t>This is general movement control, not a direct batting drill. No ballistic release speed, swing-power score, or front-leg force can be inferred from completion time.</t>
        </is>
      </c>
      <c r="N74" s="53" t="n"/>
    </row>
  </sheetData>
  <mergeCells count="3">
    <mergeCell ref="B3:M3"/>
    <mergeCell ref="B2:M2"/>
    <mergeCell ref="B4:D4"/>
  </mergeCells>
  <hyperlinks>
    <hyperlink ref="B4" location="'Start Here'!B2" display="START HER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tabColor rgb="FF087F8C"/>
    <outlinePr summaryBelow="1" summaryRight="1"/>
    <pageSetUpPr fitToPage="0"/>
  </sheetPr>
  <dimension ref="A1:M306"/>
  <sheetViews>
    <sheetView showFormulas="0" showGridLines="0" showRowColHeaders="1" showZeros="1" rightToLeft="0" tabSelected="0" showOutlineSymbols="1" defaultGridColor="1"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3" customWidth="1" style="33" min="1" max="1"/>
    <col width="16" customWidth="1" style="33" min="2" max="13"/>
  </cols>
  <sheetData>
    <row r="1" ht="9.75" customHeight="1" s="34"/>
    <row r="2" ht="39.75" customHeight="1" s="34">
      <c r="B2" s="35" t="inlineStr">
        <is>
          <t>PAIRED HITTING PRACTICE PROGRESSION</t>
        </is>
      </c>
    </row>
    <row r="3" ht="27.75" customHeight="1" s="34">
      <c r="B3" s="36" t="inlineStr">
        <is>
          <t>Complete six-stage plan, P/B/M focus options, session order, progression rules, alternatives and step-by-step instructions.</t>
        </is>
      </c>
    </row>
    <row r="4" ht="27" customHeight="1" s="34">
      <c r="B4" s="37" t="inlineStr">
        <is>
          <t>START HERE</t>
        </is>
      </c>
    </row>
    <row r="5"/>
    <row r="6" ht="9.75" customHeight="1" s="34"/>
    <row r="7" ht="31.5" customHeight="1" s="34">
      <c r="B7" s="54" t="inlineStr">
        <is>
          <t>Rear Leg → Front Leg → Upper Body → Normal Swing</t>
        </is>
      </c>
    </row>
    <row r="8" ht="9.75" customHeight="1" s="34"/>
    <row r="9" ht="57.75" customHeight="1" s="34">
      <c r="B9" s="36" t="inlineStr">
        <is>
          <t>This six-stage progression pairs drills from the 69-entry hitting drill library. Each session develops a manageable loading task, a landing/support task, and an arm/barrel task, then checks whether the hitter can use the work in an unrestricted swing. Drill numbers and names match the Drill Library; optional posture, balance/head-control, and medicine-ball modules extend the plan as alternatives, not mandatory stacked additions.</t>
        </is>
      </c>
    </row>
    <row r="10" ht="9.75" customHeight="1" s="34"/>
    <row r="11" ht="42.75" customHeight="1" s="34">
      <c r="B11" s="36" t="inlineStr">
        <is>
          <t>The schedule, pairings, rep counts, and advancement rules below are original coaching proposals, not validated biomechanical prescriptions. The hitter's age, training history, injury history, and current workload have not been specified; a coach should scale the plan before use rather than treating it as a universal youth or adult program.</t>
        </is>
      </c>
    </row>
    <row r="12" ht="9.75" customHeight="1" s="34"/>
    <row r="13" ht="31.5" customHeight="1" s="34">
      <c r="B13" s="54" t="inlineStr">
        <is>
          <t>How to Use the Progression</t>
        </is>
      </c>
    </row>
    <row r="14" ht="9.75" customHeight="1" s="34"/>
    <row r="15" ht="42.75" customHeight="1" s="34">
      <c r="B15" s="36" t="inlineStr">
        <is>
          <t>• Suggested cadence: Use two skill sessions per week when compatible with the hitter's team practices, games, recovery, and other training. Six successful stages could occupy about three weeks, but repeating a stage is preferable to advancing on the calendar.</t>
        </is>
      </c>
    </row>
    <row r="16" ht="27.75" customHeight="1" s="34">
      <c r="B16" s="36" t="inlineStr">
        <is>
          <t>• Starting point: Begin at Stage 1 unless a coach has already observed consistent control of the earlier tasks. Do not jump straight to momentum drills because a hitter can make hard contact.</t>
        </is>
      </c>
    </row>
    <row r="17" ht="27.75" customHeight="1" s="34">
      <c r="B17" s="36" t="inlineStr">
        <is>
          <t>• Session length: Allow approximately 30–40 minutes, including preparation, equipment changes, rest, and video review. Treat this as a planning allowance rather than a performance target.</t>
        </is>
      </c>
    </row>
    <row r="18" ht="42.75" customHeight="1" s="34">
      <c r="B18" s="36" t="inlineStr">
        <is>
          <t>• Training dose: The standard template contains 36 task repetitions: six baseline normal swings, twelve drill repetitions, twelve normal transfer swings, and six exit swings. Dry movements count as drill repetitions; warm-up movements and any later challenge swings are additional and must be logged separately.</t>
        </is>
      </c>
    </row>
    <row r="19" ht="42.75" customHeight="1" s="34">
      <c r="B19" s="36" t="inlineStr">
        <is>
          <t>• One cue at a time: Each block has its own cue. During normal swings, use just the session's simple integration cue rather than asking the hitter to consciously control the rear knee, front knee, elbow, and wrists simultaneously.</t>
        </is>
      </c>
    </row>
    <row r="20" ht="42.75" customHeight="1" s="34">
      <c r="B20" s="36" t="inlineStr">
        <is>
          <t>• Separate drills, not a combined trick swing: Do not combine a step-back start, forced front-leg finish, and one-hand release in the same rep. Complete each constraint on its own, then remove it for the normal transfer swings.</t>
        </is>
      </c>
    </row>
    <row r="21" ht="42.75" customHeight="1" s="34">
      <c r="B21" s="36" t="inlineStr">
        <is>
          <t>• Transfer is the goal: Better execution of a drill does not automatically mean a better normal swing. Judge the baseline and exit swings under matched tee/toss conditions and review mechanical evidence separately from contact outcomes.</t>
        </is>
      </c>
    </row>
    <row r="22" ht="42.75" customHeight="1" s="34">
      <c r="B22" s="36" t="inlineStr">
        <is>
          <t>• Focus options: Retain the original 36-task-rep session, or select ONE posture (P), balance/head-control (B), OR medicine-ball (M) block. Each adds four drill task reps and four normal transfer swings for 44 total task reps; it is optional, not a new minimum workload. For medicine balls, four reps means four throws total, not four per side.</t>
        </is>
      </c>
    </row>
    <row r="23" ht="9.75" customHeight="1" s="34"/>
    <row r="24" ht="30" customHeight="1" s="34">
      <c r="B24" s="55" t="inlineStr">
        <is>
          <t>Equipment and recording</t>
        </is>
      </c>
    </row>
    <row r="25" ht="9.75" customHeight="1" s="34"/>
    <row r="26" ht="27.75" customHeight="1" s="34">
      <c r="B26" s="36" t="inlineStr">
        <is>
          <t>• Core kit: Adjustable tee, manageable regular bat, short/light one-hand bat or safely choked-up light bat, soft practice balls, net, flat floor tape, and a non-slip hitting area.</t>
        </is>
      </c>
    </row>
    <row r="27" ht="27.75" customHeight="1" s="34">
      <c r="B27" s="36" t="inlineStr">
        <is>
          <t>• Video: Fixed camera showing the full body, both feet, and bat arc. Add a synchronized protected front/oblique view when possible; keep cameras and people outside the swing and ball paths.</t>
        </is>
      </c>
    </row>
    <row r="28" ht="27.75" customHeight="1" s="34">
      <c r="B28" s="36" t="inlineStr">
        <is>
          <t>• Moving-ball work: Use a competent tosser and appropriate protection, with consistent, gentle delivery. If tosses or tracking are unreliable, retain the tee version instead of increasing difficulty.</t>
        </is>
      </c>
    </row>
    <row r="29" ht="42.75" customHeight="1" s="34">
      <c r="B29" s="36" t="inlineStr">
        <is>
          <t>• Excluded from the standard progression: Raised platforms, rigid elbow/foot barriers, medicine-ball throws, and the advanced kneeling-rise drill remain unnecessary for the base plan. The separate M option below permits supervised medicine-ball work only with a suitable ball, approved target, clear lane, and controlled technique.</t>
        </is>
      </c>
    </row>
    <row r="30" ht="42.75" customHeight="1" s="34">
      <c r="B30" s="36" t="inlineStr">
        <is>
          <t>• Safety: Begin at easy, controlled effort; never force a locked knee, heel-down position, inward knee drive, or abrupt full-speed bat stop. Stop for pain, slipping, or repeated loss of control, and do not resume progression by simply adding more reps.</t>
        </is>
      </c>
    </row>
    <row r="31" ht="9.75" customHeight="1" s="34"/>
    <row r="32" ht="31.5" customHeight="1" s="34">
      <c r="B32" s="54" t="inlineStr">
        <is>
          <t>Standard Session Structure</t>
        </is>
      </c>
    </row>
    <row r="33" ht="9.75" customHeight="1" s="34"/>
    <row r="34" ht="27.75" customHeight="1" s="34">
      <c r="B34" s="36" t="inlineStr">
        <is>
          <t>Use this sequence for every stage. Four-rep drill blocks are intentionally short proposed doses; shorten them further or split the session if the hitter cannot maintain comfortable control.</t>
        </is>
      </c>
    </row>
    <row r="35" ht="9.75" customHeight="1" s="34"/>
    <row r="36" ht="27.75" customHeight="1" s="34">
      <c r="B36" s="43" t="inlineStr">
        <is>
          <t>Block</t>
        </is>
      </c>
      <c r="D36" s="43" t="inlineStr">
        <is>
          <t>Order and dose</t>
        </is>
      </c>
      <c r="F36" s="43" t="inlineStr">
        <is>
          <t>Coaching task</t>
        </is>
      </c>
      <c r="I36" s="43" t="inlineStr">
        <is>
          <t>What to record</t>
        </is>
      </c>
    </row>
    <row r="37" ht="57.75" customHeight="1" s="34">
      <c r="B37" s="41" t="inlineStr">
        <is>
          <t>Preparation</t>
        </is>
      </c>
      <c r="D37" s="41" t="inlineStr">
        <is>
          <t>Comfortable movement warm-up and a few easy dry swings; adjust to the hitter</t>
        </is>
      </c>
      <c r="F37" s="41" t="inlineStr">
        <is>
          <t>Confirm space, surface, bat control, and pain-free movement. Explain one session goal.</t>
        </is>
      </c>
      <c r="I37" s="41" t="inlineStr">
        <is>
          <t>Readiness, equipment, any restrictions, and all extra warm-up swings</t>
        </is>
      </c>
    </row>
    <row r="38" ht="57.75" customHeight="1" s="34">
      <c r="B38" s="46" t="inlineStr">
        <is>
          <t>Baseline</t>
        </is>
      </c>
      <c r="D38" s="46" t="inlineStr">
        <is>
          <t>6 normal two-hand swings</t>
        </is>
      </c>
      <c r="F38" s="46" t="inlineStr">
        <is>
          <t>Use the stage's standard tee/toss setting with no special mechanical cue. These establish the comparison condition.</t>
        </is>
      </c>
      <c r="I38" s="46" t="inlineStr">
        <is>
          <t>Target-pattern observations, contact outcome, tracking visibility, pitch/tee location</t>
        </is>
      </c>
    </row>
    <row r="39" ht="42.75" customHeight="1" s="34">
      <c r="B39" s="41" t="inlineStr">
        <is>
          <t>Rear-leg block</t>
        </is>
      </c>
      <c r="D39" s="41" t="inlineStr">
        <is>
          <t>4 rear-leg drill reps → 4 normal swings</t>
        </is>
      </c>
      <c r="F39" s="41" t="inlineStr">
        <is>
          <t>Rehearse the gather or movement transition, then remove the drill constraint.</t>
        </is>
      </c>
      <c r="I39" s="41" t="inlineStr">
        <is>
          <t>Drill compliance separately from normal-swing transfer</t>
        </is>
      </c>
    </row>
    <row r="40" ht="42.75" customHeight="1" s="34">
      <c r="B40" s="46" t="inlineStr">
        <is>
          <t>Front-leg block</t>
        </is>
      </c>
      <c r="D40" s="46" t="inlineStr">
        <is>
          <t>4 front-leg drill reps → 4 normal swings</t>
        </is>
      </c>
      <c r="F40" s="46" t="inlineStr">
        <is>
          <t>Rehearse receiving the stride or supporting the turn, then restore the normal swing.</t>
        </is>
      </c>
      <c r="I40" s="46" t="inlineStr">
        <is>
          <t>Landing/support control, plus the session's target pattern</t>
        </is>
      </c>
    </row>
    <row r="41" ht="42.75" customHeight="1" s="34">
      <c r="B41" s="41" t="inlineStr">
        <is>
          <t>Upper-body block</t>
        </is>
      </c>
      <c r="D41" s="41" t="inlineStr">
        <is>
          <t>4 upper-body drill reps → 4 normal swings</t>
        </is>
      </c>
      <c r="F41" s="41" t="inlineStr">
        <is>
          <t>Rehearse arm/barrel delivery at manageable effort, then use a regular grip and finish.</t>
        </is>
      </c>
      <c r="I41" s="41" t="inlineStr">
        <is>
          <t>Hand/arm evidence when visible; barrel delivery and control</t>
        </is>
      </c>
    </row>
    <row r="42" ht="57.75" customHeight="1" s="34">
      <c r="B42" s="46" t="inlineStr">
        <is>
          <t>Exit check</t>
        </is>
      </c>
      <c r="D42" s="46" t="inlineStr">
        <is>
          <t>6 normal two-hand swings</t>
        </is>
      </c>
      <c r="F42" s="46" t="inlineStr">
        <is>
          <t>Match the baseline setup, bat, pitch/tee location, and effort. Remove the technique cue for this check.</t>
        </is>
      </c>
      <c r="I42" s="46" t="inlineStr">
        <is>
          <t>Controlled-rep count, target-pattern recurrence, contact outcome, assessability</t>
        </is>
      </c>
    </row>
    <row r="43" ht="42.75" customHeight="1" s="34">
      <c r="B43" s="41" t="inlineStr">
        <is>
          <t>Review</t>
        </is>
      </c>
      <c r="D43" s="41" t="inlineStr">
        <is>
          <t>Brief comparison of baseline and exit clips</t>
        </is>
      </c>
      <c r="F43" s="41" t="inlineStr">
        <is>
          <t>Select one observation and decide: advance provisionally, repeat, simplify, or fix capture.</t>
        </is>
      </c>
      <c r="I43" s="41" t="inlineStr">
        <is>
          <t>Decision and one next-session cue</t>
        </is>
      </c>
    </row>
    <row r="44" ht="13.5" customHeight="1" s="34"/>
    <row r="45" ht="9.75" customHeight="1" s="34"/>
    <row r="46" ht="27.75" customHeight="1" s="34">
      <c r="B46" s="36" t="inlineStr">
        <is>
          <t>For no-ball drill blocks, there is no contact frame to score. For #21 One-and-One Front-Leg Swings, two swing pairs equal four drill swings; count both swings in each pair.</t>
        </is>
      </c>
    </row>
    <row r="47" ht="9.75" customHeight="1" s="34"/>
    <row r="48" ht="31.5" customHeight="1" s="34">
      <c r="B48" s="54" t="inlineStr">
        <is>
          <t>The Six Paired Stages</t>
        </is>
      </c>
    </row>
    <row r="49" ht="9.75" customHeight="1" s="34"/>
    <row r="50" ht="30" customHeight="1" s="34">
      <c r="B50" s="55" t="inlineStr">
        <is>
          <t>Stage 1: Gather, Land, Deliver</t>
        </is>
      </c>
    </row>
    <row r="51" ht="9.75" customHeight="1" s="34"/>
    <row r="52" ht="27.75" customHeight="1" s="34">
      <c r="B52" s="36" t="inlineStr">
        <is>
          <t>Objective: Establish a comfortable rear-side gather, a controlled landing, and manageable top-hand barrel control. Integration cue: “Gather, land, then turn smoothly.”</t>
        </is>
      </c>
    </row>
    <row r="53" ht="9.75" customHeight="1" s="34"/>
    <row r="54" ht="27.75" customHeight="1" s="34">
      <c r="B54" s="36" t="inlineStr">
        <is>
          <t>Equipment: Core kit, light one-hand bat, and middle-height tee. Use normal two-hand middle-tee swings for all baseline, transfer, and exit sets.</t>
        </is>
      </c>
    </row>
    <row r="55" ht="9.75" customHeight="1" s="34"/>
    <row r="56" ht="27.75" customHeight="1" s="34">
      <c r="B56" s="43" t="inlineStr">
        <is>
          <t>Order</t>
        </is>
      </c>
      <c r="D56" s="43" t="inlineStr">
        <is>
          <t>Drill and dose</t>
        </is>
      </c>
      <c r="F56" s="43" t="inlineStr">
        <is>
          <t>Step-by-step execution</t>
        </is>
      </c>
      <c r="I56" s="43" t="inlineStr">
        <is>
          <t>Detailed AI / coach analysis</t>
        </is>
      </c>
    </row>
    <row r="57" ht="117" customHeight="1" s="34">
      <c r="B57" s="41" t="inlineStr">
        <is>
          <t>Rear leg</t>
        </is>
      </c>
      <c r="D57" s="41" t="inlineStr">
        <is>
          <t>#22 Rear-Hip Hinge Pause: 4 no-bat rehearsals, then 4 normal swings</t>
        </is>
      </c>
      <c r="F57" s="41" t="inlineStr">
        <is>
          <t>• Begin in the normal stance.
• Make a small comfortable rear-hip hinge/load.
• Hold briefly without sinking farther or shuffling the feet.
• Reset fully, then move to the normal-swing set.</t>
        </is>
      </c>
      <c r="I57" s="41" t="inlineStr">
        <is>
          <t>View/landmarks: Side plus oblique; rear hip/knee/ankle, feet, pelvis, shoulders, head.
Phase: Load through hold; compare the load in normal swings separately.
Analysis: Review continued knee folding plus pelvis descent and a corrective foot/body movement. Some flexion and catcherward movement alone are not failures.
Feedback example: “Make the load smaller so you can hold it without another adjustment.”
Limit: Pose cannot measure rear-foot pressure or glute activation.</t>
        </is>
      </c>
    </row>
    <row r="58" ht="117" customHeight="1" s="34">
      <c r="B58" s="46" t="inlineStr">
        <is>
          <t>Front leg</t>
        </is>
      </c>
      <c r="D58" s="46" t="inlineStr">
        <is>
          <t>#13 Stride-to-Landing Hold: 4 stride-and-hold rehearsals, then 4 normal swings</t>
        </is>
      </c>
      <c r="F58" s="46" t="inlineStr">
        <is>
          <t>• Start normally.
• Stride without swinging.
• Receive the landing comfortably and hold for about two seconds.
• Reset; do not force a straight knee or a fixed toe angle.</t>
        </is>
      </c>
      <c r="I58" s="46" t="inlineStr">
        <is>
          <t>View/landmarks: Side plus protected front; lead hip/knee/ankle, heel/toe, pelvis.
Phase: Stride → landing → hold.
Analysis: Review foot sliding or continued knee/pelvis movement that requires recovery. In normal swings, assess the landing during rotation, not whether the hitter reproduces the artificial hold.
Feedback example: “Land in a position you can control before adding the swing.”
Limit: A successful hold does not establish front-leg force or full-swing bracing.</t>
        </is>
      </c>
    </row>
    <row r="59" ht="132" customHeight="1" s="34">
      <c r="B59" s="41" t="inlineStr">
        <is>
          <t>Upper body</t>
        </is>
      </c>
      <c r="D59" s="41" t="inlineStr">
        <is>
          <t>#1 One-Hand Top-Hand Tee: 4 gentle top-hand-only tee swings, then 4 normal swings</t>
        </is>
      </c>
      <c r="F59" s="41" t="inlineStr">
        <is>
          <t>• Use a manageable light bat with the top hand only.
• Keep the free hand on the chest.
• Turn smoothly and meet the ball without shoving the arm straight.
• Restore the normal two-hand grip for transfer.</t>
        </is>
      </c>
      <c r="I59" s="41" t="inlineStr">
        <is>
          <t>View/landmarks: Side plus oblique; rear shoulder/elbow/wrist, grip, torso, bat, ball.
Phase: Initiation through contact.
Analysis: Review outward hand travel with a widening approach, or persistent elbow advancement with delayed barrel delivery, relative to controlled one-hand reps. Assess transfer using two-hand references.
Feedback example: “Use less effort and deliver the barrel with the turn.”
Limit: One-hand mechanics are not the required two-hand pattern; hidden hands cannot support a rollover label.</t>
        </is>
      </c>
    </row>
    <row r="60" ht="13.5" customHeight="1" s="34"/>
    <row r="61" ht="9.75" customHeight="1" s="34"/>
    <row r="62" ht="42.75" customHeight="1" s="34">
      <c r="B62" s="36" t="inlineStr">
        <is>
          <t>Exit focus: Compare normal-swing load, landing stability, and delivery control with baseline. Provisionally advance when the shared gate below is met; if the load or landing needs recovery, retain this stage and shorten the movement rather than adding a harder drill.</t>
        </is>
      </c>
    </row>
    <row r="63" ht="9.75" customHeight="1" s="34"/>
    <row r="64" ht="27.75" customHeight="1" s="34">
      <c r="B64" s="36" t="n"/>
    </row>
    <row r="65" ht="9.75" customHeight="1" s="34"/>
    <row r="66" ht="30" customHeight="1" s="34">
      <c r="B66" s="55" t="inlineStr">
        <is>
          <t>Stage 2: Coil, Receive, Organize the Arm</t>
        </is>
      </c>
    </row>
    <row r="67" ht="9.75" customHeight="1" s="34"/>
    <row r="68" ht="27.75" customHeight="1" s="34">
      <c r="B68" s="36" t="inlineStr">
        <is>
          <t>Objective: Connect a small loading turn to a controlled start of rotation and comfortable rear-arm organization. Integration cue: “Turn smoothly from your landing.”</t>
        </is>
      </c>
    </row>
    <row r="69" ht="9.75" customHeight="1" s="34"/>
    <row r="70" ht="27.75" customHeight="1" s="34">
      <c r="B70" s="36" t="inlineStr">
        <is>
          <t>Equipment: Core kit and middle-height tee. Keep baseline, all normal transfer swings, and exit swings at the same tee setting.</t>
        </is>
      </c>
    </row>
    <row r="71" ht="9.75" customHeight="1" s="34"/>
    <row r="72" ht="27.75" customHeight="1" s="34">
      <c r="B72" s="43" t="inlineStr">
        <is>
          <t>Order</t>
        </is>
      </c>
      <c r="D72" s="43" t="inlineStr">
        <is>
          <t>Drill and dose</t>
        </is>
      </c>
      <c r="F72" s="43" t="inlineStr">
        <is>
          <t>Step-by-step execution</t>
        </is>
      </c>
      <c r="I72" s="43" t="inlineStr">
        <is>
          <t>Detailed AI / coach analysis</t>
        </is>
      </c>
    </row>
    <row r="73" ht="117" customHeight="1" s="34">
      <c r="B73" s="41" t="inlineStr">
        <is>
          <t>Rear leg</t>
        </is>
      </c>
      <c r="D73" s="41" t="inlineStr">
        <is>
          <t>#23 Coil-and-Freeze Stride: 4 slow coil-and-stride rehearsals, then 4 normal swings</t>
        </is>
      </c>
      <c r="F73" s="41" t="inlineStr">
        <is>
          <t>• Make a small comfortable turn into the rear side.
• Pause briefly without forcing the knee.
• Move into a controlled stride.
• Reset rather than trying for a larger twist each rep.</t>
        </is>
      </c>
      <c r="I73" s="41" t="inlineStr">
        <is>
          <t>View/landmarks: Side and oblique; hips, shoulders, rear leg, feet.
Phase: Coil → short hold → stride.
Analysis: Review enlarged turning or catcherward travel only when accompanied by foot displacement, loss of control, or an abrupt corrective move.
Feedback example: “Keep the coil small enough to leave it smoothly.”
Limit: Projected pelvis/torso orientation is not anatomical hip rotation or a measure of stored energy.</t>
        </is>
      </c>
    </row>
    <row r="74" ht="132" customHeight="1" s="34">
      <c r="B74" s="46" t="inlineStr">
        <is>
          <t>Front leg</t>
        </is>
      </c>
      <c r="D74" s="46" t="inlineStr">
        <is>
          <t>#14 Paused-Landing Tee Swings: 4 paused tee swings, then 4 normal swings</t>
        </is>
      </c>
      <c r="F74" s="46" t="inlineStr">
        <is>
          <t>• Stride and land.
• Pause for one to two seconds.
• Swing without another step or forward surge.
• Remove the pause for transfer swings.</t>
        </is>
      </c>
      <c r="I74" s="46" t="inlineStr">
        <is>
          <t>View/landmarks: Side; lead leg, pelvis, head, torso, bat/ball.
Phase: Landing → pause → restart → contact.
Analysis: Review renewed knee folding and pelvis travel together after restart. Compare paused reps with paused references; evaluate the normal set independently.
Feedback example: “Turn from the position you already established.”
Limit: A stable bent front knee is not automatically a missing block, and pause timing is not a live-swing template.</t>
        </is>
      </c>
    </row>
    <row r="75" ht="117" customHeight="1" s="34">
      <c r="B75" s="41" t="inlineStr">
        <is>
          <t>Upper body</t>
        </is>
      </c>
      <c r="D75" s="41" t="inlineStr">
        <is>
          <t>#3 Back-Elbow Slot Pause: 2 slow dry pause rehearsals plus 2 continuous tee swings, then 4 normal swings</t>
        </is>
      </c>
      <c r="F75" s="41" t="inlineStr">
        <is>
          <t>• Turn slowly to a coach-selected early delivery position and pause.
• Keep the elbow and wrist comfortable; do not pin the elbow into the hip.
• Reset completely.
• Take the two continuous swings, then normal transfer swings.</t>
        </is>
      </c>
      <c r="I75" s="41" t="inlineStr">
        <is>
          <t>View/landmarks: Side plus oblique; rear shoulder/elbow/wrist, grip, torso, bat/ball.
Phase: Load through early delivery; review contact only in ball reps.
Analysis: Review elbow/hand descent when it accompanies an unwanted barrel-path change and a late correction. Normal elbow lowering is not a fault.
Feedback example: “Rehearse the turn without forcing the elbow down.”
Limit: A held slot pose cannot establish dynamic swing quality; hidden or foreshortened arms reduce confidence.</t>
        </is>
      </c>
    </row>
    <row r="76" ht="13.5" customHeight="1" s="34"/>
    <row r="77" ht="9.75" customHeight="1" s="34"/>
    <row r="78" ht="42.75" customHeight="1" s="34">
      <c r="B78" s="36" t="inlineStr">
        <is>
          <t>Exit focus: Look for a normal swing without a second forward surge or an abrupt arm/barrel correction. If the pause drill creates a stiff, segmented normal swing, simplify to Stage 1 or use fewer pause rehearsals rather than asking the hitter to preserve the pause.</t>
        </is>
      </c>
    </row>
    <row r="79" ht="9.75" customHeight="1" s="34"/>
    <row r="80" ht="27.75" customHeight="1" s="34">
      <c r="B80" s="36" t="n"/>
    </row>
    <row r="81" ht="9.75" customHeight="1" s="34"/>
    <row r="82" ht="30" customHeight="1" s="34">
      <c r="B82" s="55" t="inlineStr">
        <is>
          <t>Stage 3: Stable Feet, Coordinated Turn, Controlled Reach</t>
        </is>
      </c>
    </row>
    <row r="83" ht="9.75" customHeight="1" s="34"/>
    <row r="84" ht="42.75" customHeight="1" s="34">
      <c r="B84" s="36" t="inlineStr">
        <is>
          <t>Objective: Coordinate the lower-body turn and hand path without deliberately spinning the rear shoe, immobilizing the front foot, or reaching early. Integration cue: “Turn through a comfortable, supported stance.”</t>
        </is>
      </c>
    </row>
    <row r="85" ht="9.75" customHeight="1" s="34"/>
    <row r="86" ht="27.75" customHeight="1" s="34">
      <c r="B86" s="36" t="inlineStr">
        <is>
          <t>Equipment: Core kit, floor tape, and a light bat with enough safe grip area for a small split grip. Use the same middle-tee location throughout.</t>
        </is>
      </c>
    </row>
    <row r="87" ht="9.75" customHeight="1" s="34"/>
    <row r="88" ht="27.75" customHeight="1" s="34">
      <c r="B88" s="43" t="inlineStr">
        <is>
          <t>Order</t>
        </is>
      </c>
      <c r="D88" s="43" t="inlineStr">
        <is>
          <t>Drill and dose</t>
        </is>
      </c>
      <c r="F88" s="43" t="inlineStr">
        <is>
          <t>Step-by-step execution</t>
        </is>
      </c>
      <c r="I88" s="43" t="inlineStr">
        <is>
          <t>Detailed AI / coach analysis</t>
        </is>
      </c>
    </row>
    <row r="89" ht="117" customHeight="1" s="34">
      <c r="B89" s="41" t="inlineStr">
        <is>
          <t>Rear leg</t>
        </is>
      </c>
      <c r="D89" s="41" t="inlineStr">
        <is>
          <t>#29 No-Bat Lower-Half Turns: 4 no-bat turns, then 4 normal swings</t>
        </is>
      </c>
      <c r="F89" s="41" t="inlineStr">
        <is>
          <t>• Fold the arms loosely across the chest.
• Load and make a small stride.
• Turn comfortably, allowing the rear hip, knee, and foot to move naturally.
• Avoid manually twisting the shoe or squeezing the knees together.</t>
        </is>
      </c>
      <c r="I89" s="41" t="inlineStr">
        <is>
          <t>View/landmarks: Side plus oblique; hips, shoulders, rear knee/foot, lead foot.
Phase: Landing through turn and finish.
Analysis: Review isolated shoe turning only when it occurs with sliding, wobble, or a correction rather than a coordinated turn.
Feedback example: “Turn your body smoothly instead of trying to twist the foot.”
Limit: No universal hips–knee–foot onset order is imposed; the dry drill cannot establish impact timing.</t>
        </is>
      </c>
    </row>
    <row r="90" ht="147" customHeight="1" s="34">
      <c r="B90" s="46" t="inlineStr">
        <is>
          <t>Front leg</t>
        </is>
      </c>
      <c r="D90" s="46" t="inlineStr">
        <is>
          <t>#18 Landing-Foot Tape Line: 4 controlled tee swings with a taped landing area, then 4 normal swings</t>
        </is>
      </c>
      <c r="F90" s="46" t="inlineStr">
        <is>
          <t>• Mark the comfortable lead-foot landing area.
• Stride and swing with a supported foot.
• Allow natural pivoting rather than gluing the heel down.
• Remove the tape cue mentally for the normal set.</t>
        </is>
      </c>
      <c r="I90" s="46" t="inlineStr">
        <is>
          <t>View/landmarks: Oblique plus side; lead heel/toe/ankle, knee, pelvis, tape.
Phase: Landing through contact.
Analysis: Separate heel translation from foot rotation. Review abrupt sliding or lost support with body-control changes; landing outside the mark is only a compliance observation.
Feedback example: “Keep the landing controlled without forcing the foot to stay fixed.”
Limit: Exact foot angles require suitable calibration; natural opening is not automatically early opening.</t>
        </is>
      </c>
    </row>
    <row r="91" ht="132" customHeight="1" s="34">
      <c r="B91" s="41" t="inlineStr">
        <is>
          <t>Upper body</t>
        </is>
      </c>
      <c r="D91" s="41" t="inlineStr">
        <is>
          <t>#5 Split-Grip Contact Tee: 4 easy split-grip tee swings, then 4 normal swings</t>
        </is>
      </c>
      <c r="F91" s="41" t="inlineStr">
        <is>
          <t>• Separate the hands a small comfortable amount, keeping both securely on the handle.
• Swing at easy effort with comfortable elbows.
• Do not force a push-pull action or fixed contact angle.
• Return to the regular grip for transfer.</t>
        </is>
      </c>
      <c r="I91" s="41" t="inlineStr">
        <is>
          <t>View/landmarks: Side plus oblique; both arms/hands, torso, grip, bat/ball.
Phase: Initiation through contact.
Analysis: Review rear-arm straightening before barrel arrival only when accompanied by outward hand travel and a wider delivery. Normal-grip transfer must be judged against normal-grip references.
Feedback example: “Let the delivery develop without reaching early.”
Limit: Split grip changes leverage. Crossed wrists in projection and one straight-arm frame are not diagnoses.</t>
        </is>
      </c>
    </row>
    <row r="92" ht="13.5" customHeight="1" s="34"/>
    <row r="93" ht="9.75" customHeight="1" s="34"/>
    <row r="94" ht="27.75" customHeight="1" s="34">
      <c r="B94" s="36" t="inlineStr">
        <is>
          <t>Exit focus: Review foot support together with a controlled normal hand/barrel approach. If the hitter becomes cramped or holds either foot rigid, remove the constraint and repeat at easy effort.</t>
        </is>
      </c>
    </row>
    <row r="95" ht="9.75" customHeight="1" s="34"/>
    <row r="96" ht="27.75" customHeight="1" s="34">
      <c r="B96" s="36" t="n"/>
    </row>
    <row r="97" ht="9.75" customHeight="1" s="34"/>
    <row r="98" ht="30" customHeight="1" s="34">
      <c r="B98" s="55" t="inlineStr">
        <is>
          <t>Stage 4: Add Movement Without Losing the Delivery</t>
        </is>
      </c>
    </row>
    <row r="99" ht="9.75" customHeight="1" s="34"/>
    <row r="100" ht="27.75" customHeight="1" s="34">
      <c r="B100" s="36" t="inlineStr">
        <is>
          <t>Objective: Introduce a small rearward step while preserving landing control and a natural post-contact finish. Integration cue: “Move smoothly into a balanced swing.”</t>
        </is>
      </c>
    </row>
    <row r="101" ht="9.75" customHeight="1" s="34"/>
    <row r="102" ht="27.75" customHeight="1" s="34">
      <c r="B102" s="36" t="inlineStr">
        <is>
          <t>Equipment: Core kit, room behind the stance, and middle-height tee. The rear step and top-hand release belong only to their respective drill sets, not to the normal-swing sets.</t>
        </is>
      </c>
    </row>
    <row r="103" ht="9.75" customHeight="1" s="34"/>
    <row r="104" ht="27.75" customHeight="1" s="34">
      <c r="B104" s="43" t="inlineStr">
        <is>
          <t>Order</t>
        </is>
      </c>
      <c r="D104" s="43" t="inlineStr">
        <is>
          <t>Drill and dose</t>
        </is>
      </c>
      <c r="F104" s="43" t="inlineStr">
        <is>
          <t>Step-by-step execution</t>
        </is>
      </c>
      <c r="I104" s="43" t="inlineStr">
        <is>
          <t>Detailed AI / coach analysis</t>
        </is>
      </c>
    </row>
    <row r="105" ht="132" customHeight="1" s="34">
      <c r="B105" s="41" t="inlineStr">
        <is>
          <t>Rear leg</t>
        </is>
      </c>
      <c r="D105" s="41" t="inlineStr">
        <is>
          <t>#24 Step-Back Tee Swings: 4 controlled step-back tee swings, then 4 normal swings</t>
        </is>
      </c>
      <c r="F105" s="41" t="inlineStr">
        <is>
          <t>• Start slightly forward of the usual stance.
• Take a small rear-foot step toward the catcher.
• Blend the gather into the lead-foot stride and swing.
• Avoid a backward hop or a large lunge to reach the ball.</t>
        </is>
      </c>
      <c r="I105" s="41" t="inlineStr">
        <is>
          <t>View/landmarks: Wide side plus oblique; both feet, rear knee/hip, pelvis, head, bat/ball.
Phase: Rear step through contact.
Analysis: Review oversized stepping or hopping with rushed recovery, or early rear-leg straightening with a body rise and disrupted landing/delivery.
Feedback example: “Make the backward step smaller so the stride stays smooth.”
Limit: Rearward movement is intentional; heel lift is not proof of early unloading or poor weight transfer.</t>
        </is>
      </c>
    </row>
    <row r="106" ht="147" customHeight="1" s="34">
      <c r="B106" s="46" t="inlineStr">
        <is>
          <t>Front leg</t>
        </is>
      </c>
      <c r="D106" s="46" t="inlineStr">
        <is>
          <t>#21 One-and-One Front-Leg Swings: 2 pairs, totaling 4 tee swings, then 4 normal swings</t>
        </is>
      </c>
      <c r="F106" s="46" t="inlineStr">
        <is>
          <t>• Take the first normal swing and stop safely.
• Reset the ball only while the bat is still.
• Keep a comfortable foot position, reset the hands, and soften the lead knee.
• Make the second swing without another stride; repeat the pair once.</t>
        </is>
      </c>
      <c r="I106" s="46" t="inlineStr">
        <is>
          <t>View/landmarks: Side plus front; lead leg, both feet, pelvis, torso, bat/ball.
Phase: First swing → reset → second swing/contact.
Analysis: Review renewed knee folding with forward travel in the no-stride rep, or abrupt extension with a body rise and loss of control. Do not compare the two swings' stride timing as though it should match.
Feedback example: “Start the second swing from a stable setup rather than shifting again.”
Limit: A naturally bent but stable front knee is not a failed rep; video does not measure joint loading.</t>
        </is>
      </c>
    </row>
    <row r="107" ht="162" customHeight="1" s="34">
      <c r="B107" s="41" t="inlineStr">
        <is>
          <t>Upper body</t>
        </is>
      </c>
      <c r="D107" s="41" t="inlineStr">
        <is>
          <t>#6 Top-Hand Release Tee: 4 gentle release-drill tee swings, then 4 normal swings</t>
        </is>
      </c>
      <c r="F107" s="41" t="inlineStr">
        <is>
          <t>• Keep both hands through the intended contact point.
• Allow the top hand to release during follow-through while retaining bottom-hand control.
• Do not force an immediate release or an unusually high finish.
• Use the hitter's normal finish during transfer.</t>
        </is>
      </c>
      <c r="I107" s="41" t="inlineStr">
        <is>
          <t>View/landmarks: Side plus protected hand-detail view; grip region, fingers, wrists, bat/ball.
Phase: Pre-contact through release and finish.
Analysis: Confirm visible hand separation relative to the contact interval. Flag pre-contact release for this drill only when timing is clear; record an uncontrolled bat path or recovery separately.
Feedback example: “Keep the delivery two-handed through contact and let the release happen later.”
Limit: A one-hand finish is not required in normal swings. If hand detail is missing, report release timing uncertain rather than fail.</t>
        </is>
      </c>
    </row>
    <row r="108" ht="13.5" customHeight="1" s="34"/>
    <row r="109" ht="9.75" customHeight="1" s="34"/>
    <row r="110" ht="42.75" customHeight="1" s="34">
      <c r="B110" s="36" t="inlineStr">
        <is>
          <t>Exit focus: Normal swings should retain control without needing the exaggerated step-back or a forced release. If either constraint disrupts control, repeat Stage 3; replace the release block with #1 One-Hand Top-Hand Tee at gentle effort if safe release cannot be maintained.</t>
        </is>
      </c>
    </row>
    <row r="111" ht="9.75" customHeight="1" s="34"/>
    <row r="112" ht="27.75" customHeight="1" s="34">
      <c r="B112" s="36" t="n"/>
    </row>
    <row r="113" ht="9.75" customHeight="1" s="34"/>
    <row r="114" ht="30" customHeight="1" s="34">
      <c r="B114" s="55" t="inlineStr">
        <is>
          <t>Stage 5: Rhythm and a Predictable Moving Ball</t>
        </is>
      </c>
    </row>
    <row r="115" ht="9.75" customHeight="1" s="34"/>
    <row r="116" ht="27.75" customHeight="1" s="34">
      <c r="B116" s="36" t="inlineStr">
        <is>
          <t>Objective: Preserve a controlled gather, stride, and delivery when the ball moves. Integration cue: “Move smoothly and meet the ball.”</t>
        </is>
      </c>
    </row>
    <row r="117" ht="9.75" customHeight="1" s="34"/>
    <row r="118" ht="42.75" customHeight="1" s="34">
      <c r="B118" s="36" t="inlineStr">
        <is>
          <t>Equipment: Core kit, virtual head-height guide if useful, and a protected gentle tosser. Use consistent middle-zone tosses for all normal baseline, transfer, and exit swings; retain the tee version if moving-ball control is not ready.</t>
        </is>
      </c>
    </row>
    <row r="119" ht="9.75" customHeight="1" s="34"/>
    <row r="120" ht="27.75" customHeight="1" s="34">
      <c r="B120" s="43" t="inlineStr">
        <is>
          <t>Order</t>
        </is>
      </c>
      <c r="D120" s="43" t="inlineStr">
        <is>
          <t>Drill and dose</t>
        </is>
      </c>
      <c r="F120" s="43" t="inlineStr">
        <is>
          <t>Step-by-step execution</t>
        </is>
      </c>
      <c r="I120" s="43" t="inlineStr">
        <is>
          <t>Detailed AI / coach analysis</t>
        </is>
      </c>
    </row>
    <row r="121" ht="132" customHeight="1" s="34">
      <c r="B121" s="41" t="inlineStr">
        <is>
          <t>Rear leg</t>
        </is>
      </c>
      <c r="D121" s="41" t="inlineStr">
        <is>
          <t>#25 Wide-Stance Rocker Swings: 4 easy rocker swings on a tee, then 4 normal toss swings</t>
        </is>
      </c>
      <c r="F121" s="41" t="inlineStr">
        <is>
          <t>• Begin with a comfortable wider stance.
• Rock gently toward the front side, then the rear side.
• Blend the change of direction into the swing.
• Allow natural foot rotation instead of forcing fixed feet.</t>
        </is>
      </c>
      <c r="I121" s="41" t="inlineStr">
        <is>
          <t>View/landmarks: Side plus oblique; rear leg, feet, pelvis, torso, bat/ball.
Phase: Rocking reversal through contact.
Analysis: Review additional sinking followed by an abrupt rise, or continued catcherward pelvis travel with reaching and disrupted contact. Compare rocker reps only with rocker references before reviewing normal toss transfer.
Feedback example: “Use a smaller rock and a smoother change of direction.”
Limit: Intentional rocking is not itself a flaw; the tee drill and toss transfer are different tasks and should not share raw timing thresholds.</t>
        </is>
      </c>
    </row>
    <row r="122" ht="147" customHeight="1" s="34">
      <c r="B122" s="46" t="inlineStr">
        <is>
          <t>Front leg</t>
        </is>
      </c>
      <c r="D122" s="46" t="inlineStr">
        <is>
          <t>#20 Stride Height Guide: 4 no-ball stride rehearsals, then 4 normal toss swings</t>
        </is>
      </c>
      <c r="F122" s="46" t="inlineStr">
        <is>
          <t>• Use an on-screen height reference, not a rigid bar.
• Load and stride naturally without a swing.
• Review unnecessary rising, dropping, or a rushed forward surge.
• Carry only a simple smooth-stride cue into normal toss swings.</t>
        </is>
      </c>
      <c r="I122" s="46" t="inlineStr">
        <is>
          <t>View/landmarks: Fixed side view; head, pelvis, shoulders, both feet.
Phase: Load through landing, with post-landing travel separate.
Analysis: Review head/pelvis rise together, or excessive forward travel with loss of control compared with the hitter's controlled pattern. Do not enforce a perfectly motionless head.
Feedback example: “Keep the stride smooth rather than rising and dropping before the swing.”
Limit: A long stride or moving head alone is not a fault; the virtual guide is a reference, not a collision rule.</t>
        </is>
      </c>
    </row>
    <row r="123" ht="147" customHeight="1" s="34">
      <c r="B123" s="41" t="inlineStr">
        <is>
          <t>Upper body</t>
        </is>
      </c>
      <c r="D123" s="41" t="inlineStr">
        <is>
          <t>#2 Top-Hand Soft Toss: 4 gentle top-hand-only soft tosses, then 4 normal toss swings</t>
        </is>
      </c>
      <c r="F123" s="41" t="inlineStr">
        <is>
          <t>• Use the light bat and keep the free hand on the chest.
• Receive consistent gentle tosses in a comfortable zone.
• Swing smoothly without forcibly holding the palm up.
• Restore two hands for transfer; use a tee if one-hand toss control is poor.</t>
        </is>
      </c>
      <c r="I123" s="41" t="inlineStr">
        <is>
          <t>View/landmarks: Side plus protected hand-detail view; rear arm, hand, bat/ball, toss release.
Phase: Toss release through contact and early follow-through.
Analysis: Compare similar tosses. Review premature reaching and, only with clear hand visibility, turnover before the contact interval.
Feedback example: “Let the ball reach the comfortable contact point instead of reaching for it.”
Limit: Toss variability can mimic a timing flaw, and a ground ball cannot establish rollover. Hidden hand orientation is not assessable.</t>
        </is>
      </c>
    </row>
    <row r="124" ht="13.5" customHeight="1" s="34"/>
    <row r="125" ht="9.75" customHeight="1" s="34"/>
    <row r="126" ht="42.75" customHeight="1" s="34">
      <c r="B126" s="36" t="inlineStr">
        <is>
          <t>Exit focus: Compare normal toss swings with the session's normal-toss baseline, not with the previous stage's tee results. If inconsistent tosses dominate, improve the feed or use the tee; do not label the hitter as having lost mechanics.</t>
        </is>
      </c>
    </row>
    <row r="127" ht="9.75" customHeight="1" s="34"/>
    <row r="128" ht="27.75" customHeight="1" s="34">
      <c r="B128" s="36" t="n"/>
    </row>
    <row r="129" ht="9.75" customHeight="1" s="34"/>
    <row r="130" ht="30" customHeight="1" s="34">
      <c r="B130" s="55" t="inlineStr">
        <is>
          <t>Stage 6: Integrate Momentum, Then Remove the Constraints</t>
        </is>
      </c>
    </row>
    <row r="131" ht="9.75" customHeight="1" s="34"/>
    <row r="132" ht="27.75" customHeight="1" s="34">
      <c r="B132" s="36" t="inlineStr">
        <is>
          <t>Objective: Blend added movement into a controlled swing and demonstrate normal-swing transfer without depending on drills or constant cues. Integration cue: “See it, move smoothly, and hit.”</t>
        </is>
      </c>
    </row>
    <row r="133" ht="9.75" customHeight="1" s="34"/>
    <row r="134" ht="42.75" customHeight="1" s="34">
      <c r="B134" s="36" t="inlineStr">
        <is>
          <t>Equipment: Core kit, clear approach space, and a protected consistent tosser when available. Use the same predictable toss setting for the normal baseline, all transfer sets, and exit; a tee-only version remains acceptable.</t>
        </is>
      </c>
    </row>
    <row r="135" ht="9.75" customHeight="1" s="34"/>
    <row r="136" ht="27.75" customHeight="1" s="34">
      <c r="B136" s="43" t="inlineStr">
        <is>
          <t>Order</t>
        </is>
      </c>
      <c r="D136" s="43" t="inlineStr">
        <is>
          <t>Drill and dose</t>
        </is>
      </c>
      <c r="F136" s="43" t="inlineStr">
        <is>
          <t>Step-by-step execution</t>
        </is>
      </c>
      <c r="I136" s="43" t="inlineStr">
        <is>
          <t>Detailed AI / coach analysis</t>
        </is>
      </c>
    </row>
    <row r="137" ht="147" customHeight="1" s="34">
      <c r="B137" s="41" t="inlineStr">
        <is>
          <t>Rear leg</t>
        </is>
      </c>
      <c r="D137" s="41" t="inlineStr">
        <is>
          <t>#33 Shuffle-Step Swings: 4 small-shuffle tee swings, then 4 normal swings</t>
        </is>
      </c>
      <c r="F137" s="41" t="inlineStr">
        <is>
          <t>• Begin slightly deeper than the normal hitting spot.
• Use a small rehearsed shuffle without tangling the feet.
• Gather and land smoothly, then swing at moderate effort.
• Return to a normal start for transfer; the shuffle is not a required game move.</t>
        </is>
      </c>
      <c r="I137" s="41" t="inlineStr">
        <is>
          <t>View/landmarks: Wide side plus oblique; both feet, rear knee/hip, pelvis, torso, bat/ball.
Phase: Shuffle → gather → landing → contact.
Analysis: Review a hop/rushed landing with late correction, or stalled forward progression with reaching. Assess any post-landing collapse separately rather than automatically blaming the rear leg.
Feedback example: “Slow the approach so the landing blends into the turn.”
Limit: Added forward travel is intentional; starting distance and tee position can create an apparent rear-leg problem.</t>
        </is>
      </c>
    </row>
    <row r="138" ht="147" customHeight="1" s="34">
      <c r="B138" s="46" t="inlineStr">
        <is>
          <t>Front leg</t>
        </is>
      </c>
      <c r="D138" s="46" t="inlineStr">
        <is>
          <t>#14 Paused-Landing Tee Swings: 4 controlled paused tee swings, then 4 normal swings</t>
        </is>
      </c>
      <c r="F138" s="46" t="inlineStr">
        <is>
          <t>• Return to a familiar load and stride.
• Pause briefly after landing.
• Turn without a second forward surge.
• Remove the pause completely in the normal set.</t>
        </is>
      </c>
      <c r="I138" s="46" t="inlineStr">
        <is>
          <t>View/landmarks: Side; lead leg, pelvis, torso, bat/ball.
Phase: Landing through restart/contact.
Analysis: Review the combination of knee folding and renewed forward travel. Use this familiar drill as a control check after momentum work, not as a new demand to freeze the game swing.
Feedback example: “Use the landing you already made instead of moving forward again.”
Limit: Pause success does not prove moving-ball transfer; grade the normal set separately.</t>
        </is>
      </c>
    </row>
    <row r="139" ht="132" customHeight="1" s="34">
      <c r="B139" s="41" t="inlineStr">
        <is>
          <t>Upper body</t>
        </is>
      </c>
      <c r="D139" s="41" t="inlineStr">
        <is>
          <t>#11 Opposite-Field Deep Tee: 4 comfortable deeper-tee swings, then 4 normal swings</t>
        </is>
      </c>
      <c r="F139" s="41" t="inlineStr">
        <is>
          <t>• Place the tee slightly deeper within comfortable reach.
• Use opposite-field intent without steering the wrists or locking the shoulders.
• Record target outcome separately from the movement review.
• Restore the baseline contact setup for normal transfer.</t>
        </is>
      </c>
      <c r="I139" s="41" t="inlineStr">
        <is>
          <t>View/landmarks: Side plus protected oblique; hands, rear arm, torso, bat/ball, tee.
Phase: Initiation through contact and ball departure.
Analysis: Review early reach/withdrawal before the deeper contact point; review rollover only if hand orientation is visible. Then check normal swings at the original setting rather than comparing raw angles across contact depths.
Feedback example: “Let the ball reach the deeper point without steering the swing.”
Limit: Opposite-field contact does not prove correct mechanics; a pull-side ground ball does not diagnose rollover.</t>
        </is>
      </c>
    </row>
    <row r="140" ht="13.5" customHeight="1" s="34"/>
    <row r="141" ht="9.75" customHeight="1" s="34"/>
    <row r="142" ht="42.75" customHeight="1" s="34">
      <c r="B142" s="36" t="inlineStr">
        <is>
          <t>Exit focus: Complete the matched normal-swing exit set without the shuffle, pause, deeper tee, or technical cue. If the shared gate is met and total workload permits, add an optional six-swing challenge with one small change in tee location or predictable toss location; count those six swings separately and do not mix them into the matched exit score.</t>
        </is>
      </c>
    </row>
    <row r="143" ht="9.75" customHeight="1" s="34"/>
    <row r="144" ht="27.75" customHeight="1" s="34">
      <c r="B144" s="36" t="n"/>
    </row>
    <row r="145" ht="9.75" customHeight="1" s="34"/>
    <row r="146" ht="31.5" customHeight="1" s="34">
      <c r="B146" s="54" t="inlineStr">
        <is>
          <t>Posture and Balance / Head-Control Modules</t>
        </is>
      </c>
    </row>
    <row r="147" ht="9.75" customHeight="1" s="34"/>
    <row r="148" ht="42.75" customHeight="1" s="34">
      <c r="B148" s="36" t="inlineStr">
        <is>
          <t>Use these as optional additions to the existing six stages, not as extra progressions to stack in one practice. Pick the day's observed need: P = posture, B = balance/head control, M = medicine ball (separate module below), or none = original plan; the full P/B instructions are in Drill Library entries 34–57 and the medicine-ball options are in 58–69.</t>
        </is>
      </c>
    </row>
    <row r="149" ht="9.75" customHeight="1" s="34"/>
    <row r="150" ht="57.75" customHeight="1" s="34">
      <c r="B150" s="36" t="inlineStr">
        <is>
          <t>“Holding posture” does not mean freezing the torso angle, and “head still” does not mean immobilizing the neck. This module uses pitch-appropriate control, while keeping head motion, actual balance events, recognition responses, and contact outcomes separate; torso bend changes with pitch height, and no-swing recognition tasks are distinct from batting mechanics.</t>
        </is>
      </c>
    </row>
    <row r="151" ht="9.75" customHeight="1" s="34"/>
    <row r="152" ht="30" customHeight="1" s="34">
      <c r="B152" s="55" t="inlineStr">
        <is>
          <t>Session order and workload</t>
        </is>
      </c>
    </row>
    <row r="153" ht="9.75" customHeight="1" s="34"/>
    <row r="154" ht="27.75" customHeight="1" s="34">
      <c r="B154" s="36" t="inlineStr">
        <is>
          <t>• Original mode: Preparation → 6 baseline swings → rear block 4+4 → front block 4+4 → upper block 4+4 → 6 exit swings = 36 task reps.</t>
        </is>
      </c>
    </row>
    <row r="155" ht="27.75" customHeight="1" s="34">
      <c r="B155" s="36" t="inlineStr">
        <is>
          <t>• Focus mode: Preparation → 6 baseline swings → ONE selected P, B, or M block 4 task reps + 4 normal swings → rear block 4+4 → front block 4+4 → upper block 4+4 → 6 exit swings = 44 task reps.</t>
        </is>
      </c>
    </row>
    <row r="156" ht="27.75" customHeight="1" s="34">
      <c r="B156" s="36" t="inlineStr">
        <is>
          <t>• Reduced focus mode: 4 baseline → selected focus 2+2 → rear 2+2 → front 2+2 → upper 2+2 → 4 exit = 24 task reps, compared with 20 in the original reduced mode.</t>
        </is>
      </c>
    </row>
    <row r="157" ht="27.75" customHeight="1" s="34">
      <c r="B157" s="36" t="inlineStr">
        <is>
          <t>• No automatic stacking: Choose at most one P, B, or M focus block in this plan. Alternate across practices as appropriate, or use existing video to review another theme without adding repetitions.</t>
        </is>
      </c>
    </row>
    <row r="158" ht="42.75" customHeight="1" s="34">
      <c r="B158" s="36" t="inlineStr">
        <is>
          <t>• What counts: A dry rehearsal, recognition take, decision delivery, medicine-ball throw, or carry/placement counts as one task rep; not all are swings. Warm-up, extra rehearsals, the tee-to-toss transition baseline, and any optional challenge set remain additional and must be logged.</t>
        </is>
      </c>
    </row>
    <row r="159" ht="42.75" customHeight="1" s="34">
      <c r="B159" s="36" t="inlineStr">
        <is>
          <t>• Matched tests: The four normal swings after the focus drill and the final exit test return to the session's normal bat, grip, stance, and baseline feed/location. Do not grade a low-tee or take-only task as though it were the normal middle-zone swing.</t>
        </is>
      </c>
    </row>
    <row r="160" ht="42.75" customHeight="1" s="34">
      <c r="B160" s="36" t="inlineStr">
        <is>
          <t>• Time and readiness: Allow extra setup/review time rather than rushing to fit the original session length. If the extra block compromises attention, comfort, or control, select the reduced mode or return to the original plan.</t>
        </is>
      </c>
    </row>
    <row r="161" ht="9.75" customHeight="1" s="34"/>
    <row r="162" ht="30" customHeight="1" s="34">
      <c r="B162" s="55" t="inlineStr">
        <is>
          <t>Stage-by-stage pairings</t>
        </is>
      </c>
    </row>
    <row r="163" ht="9.75" customHeight="1" s="34"/>
    <row r="164" ht="42.75" customHeight="1" s="34">
      <c r="B164" s="36" t="inlineStr">
        <is>
          <t>Each row retains the original rear/front/upper combination and offers one posture or balance/head-control block. Within the selected block perform four reps, then four normal swings; the table's AI description covers the selected task and the normal-swing transfer, not a demand to reproduce the drill constraint during a game swing.</t>
        </is>
      </c>
    </row>
    <row r="165" ht="9.75" customHeight="1" s="34"/>
    <row r="166" ht="27.75" customHeight="1" s="34">
      <c r="B166" s="43" t="inlineStr">
        <is>
          <t>Stage and original pairing</t>
        </is>
      </c>
      <c r="D166" s="43" t="inlineStr">
        <is>
          <t>Posture option P</t>
        </is>
      </c>
      <c r="F166" s="43" t="inlineStr">
        <is>
          <t>Balance/head-control option B</t>
        </is>
      </c>
      <c r="H166" s="43" t="inlineStr">
        <is>
          <t>Step-by-step focus execution</t>
        </is>
      </c>
      <c r="K166" s="43" t="inlineStr">
        <is>
          <t>Detailed AI / coach review and transfer</t>
        </is>
      </c>
    </row>
    <row r="167" ht="207" customHeight="1" s="34">
      <c r="B167" s="41" t="inlineStr">
        <is>
          <t>Stage 1: #22 Rear-Hip Hinge Pause + #13 Stride-to-Landing Hold + #1 One-Hand Top-Hand Tee</t>
        </is>
      </c>
      <c r="D167" s="41" t="inlineStr">
        <is>
          <t>#34 Hinge-to-Landing Posture Rehearsal</t>
        </is>
      </c>
      <c r="F167" s="41" t="inlineStr">
        <is>
          <t>#46 Four-Count Dry Swing</t>
        </is>
      </c>
      <c r="H167" s="41" t="inlineStr">
        <is>
          <t>• P: small hinge → slow load/stride → brief comfortable landing hold → reset.
• B: coach counts load → stride → identify target → slow dry swing.
• Complete four selected rehearsals.
• Remove the hold/counts and take four normal middle-tee swings.</t>
        </is>
      </c>
      <c r="K167" s="41" t="inlineStr">
        <is>
          <t>View/landmarks: Side/oblique; head, torso, hips, knees, feet, bat.
Phase: Setup through landing/turn; no impact for dry reps.
Analysis: P: inspect additional folding or rising with a recovery adjustment. B: identify the first count/transition with a slip, hop, or abrupt head/body surge. Check the same control pattern in normal swings.
Feedback example: “Use a smaller movement you can carry into the turn.”
Limit: A held posture is not a required game position, and a head trace cannot establish gaze.</t>
        </is>
      </c>
    </row>
    <row r="168" ht="207" customHeight="1" s="34">
      <c r="B168" s="46" t="inlineStr">
        <is>
          <t>Stage 2: #23 Coil-and-Freeze Stride + #14 Paused-Landing Tee Swings + #3 Back-Elbow Slot Pause</t>
        </is>
      </c>
      <c r="D168" s="46" t="inlineStr">
        <is>
          <t>#35 Shoulder-Line Posture Turns</t>
        </is>
      </c>
      <c r="F168" s="46" t="inlineStr">
        <is>
          <t>#47 Small Toe-Tap Rhythm Swings</t>
        </is>
      </c>
      <c r="H168" s="46" t="inlineStr">
        <is>
          <t>• P: fold arms or use a short foam rod; slowly turn toward a middle-height target without striking anything.
• B: make one or two small lead-foot taps, then a gentle tee swing.
• Reset fully for each of four reps.
• Take four normal swings without the rod or taps.</t>
        </is>
      </c>
      <c r="K168" s="46" t="inlineStr">
        <is>
          <t>View/landmarks: Side/oblique; shoulders/hips, head, feet, rod or bat/ball.
Phase: Load/turn or tap-to-landing through contact where applicable.
Analysis: P: inspect rising/diving with a disrupted turn, separating rod slip from body motion. B: inspect bobbing or an unplanned hop at the final tap; deliberate tapping is not a fault.
Feedback example: “Keep the transition smooth rather than correcting at the last moment.”
Limit: Shoulder projection changes with rotation; no single tilt or perfectly motionless head is required.</t>
        </is>
      </c>
    </row>
    <row r="169" ht="207" customHeight="1" s="34">
      <c r="B169" s="41" t="inlineStr">
        <is>
          <t>Stage 3: #29 No-Bat Lower-Half Turns + #18 Landing-Foot Tape Line + #5 Split-Grip Contact Tee</t>
        </is>
      </c>
      <c r="D169" s="41" t="inlineStr">
        <is>
          <t>#37 No-Stride Posture Swings</t>
        </is>
      </c>
      <c r="F169" s="41" t="inlineStr">
        <is>
          <t>#50 Two-Foot Finish Hold</t>
        </is>
      </c>
      <c r="H169" s="41" t="inlineStr">
        <is>
          <t>• P: make four easy no-stride tee swings from a comfortable base.
• B: make four moderate tee swings, decelerate naturally, then hold the comfortable finish for about two seconds.
• Do not force fixed feet, locked knees, or a frozen neck.
• Take four normal swings with the usual stride and finish.</t>
        </is>
      </c>
      <c r="K169" s="41" t="inlineStr">
        <is>
          <t>View/landmarks: Side/oblique; torso/head, pelvis, feet, bat/ball.
Phase: Load through contact for P; contact through deceleration/hold for B.
Analysis: P: review pre-contact rising or plateward pelvis travel with disruption. B: count unplanned recovery after deceleration, then rewind to inspect whether it began before contact.
Feedback example: “Use enough control to finish comfortably without a recovery step.”
Limit: A posed finish does not prove good pre-contact mechanics; normal rear-foot release is allowed.</t>
        </is>
      </c>
    </row>
    <row r="170" ht="220.5" customHeight="1" s="34">
      <c r="B170" s="46" t="inlineStr">
        <is>
          <t>Stage 4: #24 Step-Back Tee Swings + #21 One-and-One Front-Leg Swings + #6 Top-Hand Release Tee</t>
        </is>
      </c>
      <c r="D170" s="46" t="inlineStr">
        <is>
          <t>#38 Low-Tee Posture Swings</t>
        </is>
      </c>
      <c r="F170" s="46" t="inlineStr">
        <is>
          <t>#49 Leg-Lift Stride Swings</t>
        </is>
      </c>
      <c r="H170" s="46" t="inlineStr">
        <is>
          <t>• P: use a comfortably reachable low tee for four controlled swings.
• B: rehearse a modest lead-leg lift/lower into a smooth stride and four easy tee swings; use dry reps if needed.
• Reduce the range immediately if the hitter hops or falls.
• Restore the middle-tee baseline for four normal swings.</t>
        </is>
      </c>
      <c r="K170" s="46" t="inlineStr">
        <is>
          <t>View/landmarks: Side/front-oblique; head/torso, pelvis, both legs/feet, bat/ball.
Phase: Load or lift through landing/contact.
Analysis: P: inspect abrupt dip-and-rise with changed delivery, not appropriate low-pitch flexion. B: inspect unintended touchdown, hop, or rushed fall; compare against the simpler balance task if needed.
Feedback example: “Make the adjustment smoothly rather than dropping or falling into it.”
Limit: The leg lift in #49 is optional complexity, not required mechanics. Low-pitch posture must not be compared to a middle-pitch angle as though identical.</t>
        </is>
      </c>
    </row>
    <row r="171" ht="235.5" customHeight="1" s="34">
      <c r="B171" s="41" t="inlineStr">
        <is>
          <t>Stage 5: #25 Wide-Stance Rocker Swings + #20 Stride Height Guide + #2 Top-Hand Soft Toss</t>
        </is>
      </c>
      <c r="D171" s="41" t="inlineStr">
        <is>
          <t>#40 Mixed-Height Posture Tee</t>
        </is>
      </c>
      <c r="F171" s="41" t="inlineStr">
        <is>
          <t>#55 No-Swing Pitch Tracking</t>
        </is>
      </c>
      <c r="H171" s="41" t="inlineStr">
        <is>
          <t>• P: perform four tee swings in the order middle, high, low, middle, adjusting safely between reps.
• B: take four consistent gentle tosses without swinging and report location after passage.
• Record height or reported location for each task.
• Take four normal swings at the session's matched predictable toss setting, or tee if that is the chosen version.</t>
        </is>
      </c>
      <c r="K171" s="41" t="inlineStr">
        <is>
          <t>View/landmarks: Side plus protected oblique; head/torso, feet, bat/ball when used, actual height/release.
Phase: P: load/contact by height. B: release/passage/report with no contact.
Analysis: P: review location-specific late corrections, not height-dependent tilt itself. B: record visible control and location-response correctness separately; then evaluate normal toss transfer independently.
Feedback example: “Stay comfortable and let the task match the ball's location.”
Limit: A correct call does not prove fixation; a take cannot satisfy a swing-mechanics gate. Inaccurate feeds require setup correction.</t>
        </is>
      </c>
    </row>
    <row r="172" ht="250.5" customHeight="1" s="34">
      <c r="B172" s="46" t="inlineStr">
        <is>
          <t>Stage 6: #33 Shuffle-Step Swings + #14 Paused-Landing Tee Swings + #11 Opposite-Field Deep Tee</t>
        </is>
      </c>
      <c r="D172" s="46" t="inlineStr">
        <is>
          <t>#45 Location-Change Transfer Tee</t>
        </is>
      </c>
      <c r="F172" s="46" t="inlineStr">
        <is>
          <t>#57 Controlled Take-or-Swing Reads</t>
        </is>
      </c>
      <c r="H172" s="46" t="inlineStr">
        <is>
          <t>• P: use four comfortable location-change reps, initially announced before each feed.
• B: use four gentle decision deliveries with a clear agreed swing window; takes are permitted and counted.
• Keep effort moderate and review task outcomes separately.
• Finish the block with four matched normal swings, not mixed decision trials.</t>
        </is>
      </c>
      <c r="K172" s="46" t="inlineStr">
        <is>
          <t>View/landmarks: Side plus protected oblique; head/torso, pelvis/feet, bat, ball and feed label.
Phase: Release/load through contact or take and recovery.
Analysis: P: review repeatable location-specific posture corrections. B: label swing/take first, then inspect control on comparable swing trials; do not infer balance from a decision error.
Feedback example: “Keep a comfortable move and the option to take; do not rush to force contact.”
Limit: Unannounced pitch variation and a decision demand are different added tasks. Do not introduce both simultaneously to a hitter who is not ready, and do not call these short rounds proof of game transfer.</t>
        </is>
      </c>
    </row>
    <row r="173" ht="13.5" customHeight="1" s="34"/>
    <row r="174" ht="9.75" customHeight="1" s="34"/>
    <row r="175" ht="30" customHeight="1" s="34">
      <c r="B175" s="55" t="inlineStr">
        <is>
          <t>Optional alternatives and simplifications</t>
        </is>
      </c>
    </row>
    <row r="176" ht="9.75" customHeight="1" s="34"/>
    <row r="177" ht="27.75" customHeight="1" s="34">
      <c r="B177" s="36" t="inlineStr">
        <is>
          <t>Replace the selected focus drill only; do not add these on top. Retain the four-task-rep block, normal transfer set, and workload accounting even when the Drill Library suggests a longer standalone drill round.</t>
        </is>
      </c>
    </row>
    <row r="178" ht="9.75" customHeight="1" s="34"/>
    <row r="179" ht="27.75" customHeight="1" s="34">
      <c r="B179" s="36" t="inlineStr">
        <is>
          <t>• Posture foundations: #44 Torso Path Video Check can replace #34 when video feedback is more useful than a held landing; #36 Slow Delivery-Path Rehearsal can replace #35 for a slow bat-path rehearsal.</t>
        </is>
      </c>
    </row>
    <row r="180" ht="27.75" customHeight="1" s="34">
      <c r="B180" s="36" t="inlineStr">
        <is>
          <t>• Posture constraints: #42 Short-Bat Posture Swings can replace #37 only with a suitable manageable implement. #41 Low-Outside Tee Reach can replace #38 after confirming the tee is safely reachable.</t>
        </is>
      </c>
    </row>
    <row r="181" ht="42.75" customHeight="1" s="34">
      <c r="B181" s="36" t="inlineStr">
        <is>
          <t>• Posture variation: #39 High-Tee Posture Swings can replace #40 when one height needs work before mixing heights. #43 Three-Stance Rotation Check can replace #45 as four reps: open, regular no-stride, closed, regular no-stride, with small comfortable stance changes.</t>
        </is>
      </c>
    </row>
    <row r="182" ht="27.75" customHeight="1" s="34">
      <c r="B182" s="36" t="inlineStr">
        <is>
          <t>• Head/balance foundations: #54 Slow-Motion Head-Path Review can replace #46 for slow video feedback; #48 Feet-Together Stride Swings can replace #47 if taps are confusing.</t>
        </is>
      </c>
    </row>
    <row r="183" ht="42.75" customHeight="1" s="34">
      <c r="B183" s="36" t="inlineStr">
        <is>
          <t>• Finish and attention: #51 Contact-to-Finish Rehearsal can replace #50 when a gentle partial rehearsal is more manageable. #52 Tee-Top Focus Swings can replace #49 if the need is attention/head awareness rather than a harder leg-lift task.</t>
        </is>
      </c>
    </row>
    <row r="184" ht="42.75" customHeight="1" s="34">
      <c r="B184" s="36" t="inlineStr">
        <is>
          <t>• Recognition: #56 Color-Call Takes can replace #55 when markings are clearly visible; use four no-swing takes, not four hits. #53 Post-Swing Symbol Call can replace #57 as a low-effort tee attention task, but is not equivalent evidence of pitch decisions.</t>
        </is>
      </c>
    </row>
    <row r="185" ht="42.75" customHeight="1" s="34">
      <c r="B185" s="36" t="inlineStr">
        <is>
          <t>• Avoid unsafe shortcuts: Do not add head restraints, shirt biting, eyes-closed swings, wobble-board hitting, or a coach's hand near contact. An attention drill that creates neck stiffness or diving should be removed rather than intensified.</t>
        </is>
      </c>
    </row>
    <row r="186" ht="9.75" customHeight="1" s="34"/>
    <row r="187" ht="30" customHeight="1" s="34">
      <c r="B187" s="55" t="inlineStr">
        <is>
          <t>Module-specific advancement and logging</t>
        </is>
      </c>
    </row>
    <row r="188" ht="9.75" customHeight="1" s="34"/>
    <row r="189" ht="42.75" customHeight="1" s="34">
      <c r="B189" s="36" t="inlineStr">
        <is>
          <t>• Use the existing normal-swing gate: The six-assessable-rep exit and next-session retention rules below still apply; use the reduced four-rep rule only in the explicitly reduced version. Do not substitute a held pose, correct color answer, or good finish photograph for those normal swings.</t>
        </is>
      </c>
    </row>
    <row r="190" ht="42.75" customHeight="1" s="34">
      <c r="B190" s="36" t="inlineStr">
        <is>
          <t>• Choose one primary target: Define it before baseline, such as “plateward torso dive with late reaching” or “unplanned recovery step after landing.” Keep pitch location and evaluation phase fixed; do not use “head moved at all” or “shoulders tilted” as a failure definition.</t>
        </is>
      </c>
    </row>
    <row r="191" ht="42.75" customHeight="1" s="34">
      <c r="B191" s="36" t="inlineStr">
        <is>
          <t>• Separate observations: Log P/B/M/none, selected drill ID, actual task reps and actual swings, controlled/assessable normal reps, head-pose visibility, and task reports/decisions. Report recognition scores with their own denominator; for M, also log ball mass/type, direction, actual throws per side, target, and recovery events.</t>
        </is>
      </c>
    </row>
    <row r="192" ht="42.75" customHeight="1" s="34">
      <c r="B192" s="36" t="inlineStr">
        <is>
          <t>• Reject false certainty: If the face is obscured, say head orientation not assessable; if the ball location is unclear, withhold the location-specific comparison. Neither foot pressure nor eye gaze should be inferred from body pose.</t>
        </is>
      </c>
    </row>
    <row r="193" ht="42.75" customHeight="1" s="34">
      <c r="B193" s="36" t="inlineStr">
        <is>
          <t>• Progress one demand at a time: Move from dry to tee, then predictable toss, then a small location change or simple decision task. Advance on retained control, not merely because four drill reps were completed.</t>
        </is>
      </c>
    </row>
    <row r="194" ht="9.75" customHeight="1" s="34"/>
    <row r="195" ht="42.75" customHeight="1" s="34">
      <c r="B195" s="43" t="inlineStr">
        <is>
          <t>Date / base stage</t>
        </is>
      </c>
      <c r="C195" s="43" t="inlineStr">
        <is>
          <t>Mode: P, B, M, none</t>
        </is>
      </c>
      <c r="D195" s="43" t="inlineStr">
        <is>
          <t>Focus drill ID</t>
        </is>
      </c>
      <c r="F195" s="43" t="inlineStr">
        <is>
          <t>Actual task reps / swings</t>
        </is>
      </c>
      <c r="H195" s="43" t="inlineStr">
        <is>
          <t>Normal exit controlled / assessable</t>
        </is>
      </c>
      <c r="J195" s="43" t="inlineStr">
        <is>
          <t>Task outcomes, separately</t>
        </is>
      </c>
      <c r="L195" s="43" t="inlineStr">
        <is>
          <t>Retention / next cue</t>
        </is>
      </c>
    </row>
    <row r="196" ht="27.75" customHeight="1" s="34">
      <c r="B196" s="41" t="n"/>
      <c r="C196" s="41" t="n"/>
      <c r="D196" s="41" t="n"/>
      <c r="F196" s="41" t="n"/>
      <c r="H196" s="41" t="n"/>
      <c r="J196" s="41" t="n"/>
      <c r="L196" s="41" t="n"/>
    </row>
    <row r="197" ht="27.75" customHeight="1" s="34">
      <c r="B197" s="46" t="n"/>
      <c r="C197" s="46" t="n"/>
      <c r="D197" s="46" t="n"/>
      <c r="F197" s="46" t="n"/>
      <c r="H197" s="46" t="n"/>
      <c r="J197" s="46" t="n"/>
      <c r="L197" s="46" t="n"/>
    </row>
    <row r="198" ht="27.75" customHeight="1" s="34">
      <c r="B198" s="41" t="n"/>
      <c r="C198" s="41" t="n"/>
      <c r="D198" s="41" t="n"/>
      <c r="F198" s="41" t="n"/>
      <c r="H198" s="41" t="n"/>
      <c r="J198" s="41" t="n"/>
      <c r="L198" s="41" t="n"/>
    </row>
    <row r="199" ht="13.5" customHeight="1" s="34"/>
    <row r="200" ht="9.75" customHeight="1" s="34"/>
    <row r="201" ht="31.5" customHeight="1" s="34">
      <c r="B201" s="54" t="inlineStr">
        <is>
          <t>Optional Medicine-Ball Module</t>
        </is>
      </c>
    </row>
    <row r="202" ht="9.75" customHeight="1" s="34"/>
    <row r="203" ht="42.75" customHeight="1" s="34">
      <c r="B203" s="36" t="inlineStr">
        <is>
          <t>Select M instead of P or B, retaining the stage's existing rear-leg, front-leg, and upper-body blocks. The full medicine-ball entries, equipment requirements and detailed detection proposals are in the Drill Library; existing #30 remains an alternative basic standing throw.</t>
        </is>
      </c>
    </row>
    <row r="204" ht="9.75" customHeight="1" s="34"/>
    <row r="205" ht="30" customHeight="1" s="34">
      <c r="B205" s="55" t="inlineStr">
        <is>
          <t>Setup and dose</t>
        </is>
      </c>
    </row>
    <row r="206" ht="9.75" customHeight="1" s="34"/>
    <row r="207" ht="42.75" customHeight="1" s="34">
      <c r="B207" s="36" t="inlineStr">
        <is>
          <t>• Equipment gate: A qualified coach selects a known, manageable ball and verifies the wall or landing area is appropriate. Use a clear non-slip lane, keep people and cameras out of the rebound path, and do not assume a batting net will safely stop a medicine ball.</t>
        </is>
      </c>
    </row>
    <row r="208" ht="42.75" customHeight="1" s="34">
      <c r="B208" s="36" t="inlineStr">
        <is>
          <t>• Rehearse first: Perform a comfortable no-ball walkthrough as needed and log those extra reps. Throwing safely is a separate readiness decision from passing the hitting stage; an athlete can remain on #58 throughout the progression.</t>
        </is>
      </c>
    </row>
    <row r="209" ht="42.75" customHeight="1" s="34">
      <c r="B209" s="36" t="inlineStr">
        <is>
          <t>• Four total, not per side: Use four discrete medicine-ball reps, normally two per comfortable direction when appropriate, with full resets. If the coach uses one direction only, still total four and record the choice; the reduced mode uses two total reps, not two per side.</t>
        </is>
      </c>
    </row>
    <row r="210" ht="42.75" customHeight="1" s="34">
      <c r="B210" s="36" t="inlineStr">
        <is>
          <t>• Normal transfer: After the ball is safely stopped and the lane cleared, rest as needed and take four normal two-hand swings under the session's baseline condition. The M block contains no bat–medicine-ball contact and no simultaneous swinging/throwing.</t>
        </is>
      </c>
    </row>
    <row r="211" ht="42.75" customHeight="1" s="34">
      <c r="B211" s="36" t="inlineStr">
        <is>
          <t>• Same session totals: Base = 36, selected M = 44; reduced base = 20, reduced M = 24. Warm-up/rehearsals, extra transition baselines, or challenge reps are additional; do not add a separate bilateral set without logging and adjusting workload.</t>
        </is>
      </c>
    </row>
    <row r="212" ht="27.75" customHeight="1" s="34">
      <c r="B212" s="36" t="inlineStr">
        <is>
          <t>• No rebound catching: Wait until the ball stops before retrieval. Omit rapid partner exchanges, run-up competitions, and maximum-load attempts from these coach cards.</t>
        </is>
      </c>
    </row>
    <row r="213" ht="9.75" customHeight="1" s="34"/>
    <row r="214" ht="30" customHeight="1" s="34">
      <c r="B214" s="55" t="inlineStr">
        <is>
          <t>Pairings by stage</t>
        </is>
      </c>
    </row>
    <row r="215" ht="9.75" customHeight="1" s="34"/>
    <row r="216" ht="27.75" customHeight="1" s="34">
      <c r="B216" s="43" t="inlineStr">
        <is>
          <t>Stage / purpose</t>
        </is>
      </c>
      <c r="D216" s="43" t="inlineStr">
        <is>
          <t>Medicine-ball option and dose</t>
        </is>
      </c>
      <c r="F216" s="43" t="inlineStr">
        <is>
          <t>Quick execution and normal-swing link</t>
        </is>
      </c>
      <c r="I216" s="43" t="inlineStr">
        <is>
          <t>Detailed AI / coach analysis</t>
        </is>
      </c>
    </row>
    <row r="217" ht="102.75" customHeight="1" s="34">
      <c r="B217" s="41" t="inlineStr">
        <is>
          <t>1: Gather and control</t>
        </is>
      </c>
      <c r="D217" s="41" t="inlineStr">
        <is>
          <t>#58 Paused Standing Scoop Toss: 4 total throws → 4 normal swings</t>
        </is>
      </c>
      <c r="F217" s="41" t="inlineStr">
        <is>
          <t>• Stand side-on with ball near rear hip.
• Make a small gather and brief pause.
• Turn and scoop-release smoothly, then reset.
• Restore normal middle-tee swings; keep all three original Stage 1 blocks.</t>
        </is>
      </c>
      <c r="I217" s="41" t="inlineStr">
        <is>
          <t>View/landmarks: Side/oblique; hips, shoulders, rear leg, head, hands/ball.
Phase: Gather through release/recovery.
Analysis: Review extra sinking with a rushed rise or recovery, then assess ordinary swing control separately.
Feedback example: “Make the gather small enough to leave it smoothly.”
Limit: A paused throw does not measure rear-leg force or prove swing transfer.</t>
        </is>
      </c>
    </row>
    <row r="218" ht="102.75" customHeight="1" s="34">
      <c r="B218" s="46" t="inlineStr">
        <is>
          <t>2: Receive and turn</t>
        </is>
      </c>
      <c r="D218" s="46" t="inlineStr">
        <is>
          <t>#59 Split-Stance Scoop Toss: 4 total throws → 4 normal swings</t>
        </is>
      </c>
      <c r="F218" s="46" t="inlineStr">
        <is>
          <t>• Set a comfortable staggered base.
• Gather without adding a stride.
• Turn and scoop, allowing natural foot release and knee position.
• Return to normal swings; retain Stage 2's coil, paused landing, and slot work.</t>
        </is>
      </c>
      <c r="I218" s="46" t="inlineStr">
        <is>
          <t>View/landmarks: Side/oblique; both feet/knees, pelvis, torso, hands/ball.
Phase: Fixed setup through release; no new landing event.
Analysis: Review sliding or knee folding with continued forward travel and recovery. Do not penalize a stable bent lead knee.
Feedback example: “Turn from the base you set instead of sliding through it.”
Limit: Pose does not quantify braking force or load distribution.</t>
        </is>
      </c>
    </row>
    <row r="219" ht="117" customHeight="1" s="34">
      <c r="B219" s="41" t="inlineStr">
        <is>
          <t>3: Coordinate the turn and delivery</t>
        </is>
      </c>
      <c r="D219" s="41" t="inlineStr">
        <is>
          <t>#66 Standing Rotational Push Throw: 4 total throws → 4 normal swings</t>
        </is>
      </c>
      <c r="F219" s="41" t="inlineStr">
        <is>
          <t>• Support the light ball near the rear shoulder.
• Make a small turn and push-release without forced elbow lockout.
• Reset after each throw; substitute #58 if the push is uncomfortable.
• Restore normal bat grip and swing; retain Stage 3's original blocks.</t>
        </is>
      </c>
      <c r="I219" s="41" t="inlineStr">
        <is>
          <t>View/landmarks: Side/oblique; rear arm, hands/ball, hips/shoulders, feet/head.
Phase: Gather through rotational push/recovery.
Analysis: Review an arm reach accompanied by a late body correction, not normal shot-put extension itself. Check actual bat delivery in the separate swing set.
Feedback example: “Blend the turn and push rather than reaching first.”
Limit: This is not a top-hand bat drill and cannot measure hand force.</t>
        </is>
      </c>
    </row>
    <row r="220" ht="117" customHeight="1" s="34">
      <c r="B220" s="46" t="inlineStr">
        <is>
          <t>4: Add a small rearward step</t>
        </is>
      </c>
      <c r="D220" s="46" t="inlineStr">
        <is>
          <t>#60 Step-Back Scoop Toss: 4 total throws → 4 normal swings</t>
        </is>
      </c>
      <c r="F220" s="46" t="inlineStr">
        <is>
          <t>• Rehearse the small step without the ball.
• Step rearward, gather, land, and scoop smoothly.
• Avoid hopping or a large step; reset fully.
• Remove the step for normal swings; retain Stage 4's original pairings.</t>
        </is>
      </c>
      <c r="I220" s="46" t="inlineStr">
        <is>
          <t>View/landmarks: Wide side/oblique; both feet, rear hip/knee, torso/head, hands/ball.
Phase: Step-back through landing/release.
Analysis: Review a rushed landing or late arm correction caused by excessive approach movement. Use matched step-back references, not a static-stance threshold.
Feedback example: “Shorten the step so you can land and release under control.”
Limit: More throw distance may reflect more momentum, not better mechanics.</t>
        </is>
      </c>
    </row>
    <row r="221" ht="117" customHeight="1" s="34">
      <c r="B221" s="41" t="inlineStr">
        <is>
          <t>5: Approach with control</t>
        </is>
      </c>
      <c r="D221" s="41" t="inlineStr">
        <is>
          <t>#61 Step-In Rotational Toss: 4 total throws → 4 normal swings</t>
        </is>
      </c>
      <c r="F221" s="41" t="inlineStr">
        <is>
          <t>• Begin with a short walking approach.
• Land in a comfortable side-on position and turn into the throw.
• Reset without chasing the rebound.
• Use the session's matched predictable toss, or tee version, for normal swings; retain Stage 5's original blocks.</t>
        </is>
      </c>
      <c r="I221" s="41" t="inlineStr">
        <is>
          <t>View/landmarks: Wide side/oblique; feet/knees, pelvis/torso, head, hands/ball.
Phase: Approach through landing/release/recovery.
Analysis: Review sliding or continued forward collapse with an awkward release. Assess toss timing in the later hitting block separately from the medicine-ball task.
Feedback example: “Slow the step so the turn begins from a controlled landing.”
Limit: A throw cannot demonstrate pitch recognition or moving-ball hitting transfer.</t>
        </is>
      </c>
    </row>
    <row r="222" ht="117" customHeight="1" s="34">
      <c r="B222" s="46" t="inlineStr">
        <is>
          <t>6: Integrate modest momentum</t>
        </is>
      </c>
      <c r="D222" s="46" t="inlineStr">
        <is>
          <t>#62 Small-Shuffle Scoop Toss: 4 total throws → 4 normal swings</t>
        </is>
      </c>
      <c r="F222" s="46" t="inlineStr">
        <is>
          <t>• Use a rehearsed small non-crossing shuffle.
• Gather, land, and scoop without jumping into release.
• Reset safely; return to #61 or #58 when needed.
• Finish with matched normal swings and retain Stage 6's original drills and uncued exit test.</t>
        </is>
      </c>
      <c r="I222" s="46" t="inlineStr">
        <is>
          <t>View/landmarks: Wide side/oblique; footfalls, hips/shoulders, head, hands/ball.
Phase: Shuffle through gather, release, and recovery.
Analysis: Review a hop, tangled feet, or stalled gather followed by a rushed throw. Keep throw control and normal-swing transfer scores separate.
Feedback example: “Use less shuffle so the gather and release stay coordinated.”
Limit: This is optional complexity, not a requirement to complete Stage 6 or proof of increased batting power.</t>
        </is>
      </c>
    </row>
    <row r="223" ht="13.5" customHeight="1" s="34"/>
    <row r="224" ht="9.75" customHeight="1" s="34"/>
    <row r="225" ht="30" customHeight="1" s="34">
      <c r="B225" s="55" t="inlineStr">
        <is>
          <t>Alternatives, progression, and recording</t>
        </is>
      </c>
    </row>
    <row r="226" ht="9.75" customHeight="1" s="34"/>
    <row r="227" ht="27.75" customHeight="1" s="34">
      <c r="B227" s="36" t="inlineStr">
        <is>
          <t>• Simplify: Use #30 or #58 in any stage, use a lighter ball, or return to no-ball rehearsal. Never solve poor control by adding weight, effort, or extra throws.</t>
        </is>
      </c>
    </row>
    <row r="228" ht="42.75" customHeight="1" s="34">
      <c r="B228" s="36" t="inlineStr">
        <is>
          <t>• Kneeling alternatives: #64, #65, and #67 can replace a selected medicine-ball task only if a coach finds the position comfortable and suitable. They change the task; do not claim they isolate a muscle or preserve the standing phase sequence.</t>
        </is>
      </c>
    </row>
    <row r="229" ht="27.75" customHeight="1" s="34">
      <c r="B229" s="36" t="inlineStr">
        <is>
          <t>• Advanced option: #63 Step-Behind Rotational Push Throw is optional supervised work after simpler footwork is reliable, not an automatic next step or a required Stage 6 upgrade.</t>
        </is>
      </c>
    </row>
    <row r="230" ht="42.75" customHeight="1" s="34">
      <c r="B230" s="36" t="inlineStr">
        <is>
          <t>• Supplemental options: #68 Controlled Overhead Floor Slam and #69 Medicine-Ball Carry and Place may replace the M task for a separately identified general movement goal. They are not equivalent tests of rotational hitting or excuses to stack more reps.</t>
        </is>
      </c>
    </row>
    <row r="231" ht="42.75" customHeight="1" s="34">
      <c r="B231" s="36" t="inlineStr">
        <is>
          <t>• Advance separately: The hitting plan still uses the normal-swing exit/retention gate. A good throw does not count as a controlled normal swing; readiness for a more complex medicine-ball task is a separate coach decision with ball, direction, target, and effort held comparable.</t>
        </is>
      </c>
    </row>
    <row r="232" ht="42.75" customHeight="1" s="34">
      <c r="B232" s="36" t="inlineStr">
        <is>
          <t>• Do not infer power: Log visible control, release/placement timing, target result, and any recovery. Label ball mass from verified metadata and report speed only with appropriate calibration; do not calculate a force, torque, gaze, or bat-speed score from pose alone.</t>
        </is>
      </c>
    </row>
    <row r="233" ht="9.75" customHeight="1" s="34"/>
    <row r="234" ht="42.75" customHeight="1" s="34">
      <c r="B234" s="43" t="inlineStr">
        <is>
          <t>Date / stage</t>
        </is>
      </c>
      <c r="C234" s="43" t="inlineStr">
        <is>
          <t>M drill</t>
        </is>
      </c>
      <c r="D234" s="43" t="inlineStr">
        <is>
          <t>Ball mass / type</t>
        </is>
      </c>
      <c r="F234" s="43" t="inlineStr">
        <is>
          <t>Direction and actual reps</t>
        </is>
      </c>
      <c r="H234" s="43" t="inlineStr">
        <is>
          <t>Target / approach / effort</t>
        </is>
      </c>
      <c r="J234" s="43" t="inlineStr">
        <is>
          <t>Throw or placement control</t>
        </is>
      </c>
      <c r="L234" s="43" t="inlineStr">
        <is>
          <t>Normal-swing transfer / next cue</t>
        </is>
      </c>
    </row>
    <row r="235" ht="27.75" customHeight="1" s="34">
      <c r="B235" s="41" t="n"/>
      <c r="C235" s="41" t="n"/>
      <c r="D235" s="41" t="n"/>
      <c r="F235" s="41" t="n"/>
      <c r="H235" s="41" t="n"/>
      <c r="J235" s="41" t="n"/>
      <c r="L235" s="41" t="n"/>
    </row>
    <row r="236" ht="27.75" customHeight="1" s="34">
      <c r="B236" s="46" t="n"/>
      <c r="C236" s="46" t="n"/>
      <c r="D236" s="46" t="n"/>
      <c r="F236" s="46" t="n"/>
      <c r="H236" s="46" t="n"/>
      <c r="J236" s="46" t="n"/>
      <c r="L236" s="46" t="n"/>
    </row>
    <row r="237" ht="13.5" customHeight="1" s="34"/>
    <row r="238" ht="9.75" customHeight="1" s="34"/>
    <row r="239" ht="31.5" customHeight="1" s="34">
      <c r="B239" s="54" t="inlineStr">
        <is>
          <t>Advance, Repeat, Simplify, or Fix the Recording</t>
        </is>
      </c>
    </row>
    <row r="240" ht="9.75" customHeight="1" s="34"/>
    <row r="241" ht="42.75" customHeight="1" s="34">
      <c r="B241" s="36" t="inlineStr">
        <is>
          <t>The thresholds here are proposed coaching decision rules for this plan, not validated age-specific standards or AI accuracy claims. Choose the session's primary target pattern before the baseline and keep its definition unchanged through the exit set.</t>
        </is>
      </c>
    </row>
    <row r="242" ht="9.75" customHeight="1" s="34"/>
    <row r="243" ht="42.75" customHeight="1" s="34">
      <c r="B243" s="36" t="inlineStr">
        <is>
          <t>• Controlled normal rep: The hitter completes the normal swing without a slip, unplanned recovery step, or other clear loss of control, and the chosen candidate flaw is absent or less pronounced relative to a coach-approved reference. Record contact quality separately; a hard hit alone does not qualify the mechanics.</t>
        </is>
      </c>
    </row>
    <row r="244" ht="42.75" customHeight="1" s="34">
      <c r="B244" s="36" t="inlineStr">
        <is>
          <t>• Provisional advance: Aim for at least four controlled reps out of six assessable normal exit swings, with no pain, new safety issue, or material worsening from baseline. If baseline already meets the criterion, look for preserved control under the stage's task rather than forcing a numerical improvement.</t>
        </is>
      </c>
    </row>
    <row r="245" ht="42.75" customHeight="1" s="34">
      <c r="B245" s="36" t="inlineStr">
        <is>
          <t>• Retention check: At the next session, use its first six normal baseline swings as a check of the prior stage. Begin under the prior stage's test condition before changing the feed; for the Stage 4→5 transition, do the retention check on the tee and add a separate six-toss baseline if proceeding, logging that extra set.</t>
        </is>
      </c>
    </row>
    <row r="246" ht="42.75" customHeight="1" s="34">
      <c r="B246" s="36" t="inlineStr">
        <is>
          <t>• Confirmed advance: When the retention set also reaches the proposed four-of-six gate, proceed to the next stage. If retention fails, repeat or simplify the previous stage rather than adding a new constraint; Stage 6 also needs a later normal-swing check before calling the progression retained.</t>
        </is>
      </c>
    </row>
    <row r="247" ht="27.75" customHeight="1" s="34">
      <c r="B247" s="36" t="inlineStr">
        <is>
          <t>• Repeat: If the exit set shows comfortable control but the target pattern remains inconsistent, keep the same stage at the next session. Do not simply double the volume.</t>
        </is>
      </c>
    </row>
    <row r="248" ht="42.75" customHeight="1" s="34">
      <c r="B248" s="36" t="inlineStr">
        <is>
          <t>• Simplify: Remove one demand: shorten the load/step, reduce effort, switch moving ball to tee, return to two hands, or use a no-ball rehearsal. Do not compensate for poor one-hand control with a heavier bat or more forceful cues.</t>
        </is>
      </c>
    </row>
    <row r="249" ht="42.75" customHeight="1" s="34">
      <c r="B249" s="36" t="inlineStr">
        <is>
          <t>• Capture failure: If fewer than six reps are assessable for the target, report “insufficient evidence,” retain the actual denominator, and fix camera position, light, or visibility. Do not count an occluded hand as a failed rollover rep or keep swinging indefinitely to fill a video quota.</t>
        </is>
      </c>
    </row>
    <row r="250" ht="27.75" customHeight="1" s="34">
      <c r="B250" s="36" t="inlineStr">
        <is>
          <t>• Stop: Pain, a slipping surface, unsafe bat control, or repeated balance loss ends that task. Address the cause before resuming, and seek appropriate professional assessment for pain or injury concerns.</t>
        </is>
      </c>
    </row>
    <row r="251" ht="9.75" customHeight="1" s="34"/>
    <row r="252" ht="30" customHeight="1" s="34">
      <c r="B252" s="55" t="inlineStr">
        <is>
          <t>Proposed workload adjustments</t>
        </is>
      </c>
    </row>
    <row r="253" ht="9.75" customHeight="1" s="34"/>
    <row r="254" ht="27.75" customHeight="1" s="34">
      <c r="B254" s="36" t="inlineStr">
        <is>
          <t>These are optional scaling choices, not additional work layered on top of the standard session. Count team practice and other hitting work when deciding how much to do.</t>
        </is>
      </c>
    </row>
    <row r="255" ht="9.75" customHeight="1" s="34"/>
    <row r="256" ht="27.75" customHeight="1" s="34">
      <c r="B256" s="43" t="inlineStr">
        <is>
          <t>Situation</t>
        </is>
      </c>
      <c r="D256" s="43" t="inlineStr">
        <is>
          <t>Adjustment</t>
        </is>
      </c>
      <c r="H256" s="43" t="inlineStr">
        <is>
          <t>Transfer check</t>
        </is>
      </c>
    </row>
    <row r="257" ht="42.75" customHeight="1" s="34">
      <c r="B257" s="41" t="inlineStr">
        <is>
          <t>New hitter, limited attention, or tiring quickly</t>
        </is>
      </c>
      <c r="D257" s="41" t="inlineStr">
        <is>
          <t>Use 4 baseline swings; 2 drill reps + 2 normal swings per block; 4 exit swings. This is 20 task reps plus warm-up.</t>
        </is>
      </c>
      <c r="H257" s="41" t="inlineStr">
        <is>
          <t>Proposed gate becomes 3 of 4 assessable controlled exit reps, with the same later retention check; label this the reduced-dose version.</t>
        </is>
      </c>
    </row>
    <row r="258" ht="42.75" customHeight="1" s="34">
      <c r="B258" s="46" t="inlineStr">
        <is>
          <t>One-hand bat control is poor</t>
        </is>
      </c>
      <c r="D258" s="46" t="inlineStr">
        <is>
          <t>Replace one-hand ball contact with light dry rehearsals, then normal two-hand swings; do not force the one-hand assignment.</t>
        </is>
      </c>
      <c r="H258" s="46" t="inlineStr">
        <is>
          <t>Evaluate ordinary two-hand delivery and control, not success at managing an unsuitable bat.</t>
        </is>
      </c>
    </row>
    <row r="259" ht="42.75" customHeight="1" s="34">
      <c r="B259" s="41" t="inlineStr">
        <is>
          <t>Tosser or moving-ball tracking is unavailable</t>
        </is>
      </c>
      <c r="D259" s="41" t="inlineStr">
        <is>
          <t>Keep baseline, normal transfer, and exit on the same tee location.</t>
        </is>
      </c>
      <c r="H259" s="41" t="inlineStr">
        <is>
          <t>Record “tee transfer demonstrated”; do not claim moving-ball transfer.</t>
        </is>
      </c>
    </row>
    <row r="260" ht="42.75" customHeight="1" s="34">
      <c r="B260" s="46" t="inlineStr">
        <is>
          <t>Advanced hitter with good retention</t>
        </is>
      </c>
      <c r="D260" s="46" t="inlineStr">
        <is>
          <t>Preserve the standard matched baseline/exit and add at most the planned optional location challenge when workload allows.</t>
        </is>
      </c>
      <c r="H260" s="46" t="inlineStr">
        <is>
          <t>Keep challenge performance separate from the baseline comparison and change one variable at a time.</t>
        </is>
      </c>
    </row>
    <row r="261" ht="13.5" customHeight="1" s="34"/>
    <row r="262" ht="9.75" customHeight="1" s="34"/>
    <row r="263" ht="31.5" customHeight="1" s="34">
      <c r="B263" s="54" t="inlineStr">
        <is>
          <t>Targeted Pairing Substitutions</t>
        </is>
      </c>
    </row>
    <row r="264" ht="9.75" customHeight="1" s="34"/>
    <row r="265" ht="27.75" customHeight="1" s="34">
      <c r="B265" s="36" t="inlineStr">
        <is>
          <t>Use these only when a coach has identified a repeatable candidate pattern. A substitution replaces a block; it does not add a second full workout or prove the rear leg caused an upper-body flaw.</t>
        </is>
      </c>
    </row>
    <row r="266" ht="9.75" customHeight="1" s="34"/>
    <row r="267" ht="27.75" customHeight="1" s="34">
      <c r="B267" s="43" t="inlineStr">
        <is>
          <t>Observed pattern</t>
        </is>
      </c>
      <c r="D267" s="43" t="inlineStr">
        <is>
          <t>Rear-leg choice</t>
        </is>
      </c>
      <c r="F267" s="43" t="inlineStr">
        <is>
          <t>Front-leg choice</t>
        </is>
      </c>
      <c r="H267" s="43" t="inlineStr">
        <is>
          <t>Upper-body choice</t>
        </is>
      </c>
      <c r="K267" s="43" t="inlineStr">
        <is>
          <t>Evidence and caution</t>
        </is>
      </c>
    </row>
    <row r="268" ht="57.75" customHeight="1" s="34">
      <c r="B268" s="41" t="inlineStr">
        <is>
          <t>Sinking or rising during the load, with recovery</t>
        </is>
      </c>
      <c r="D268" s="41" t="inlineStr">
        <is>
          <t>#22 Rear-Hip Hinge Pause</t>
        </is>
      </c>
      <c r="F268" s="41" t="inlineStr">
        <is>
          <t>#20 Stride Height Guide</t>
        </is>
      </c>
      <c r="H268" s="41" t="inlineStr">
        <is>
          <t>#1 One-Hand Top-Hand Tee, only if manageable</t>
        </is>
      </c>
      <c r="K268" s="41" t="inlineStr">
        <is>
          <t>Look for coordinated knee/pelvis/head changes and actual control loss; do not eliminate normal knee bend.</t>
        </is>
      </c>
    </row>
    <row r="269" ht="57.75" customHeight="1" s="34">
      <c r="B269" s="46" t="inlineStr">
        <is>
          <t>Uncontrolled forward travel after landing</t>
        </is>
      </c>
      <c r="D269" s="46" t="inlineStr">
        <is>
          <t>#24 Step-Back Tee Swings at very small scale, or #22 if movement is too difficult</t>
        </is>
      </c>
      <c r="F269" s="46" t="inlineStr">
        <is>
          <t>#14 Paused-Landing Tee Swings</t>
        </is>
      </c>
      <c r="H269" s="46" t="inlineStr">
        <is>
          <t>#5 Split-Grip Contact Tee</t>
        </is>
      </c>
      <c r="K269" s="46" t="inlineStr">
        <is>
          <t>Review the landing and continued pelvis travel together; do not use a fixed knee angle or require the body to be motionless.</t>
        </is>
      </c>
    </row>
    <row r="270" ht="42.75" customHeight="1" s="34">
      <c r="B270" s="41" t="inlineStr">
        <is>
          <t>Rear-foot slipping or deliberate shoe twisting</t>
        </is>
      </c>
      <c r="D270" s="41" t="inlineStr">
        <is>
          <t>#31 Rear-Foot Tape Outline</t>
        </is>
      </c>
      <c r="F270" s="41" t="inlineStr">
        <is>
          <t>#18 Landing-Foot Tape Line</t>
        </is>
      </c>
      <c r="H270" s="41" t="inlineStr">
        <is>
          <t>#5 Split-Grip Contact Tee</t>
        </is>
      </c>
      <c r="K270" s="41" t="inlineStr">
        <is>
          <t>Review foot translation/rotation with body control. Natural pivoting and heel lift remain permitted.</t>
        </is>
      </c>
    </row>
    <row r="271" ht="57.75" customHeight="1" s="34">
      <c r="B271" s="46" t="inlineStr">
        <is>
          <t>Persistent elbow-ahead pattern with delayed barrel delivery</t>
        </is>
      </c>
      <c r="D271" s="46" t="inlineStr">
        <is>
          <t>#29 No-Bat Lower-Half Turns</t>
        </is>
      </c>
      <c r="F271" s="46" t="inlineStr">
        <is>
          <t>#13 Stride-to-Landing Hold</t>
        </is>
      </c>
      <c r="H271" s="46" t="inlineStr">
        <is>
          <t>#10 Rear-Elbow Path Video Check, virtual overlay only</t>
        </is>
      </c>
      <c r="K271" s="46" t="inlineStr">
        <is>
          <t>Confirm elbow–grip timing and barrel delivery across views. The lower-body pairing supplies context, not proof of causation.</t>
        </is>
      </c>
    </row>
    <row r="272" ht="42.75" customHeight="1" s="34">
      <c r="B272" s="41" t="inlineStr">
        <is>
          <t>Visible hand turnover before contact on similar pitches</t>
        </is>
      </c>
      <c r="D272" s="41" t="inlineStr">
        <is>
          <t>#25 Wide-Stance Rocker Swings at easy effort</t>
        </is>
      </c>
      <c r="F272" s="41" t="inlineStr">
        <is>
          <t>#14 Paused-Landing Tee Swings</t>
        </is>
      </c>
      <c r="H272" s="41" t="inlineStr">
        <is>
          <t>#2 Top-Hand Soft Toss or #11 Opposite-Field Deep Tee</t>
        </is>
      </c>
      <c r="K272" s="41" t="inlineStr">
        <is>
          <t>Require usable hand evidence; wrist crossover and ball direction alone cannot establish rollover.</t>
        </is>
      </c>
    </row>
    <row r="273" ht="42.75" customHeight="1" s="34">
      <c r="B273" s="46" t="inlineStr">
        <is>
          <t>Loss of control when adding motion</t>
        </is>
      </c>
      <c r="D273" s="46" t="inlineStr">
        <is>
          <t>#22 Rear-Hip Hinge Pause instead of shuffle/step-back</t>
        </is>
      </c>
      <c r="F273" s="46" t="inlineStr">
        <is>
          <t>#13 Stride-to-Landing Hold</t>
        </is>
      </c>
      <c r="H273" s="46" t="inlineStr">
        <is>
          <t>#1 One-Hand Top-Hand Tee or a controlled two-hand tee round</t>
        </is>
      </c>
      <c r="K273" s="46" t="inlineStr">
        <is>
          <t>Return to the simpler setup before adding speed, momentum, or a moving ball.</t>
        </is>
      </c>
    </row>
    <row r="274" ht="13.5" customHeight="1" s="34"/>
    <row r="275" ht="9.75" customHeight="1" s="34"/>
    <row r="276" ht="31.5" customHeight="1" s="34">
      <c r="B276" s="54" t="inlineStr">
        <is>
          <t>AI Review and Coach Log</t>
        </is>
      </c>
    </row>
    <row r="277" ht="9.75" customHeight="1" s="34"/>
    <row r="278" ht="42.75" customHeight="1" s="34">
      <c r="B278" s="36" t="inlineStr">
        <is>
          <t>The AI is an observation aid, not a replacement for a coach or a direct force-measurement system. Use the same multi-frame, confidence-aware analysis rules as the Drill Library and keep drill results, normal-swing transfer, and ball outcomes separate.</t>
        </is>
      </c>
    </row>
    <row r="279" ht="9.75" customHeight="1" s="34"/>
    <row r="280" ht="30" customHeight="1" s="34">
      <c r="B280" s="55" t="inlineStr">
        <is>
          <t>Required fields for each repetition</t>
        </is>
      </c>
    </row>
    <row r="281" ht="9.75" customHeight="1" s="34"/>
    <row r="282" ht="27.75" customHeight="1" s="34">
      <c r="B282" s="36" t="inlineStr">
        <is>
          <t>• Identity and condition: Stage, block, drill ID or “normal,” batting handedness, bat, camera/view, tee location or toss description, effort instruction, and whether a cue was supplied.</t>
        </is>
      </c>
    </row>
    <row r="283" ht="27.75" customHeight="1" s="34">
      <c r="B283" s="36" t="inlineStr">
        <is>
          <t>• Event anchors: Load, rear gather where applicable, landing, swing initiation, contact interval, or dry-drill hold/turn event. Do not invent impact in a no-ball rehearsal.</t>
        </is>
      </c>
    </row>
    <row r="284" ht="27.75" customHeight="1" s="34">
      <c r="B284" s="36" t="inlineStr">
        <is>
          <t>• Observable measurements: Relevant knee-angle traces, pelvis movement, foot displacement, arm/grip trajectory, bat path, and hand orientation when visible. Label projected 2D values and uncertain timing.</t>
        </is>
      </c>
    </row>
    <row r="285" ht="27.75" customHeight="1" s="34">
      <c r="B285" s="36" t="inlineStr">
        <is>
          <t>• Interpretation: Observed movement first; candidate flaw second; confidence/assessability third. Do not infer foot pressure, muscle force, or rear-leg causation from pose alone.</t>
        </is>
      </c>
    </row>
    <row r="286" ht="27.75" customHeight="1" s="34">
      <c r="B286" s="36" t="inlineStr">
        <is>
          <t>• Outcome: Contact/miss, target result if visible, control/recovery event, and drill compliance. Do not turn a line drive into proof that every mechanical target passed.</t>
        </is>
      </c>
    </row>
    <row r="287" ht="27.75" customHeight="1" s="34">
      <c r="B287" s="36" t="inlineStr">
        <is>
          <t>• Feedback: One brief cue or a “not assessable” message. During the exit and retention tests, withhold technique cues so the comparison is not just cue-following.</t>
        </is>
      </c>
    </row>
    <row r="288" ht="9.75" customHeight="1" s="34"/>
    <row r="289" ht="30" customHeight="1" s="34">
      <c r="B289" s="55" t="inlineStr">
        <is>
          <t>Reusable session tracker</t>
        </is>
      </c>
    </row>
    <row r="290" ht="9.75" customHeight="1" s="34"/>
    <row r="291" ht="57.75" customHeight="1" s="34">
      <c r="B291" s="43" t="inlineStr">
        <is>
          <t>Stage</t>
        </is>
      </c>
      <c r="C291" s="43" t="inlineStr">
        <is>
          <t>Date</t>
        </is>
      </c>
      <c r="D291" s="43" t="inlineStr">
        <is>
          <t>Primary target</t>
        </is>
      </c>
      <c r="E291" s="43" t="inlineStr">
        <is>
          <t>Baseline controlled / assessable</t>
        </is>
      </c>
      <c r="G291" s="43" t="inlineStr">
        <is>
          <t>Exit controlled / assessable</t>
        </is>
      </c>
      <c r="I291" s="43" t="inlineStr">
        <is>
          <t>Contact outcomes, separately</t>
        </is>
      </c>
      <c r="J291" s="43" t="inlineStr">
        <is>
          <t>Next-session retention</t>
        </is>
      </c>
      <c r="L291" s="43" t="inlineStr">
        <is>
          <t>Decision / one cue</t>
        </is>
      </c>
    </row>
    <row r="292" ht="42.75" customHeight="1" s="34">
      <c r="B292" s="41" t="inlineStr">
        <is>
          <t>1: Gather, Land, Deliver</t>
        </is>
      </c>
      <c r="C292" s="41" t="n"/>
      <c r="D292" s="41" t="n"/>
      <c r="E292" s="41" t="n"/>
      <c r="G292" s="41" t="n"/>
      <c r="I292" s="41" t="n"/>
      <c r="J292" s="41" t="n"/>
      <c r="L292" s="41" t="n"/>
    </row>
    <row r="293" ht="57.75" customHeight="1" s="34">
      <c r="B293" s="46" t="inlineStr">
        <is>
          <t>2: Coil, Receive, Organize</t>
        </is>
      </c>
      <c r="C293" s="46" t="n"/>
      <c r="D293" s="46" t="n"/>
      <c r="E293" s="46" t="n"/>
      <c r="G293" s="46" t="n"/>
      <c r="I293" s="46" t="n"/>
      <c r="J293" s="46" t="n"/>
      <c r="L293" s="46" t="n"/>
    </row>
    <row r="294" ht="42.75" customHeight="1" s="34">
      <c r="B294" s="41" t="inlineStr">
        <is>
          <t>3: Supported Turn</t>
        </is>
      </c>
      <c r="C294" s="41" t="n"/>
      <c r="D294" s="41" t="n"/>
      <c r="E294" s="41" t="n"/>
      <c r="G294" s="41" t="n"/>
      <c r="I294" s="41" t="n"/>
      <c r="J294" s="41" t="n"/>
      <c r="L294" s="41" t="n"/>
    </row>
    <row r="295" ht="42.75" customHeight="1" s="34">
      <c r="B295" s="46" t="inlineStr">
        <is>
          <t>4: Add Movement</t>
        </is>
      </c>
      <c r="C295" s="46" t="n"/>
      <c r="D295" s="46" t="n"/>
      <c r="E295" s="46" t="n"/>
      <c r="G295" s="46" t="n"/>
      <c r="I295" s="46" t="n"/>
      <c r="J295" s="46" t="n"/>
      <c r="L295" s="46" t="n"/>
    </row>
    <row r="296" ht="42.75" customHeight="1" s="34">
      <c r="B296" s="41" t="inlineStr">
        <is>
          <t>5: Predictable Moving Ball</t>
        </is>
      </c>
      <c r="C296" s="41" t="n"/>
      <c r="D296" s="41" t="n"/>
      <c r="E296" s="41" t="n"/>
      <c r="G296" s="41" t="n"/>
      <c r="I296" s="41" t="n"/>
      <c r="J296" s="41" t="n"/>
      <c r="L296" s="41" t="n"/>
    </row>
    <row r="297" ht="42.75" customHeight="1" s="34">
      <c r="B297" s="46" t="inlineStr">
        <is>
          <t>6: Integrate and Transfer</t>
        </is>
      </c>
      <c r="C297" s="46" t="n"/>
      <c r="D297" s="46" t="n"/>
      <c r="E297" s="46" t="n"/>
      <c r="G297" s="46" t="n"/>
      <c r="I297" s="46" t="n"/>
      <c r="J297" s="46" t="n"/>
      <c r="L297" s="46" t="n"/>
    </row>
    <row r="298" ht="13.5" customHeight="1" s="34"/>
    <row r="299" ht="9.75" customHeight="1" s="34"/>
    <row r="300" ht="42.75" customHeight="1" s="34">
      <c r="B300" s="36" t="inlineStr">
        <is>
          <t>An entry such as “4/6 controlled, two contact misses” can be legitimate if movement control and contact outcome differ. An entry such as “3/4 assessable, two obscured” does not meet the standard six-assessable-rep decision rule and must not be silently converted into a pass.</t>
        </is>
      </c>
    </row>
    <row r="301" ht="9.75" customHeight="1" s="34"/>
    <row r="302" ht="31.5" customHeight="1" s="34">
      <c r="B302" s="54" t="inlineStr">
        <is>
          <t>First Practice at a Glance</t>
        </is>
      </c>
    </row>
    <row r="303" ht="9.75" customHeight="1" s="34"/>
    <row r="304" ht="42.75" customHeight="1" s="34">
      <c r="B304" s="36" t="inlineStr">
        <is>
          <t>Start with Stage 1: prepare, record six normal middle-tee swings, then perform four Rear-Hip Hinge Pause rehearsals and four normal swings. Follow with four Stride-to-Landing Hold rehearsals and four normal swings, then four gentle One-Hand Top-Hand Tee swings and four normal swings; finish with six uncued normal swings under the original setup.</t>
        </is>
      </c>
    </row>
    <row r="305" ht="9.75" customHeight="1" s="34"/>
    <row r="306" ht="42.75" customHeight="1" s="34">
      <c r="B306" s="36" t="inlineStr">
        <is>
          <t>Review one loading/landing observation and one delivery observation, choose the next-session decision, and stop rather than chasing a perfect clip. At the next practice, check retained normal-swing control before moving to Stage 2.</t>
        </is>
      </c>
    </row>
  </sheetData>
  <mergeCells count="432">
    <mergeCell ref="B2:M2"/>
    <mergeCell ref="B231:M231"/>
    <mergeCell ref="B287:M287"/>
    <mergeCell ref="F168:G168"/>
    <mergeCell ref="B289:M289"/>
    <mergeCell ref="K170:M170"/>
    <mergeCell ref="B84:M84"/>
    <mergeCell ref="B241:M241"/>
    <mergeCell ref="H273:J273"/>
    <mergeCell ref="B15:M15"/>
    <mergeCell ref="B142:M142"/>
    <mergeCell ref="B80:M80"/>
    <mergeCell ref="B144:M144"/>
    <mergeCell ref="D73:E73"/>
    <mergeCell ref="B208:M208"/>
    <mergeCell ref="K271:M271"/>
    <mergeCell ref="B210:M210"/>
    <mergeCell ref="J291:K291"/>
    <mergeCell ref="F41:H41"/>
    <mergeCell ref="K273:M273"/>
    <mergeCell ref="J293:K293"/>
    <mergeCell ref="B220:C220"/>
    <mergeCell ref="D195:E195"/>
    <mergeCell ref="I218:M218"/>
    <mergeCell ref="H258:M258"/>
    <mergeCell ref="B68:M68"/>
    <mergeCell ref="B239:M239"/>
    <mergeCell ref="D197:E197"/>
    <mergeCell ref="H260:M260"/>
    <mergeCell ref="J296:K296"/>
    <mergeCell ref="K171:M171"/>
    <mergeCell ref="B232:M232"/>
    <mergeCell ref="B150:M150"/>
    <mergeCell ref="H235:I235"/>
    <mergeCell ref="J297:K297"/>
    <mergeCell ref="J235:K235"/>
    <mergeCell ref="L297:M297"/>
    <mergeCell ref="L291:M291"/>
    <mergeCell ref="B21:M21"/>
    <mergeCell ref="B263:M263"/>
    <mergeCell ref="B152:M152"/>
    <mergeCell ref="B244:M244"/>
    <mergeCell ref="L293:M293"/>
    <mergeCell ref="B229:M229"/>
    <mergeCell ref="B181:M181"/>
    <mergeCell ref="G296:H296"/>
    <mergeCell ref="F38:H38"/>
    <mergeCell ref="D139:E139"/>
    <mergeCell ref="B245:M245"/>
    <mergeCell ref="F105:H105"/>
    <mergeCell ref="F43:H43"/>
    <mergeCell ref="K166:M166"/>
    <mergeCell ref="B170:C170"/>
    <mergeCell ref="F107:H107"/>
    <mergeCell ref="J234:K234"/>
    <mergeCell ref="K168:M168"/>
    <mergeCell ref="F57:H57"/>
    <mergeCell ref="B172:C172"/>
    <mergeCell ref="J292:K292"/>
    <mergeCell ref="B270:C270"/>
    <mergeCell ref="K167:M167"/>
    <mergeCell ref="H171:J171"/>
    <mergeCell ref="J236:K236"/>
    <mergeCell ref="B100:M100"/>
    <mergeCell ref="D236:E236"/>
    <mergeCell ref="H259:M259"/>
    <mergeCell ref="B102:M102"/>
    <mergeCell ref="H196:I196"/>
    <mergeCell ref="F75:H75"/>
    <mergeCell ref="F122:H122"/>
    <mergeCell ref="B29:M29"/>
    <mergeCell ref="D256:G256"/>
    <mergeCell ref="F72:H72"/>
    <mergeCell ref="D272:E272"/>
    <mergeCell ref="I122:M122"/>
    <mergeCell ref="F272:G272"/>
    <mergeCell ref="L234:M234"/>
    <mergeCell ref="B24:M24"/>
    <mergeCell ref="B258:C258"/>
    <mergeCell ref="L236:M236"/>
    <mergeCell ref="D122:E122"/>
    <mergeCell ref="B32:M32"/>
    <mergeCell ref="F88:H88"/>
    <mergeCell ref="B26:M26"/>
    <mergeCell ref="B260:C260"/>
    <mergeCell ref="H256:M256"/>
    <mergeCell ref="I138:M138"/>
    <mergeCell ref="F217:H217"/>
    <mergeCell ref="B184:M184"/>
    <mergeCell ref="F269:G269"/>
    <mergeCell ref="B36:C36"/>
    <mergeCell ref="J198:K198"/>
    <mergeCell ref="B27:M27"/>
    <mergeCell ref="K169:M169"/>
    <mergeCell ref="B271:C271"/>
    <mergeCell ref="B179:M179"/>
    <mergeCell ref="B250:M250"/>
    <mergeCell ref="B116:M116"/>
    <mergeCell ref="G292:H292"/>
    <mergeCell ref="B230:M230"/>
    <mergeCell ref="I72:M72"/>
    <mergeCell ref="B118:M118"/>
    <mergeCell ref="G294:H294"/>
    <mergeCell ref="D72:E72"/>
    <mergeCell ref="F136:H136"/>
    <mergeCell ref="D235:E235"/>
    <mergeCell ref="D257:G257"/>
    <mergeCell ref="I88:M88"/>
    <mergeCell ref="B7:M7"/>
    <mergeCell ref="B134:M134"/>
    <mergeCell ref="B96:M96"/>
    <mergeCell ref="D88:E88"/>
    <mergeCell ref="B268:C268"/>
    <mergeCell ref="B90:C90"/>
    <mergeCell ref="B98:M98"/>
    <mergeCell ref="D90:E90"/>
    <mergeCell ref="H257:M257"/>
    <mergeCell ref="B175:M175"/>
    <mergeCell ref="F91:H91"/>
    <mergeCell ref="B162:M162"/>
    <mergeCell ref="F220:H220"/>
    <mergeCell ref="B187:M187"/>
    <mergeCell ref="I37:M37"/>
    <mergeCell ref="B166:C166"/>
    <mergeCell ref="D166:E166"/>
    <mergeCell ref="F222:H222"/>
    <mergeCell ref="B189:M189"/>
    <mergeCell ref="B37:C37"/>
    <mergeCell ref="D37:E37"/>
    <mergeCell ref="B168:C168"/>
    <mergeCell ref="D168:E168"/>
    <mergeCell ref="B126:M126"/>
    <mergeCell ref="B280:M280"/>
    <mergeCell ref="D167:E167"/>
    <mergeCell ref="F167:G167"/>
    <mergeCell ref="B193:M193"/>
    <mergeCell ref="B190:M190"/>
    <mergeCell ref="B46:M46"/>
    <mergeCell ref="D38:E38"/>
    <mergeCell ref="B169:C169"/>
    <mergeCell ref="F40:H40"/>
    <mergeCell ref="H271:J271"/>
    <mergeCell ref="D169:E169"/>
    <mergeCell ref="B282:M282"/>
    <mergeCell ref="B48:M48"/>
    <mergeCell ref="F271:G271"/>
    <mergeCell ref="F104:H104"/>
    <mergeCell ref="I90:M90"/>
    <mergeCell ref="I217:M217"/>
    <mergeCell ref="B121:C121"/>
    <mergeCell ref="K267:M267"/>
    <mergeCell ref="F106:H106"/>
    <mergeCell ref="B58:C58"/>
    <mergeCell ref="I91:M91"/>
    <mergeCell ref="H268:J268"/>
    <mergeCell ref="J195:K195"/>
    <mergeCell ref="K269:M269"/>
    <mergeCell ref="L195:M195"/>
    <mergeCell ref="B300:M300"/>
    <mergeCell ref="J197:K197"/>
    <mergeCell ref="D91:E91"/>
    <mergeCell ref="I220:M220"/>
    <mergeCell ref="L197:M197"/>
    <mergeCell ref="B164:M164"/>
    <mergeCell ref="B201:M201"/>
    <mergeCell ref="B114:M114"/>
    <mergeCell ref="D106:E106"/>
    <mergeCell ref="B212:M212"/>
    <mergeCell ref="B203:M203"/>
    <mergeCell ref="D220:E220"/>
    <mergeCell ref="F221:H221"/>
    <mergeCell ref="I38:M38"/>
    <mergeCell ref="B216:C216"/>
    <mergeCell ref="B130:M130"/>
    <mergeCell ref="I40:M40"/>
    <mergeCell ref="B218:C218"/>
    <mergeCell ref="B59:C59"/>
    <mergeCell ref="B132:M132"/>
    <mergeCell ref="I104:M104"/>
    <mergeCell ref="D40:E40"/>
    <mergeCell ref="E293:F293"/>
    <mergeCell ref="B219:C219"/>
    <mergeCell ref="I106:M106"/>
    <mergeCell ref="B112:M112"/>
    <mergeCell ref="D219:E219"/>
    <mergeCell ref="D104:E104"/>
    <mergeCell ref="L235:M235"/>
    <mergeCell ref="B283:M283"/>
    <mergeCell ref="F235:G235"/>
    <mergeCell ref="F56:H56"/>
    <mergeCell ref="E295:F295"/>
    <mergeCell ref="D41:E41"/>
    <mergeCell ref="B285:M285"/>
    <mergeCell ref="B73:C73"/>
    <mergeCell ref="H170:J170"/>
    <mergeCell ref="B64:M64"/>
    <mergeCell ref="F120:H120"/>
    <mergeCell ref="D43:E43"/>
    <mergeCell ref="B137:C137"/>
    <mergeCell ref="H172:J172"/>
    <mergeCell ref="D137:E137"/>
    <mergeCell ref="E296:F296"/>
    <mergeCell ref="B74:C74"/>
    <mergeCell ref="B16:M16"/>
    <mergeCell ref="D74:E74"/>
    <mergeCell ref="B209:M209"/>
    <mergeCell ref="B139:C139"/>
    <mergeCell ref="B3:M3"/>
    <mergeCell ref="B214:M214"/>
    <mergeCell ref="B18:M18"/>
    <mergeCell ref="D59:E59"/>
    <mergeCell ref="G291:H291"/>
    <mergeCell ref="D172:E172"/>
    <mergeCell ref="B11:M11"/>
    <mergeCell ref="F36:H36"/>
    <mergeCell ref="F172:G172"/>
    <mergeCell ref="F234:G234"/>
    <mergeCell ref="B278:M278"/>
    <mergeCell ref="F196:G196"/>
    <mergeCell ref="D36:E36"/>
    <mergeCell ref="F236:G236"/>
    <mergeCell ref="L198:M198"/>
    <mergeCell ref="H236:I236"/>
    <mergeCell ref="I41:M41"/>
    <mergeCell ref="F39:H39"/>
    <mergeCell ref="B158:M158"/>
    <mergeCell ref="I56:M56"/>
    <mergeCell ref="I43:M43"/>
    <mergeCell ref="B4:D4"/>
    <mergeCell ref="B160:M160"/>
    <mergeCell ref="D56:E56"/>
    <mergeCell ref="I107:M107"/>
    <mergeCell ref="B306:M306"/>
    <mergeCell ref="B227:M227"/>
    <mergeCell ref="F170:G170"/>
    <mergeCell ref="I59:M59"/>
    <mergeCell ref="H234:I234"/>
    <mergeCell ref="J294:K294"/>
    <mergeCell ref="B228:M228"/>
    <mergeCell ref="B138:C138"/>
    <mergeCell ref="F171:G171"/>
    <mergeCell ref="D138:E138"/>
    <mergeCell ref="E297:F297"/>
    <mergeCell ref="F219:H219"/>
    <mergeCell ref="G297:H297"/>
    <mergeCell ref="I36:M36"/>
    <mergeCell ref="B17:M17"/>
    <mergeCell ref="B148:M148"/>
    <mergeCell ref="B82:M82"/>
    <mergeCell ref="D267:E267"/>
    <mergeCell ref="F267:G267"/>
    <mergeCell ref="G293:H293"/>
    <mergeCell ref="B19:M19"/>
    <mergeCell ref="B146:M146"/>
    <mergeCell ref="D198:E198"/>
    <mergeCell ref="D269:E269"/>
    <mergeCell ref="F198:G198"/>
    <mergeCell ref="B304:M304"/>
    <mergeCell ref="B254:M254"/>
    <mergeCell ref="D75:E75"/>
    <mergeCell ref="B20:M20"/>
    <mergeCell ref="D273:E273"/>
    <mergeCell ref="H166:J166"/>
    <mergeCell ref="F273:G273"/>
    <mergeCell ref="D39:E39"/>
    <mergeCell ref="H168:J168"/>
    <mergeCell ref="J295:K295"/>
    <mergeCell ref="L295:M295"/>
    <mergeCell ref="B159:M159"/>
    <mergeCell ref="B89:C89"/>
    <mergeCell ref="D89:E89"/>
    <mergeCell ref="H167:J167"/>
    <mergeCell ref="E294:F294"/>
    <mergeCell ref="B72:C72"/>
    <mergeCell ref="H169:J169"/>
    <mergeCell ref="I222:M222"/>
    <mergeCell ref="B225:M225"/>
    <mergeCell ref="D217:E217"/>
    <mergeCell ref="B13:M13"/>
    <mergeCell ref="B249:M249"/>
    <mergeCell ref="B243:M243"/>
    <mergeCell ref="F121:H121"/>
    <mergeCell ref="B42:C42"/>
    <mergeCell ref="F58:H58"/>
    <mergeCell ref="I75:M75"/>
    <mergeCell ref="B88:C88"/>
    <mergeCell ref="F37:H37"/>
    <mergeCell ref="B154:M154"/>
    <mergeCell ref="I39:M39"/>
    <mergeCell ref="B156:M156"/>
    <mergeCell ref="F270:G270"/>
    <mergeCell ref="B22:M22"/>
    <mergeCell ref="B155:M155"/>
    <mergeCell ref="B256:C256"/>
    <mergeCell ref="B247:M247"/>
    <mergeCell ref="D259:G259"/>
    <mergeCell ref="K272:M272"/>
    <mergeCell ref="L296:M296"/>
    <mergeCell ref="B86:M86"/>
    <mergeCell ref="D222:E222"/>
    <mergeCell ref="F42:H42"/>
    <mergeCell ref="I136:M136"/>
    <mergeCell ref="I57:M57"/>
    <mergeCell ref="B182:M182"/>
    <mergeCell ref="B167:C167"/>
    <mergeCell ref="B272:C272"/>
    <mergeCell ref="B259:C259"/>
    <mergeCell ref="B136:C136"/>
    <mergeCell ref="F169:G169"/>
    <mergeCell ref="D136:E136"/>
    <mergeCell ref="B246:M246"/>
    <mergeCell ref="B211:M211"/>
    <mergeCell ref="I58:M58"/>
    <mergeCell ref="B183:M183"/>
    <mergeCell ref="B177:M177"/>
    <mergeCell ref="B267:C267"/>
    <mergeCell ref="F73:H73"/>
    <mergeCell ref="D58:E58"/>
    <mergeCell ref="B269:C269"/>
    <mergeCell ref="B302:M302"/>
    <mergeCell ref="B252:M252"/>
    <mergeCell ref="F137:H137"/>
    <mergeCell ref="F195:G195"/>
    <mergeCell ref="H195:I195"/>
    <mergeCell ref="B66:M66"/>
    <mergeCell ref="F74:H74"/>
    <mergeCell ref="F139:H139"/>
    <mergeCell ref="B180:M180"/>
    <mergeCell ref="F197:G197"/>
    <mergeCell ref="H197:I197"/>
    <mergeCell ref="B91:C91"/>
    <mergeCell ref="F138:H138"/>
    <mergeCell ref="B157:M157"/>
    <mergeCell ref="B34:M34"/>
    <mergeCell ref="B28:M28"/>
    <mergeCell ref="K268:M268"/>
    <mergeCell ref="B30:M30"/>
    <mergeCell ref="B38:C38"/>
    <mergeCell ref="B94:M94"/>
    <mergeCell ref="F216:H216"/>
    <mergeCell ref="B265:M265"/>
    <mergeCell ref="H272:J272"/>
    <mergeCell ref="B40:C40"/>
    <mergeCell ref="I73:M73"/>
    <mergeCell ref="F218:H218"/>
    <mergeCell ref="B54:M54"/>
    <mergeCell ref="B185:M185"/>
    <mergeCell ref="B104:C104"/>
    <mergeCell ref="F89:H89"/>
    <mergeCell ref="I137:M137"/>
    <mergeCell ref="B41:C41"/>
    <mergeCell ref="B276:M276"/>
    <mergeCell ref="B106:C106"/>
    <mergeCell ref="I74:M74"/>
    <mergeCell ref="I139:M139"/>
    <mergeCell ref="L292:M292"/>
    <mergeCell ref="D270:E270"/>
    <mergeCell ref="D260:G260"/>
    <mergeCell ref="K270:M270"/>
    <mergeCell ref="L294:M294"/>
    <mergeCell ref="H267:J267"/>
    <mergeCell ref="B9:M9"/>
    <mergeCell ref="I221:M221"/>
    <mergeCell ref="E291:F291"/>
    <mergeCell ref="H269:J269"/>
    <mergeCell ref="J196:K196"/>
    <mergeCell ref="B207:M207"/>
    <mergeCell ref="L196:M196"/>
    <mergeCell ref="D221:E221"/>
    <mergeCell ref="B257:C257"/>
    <mergeCell ref="I219:M219"/>
    <mergeCell ref="H198:I198"/>
    <mergeCell ref="I216:M216"/>
    <mergeCell ref="B62:M62"/>
    <mergeCell ref="D216:E216"/>
    <mergeCell ref="F59:H59"/>
    <mergeCell ref="B70:M70"/>
    <mergeCell ref="D218:E218"/>
    <mergeCell ref="I105:M105"/>
    <mergeCell ref="I120:M120"/>
    <mergeCell ref="B122:C122"/>
    <mergeCell ref="B56:C56"/>
    <mergeCell ref="B105:C105"/>
    <mergeCell ref="B191:M191"/>
    <mergeCell ref="B43:C43"/>
    <mergeCell ref="D105:E105"/>
    <mergeCell ref="F90:H90"/>
    <mergeCell ref="D170:E170"/>
    <mergeCell ref="B120:C120"/>
    <mergeCell ref="B128:M128"/>
    <mergeCell ref="D120:E120"/>
    <mergeCell ref="B107:C107"/>
    <mergeCell ref="D107:E107"/>
    <mergeCell ref="D234:E234"/>
    <mergeCell ref="B57:C57"/>
    <mergeCell ref="B192:M192"/>
    <mergeCell ref="B171:C171"/>
    <mergeCell ref="B284:M284"/>
    <mergeCell ref="D171:E171"/>
    <mergeCell ref="D258:G258"/>
    <mergeCell ref="F123:H123"/>
    <mergeCell ref="B50:M50"/>
    <mergeCell ref="B110:M110"/>
    <mergeCell ref="B286:M286"/>
    <mergeCell ref="D196:E196"/>
    <mergeCell ref="F166:G166"/>
    <mergeCell ref="E292:F292"/>
    <mergeCell ref="H270:J270"/>
    <mergeCell ref="B75:C75"/>
    <mergeCell ref="D271:E271"/>
    <mergeCell ref="B248:M248"/>
    <mergeCell ref="I89:M89"/>
    <mergeCell ref="B273:C273"/>
    <mergeCell ref="B39:C39"/>
    <mergeCell ref="B78:M78"/>
    <mergeCell ref="B205:M205"/>
    <mergeCell ref="D57:E57"/>
    <mergeCell ref="D268:E268"/>
    <mergeCell ref="F268:G268"/>
    <mergeCell ref="K172:M172"/>
    <mergeCell ref="I121:M121"/>
    <mergeCell ref="I42:M42"/>
    <mergeCell ref="B217:C217"/>
    <mergeCell ref="I123:M123"/>
    <mergeCell ref="D121:E121"/>
    <mergeCell ref="D42:E42"/>
    <mergeCell ref="B222:C222"/>
    <mergeCell ref="B123:C123"/>
    <mergeCell ref="D123:E123"/>
    <mergeCell ref="B221:C221"/>
    <mergeCell ref="G295:H295"/>
    <mergeCell ref="B52:M52"/>
  </mergeCells>
  <hyperlinks>
    <hyperlink ref="B4" location="'Start Here'!B2" display="START HER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87F8C"/>
    <outlinePr summaryBelow="1" summaryRight="1"/>
    <pageSetUpPr fitToPage="0"/>
  </sheetPr>
  <dimension ref="A1:M186"/>
  <sheetViews>
    <sheetView showFormulas="0" showGridLines="0" showRowColHeaders="1" showZeros="1" rightToLeft="0" tabSelected="0" showOutlineSymbols="1" defaultGridColor="1"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3" customWidth="1" style="33" min="1" max="1"/>
    <col width="16" customWidth="1" style="33" min="2" max="13"/>
  </cols>
  <sheetData>
    <row r="1" ht="9.75" customHeight="1" s="34"/>
    <row r="2" ht="39.75" customHeight="1" s="34">
      <c r="B2" s="35" t="inlineStr">
        <is>
          <t>COACH PRACTICE CARDS</t>
        </is>
      </c>
    </row>
    <row r="3" ht="27.75" customHeight="1" s="34">
      <c r="B3" s="36" t="inlineStr">
        <is>
          <t>Six condensed, editable stage cards. Use the shared key, then the stage card; choose at most one P, B or M focus.</t>
        </is>
      </c>
    </row>
    <row r="4" ht="27" customHeight="1" s="34">
      <c r="B4" s="37" t="inlineStr">
        <is>
          <t>START HERE</t>
        </is>
      </c>
    </row>
    <row r="5"/>
    <row r="6" ht="9.75" customHeight="1" s="34"/>
    <row r="7" ht="27.75" customHeight="1" s="34">
      <c r="B7" s="36" t="inlineStr">
        <is>
          <t>Six quick-reference cards for the Paired Hitting Practice Progression. Drill numbers match the 69-entry Drill Library; use that document for full drill setup and detailed AI analysis.</t>
        </is>
      </c>
    </row>
    <row r="8" ht="9.75" customHeight="1" s="34"/>
    <row r="9" ht="31.5" customHeight="1" s="34">
      <c r="B9" s="54" t="inlineStr">
        <is>
          <t>Quick Key</t>
        </is>
      </c>
    </row>
    <row r="10" ht="9.75" customHeight="1" s="34"/>
    <row r="11" ht="27.75" customHeight="1" s="34">
      <c r="B11" s="36" t="inlineStr">
        <is>
          <t>• 4 + 4: Four drill task reps, then four normal two-hand swings. Remove the drill constraint for the normal swings.</t>
        </is>
      </c>
    </row>
    <row r="12" ht="27.75" customHeight="1" s="34">
      <c r="B12" s="36" t="inlineStr">
        <is>
          <t>• Session order: Prepare → 6 baseline swings → optional focus block → rear-leg block → front-leg block → upper-body block → 6 uncued exit swings.</t>
        </is>
      </c>
    </row>
    <row r="13" ht="42.75" customHeight="1" s="34">
      <c r="B13" s="36" t="inlineStr">
        <is>
          <t>• Volume: Base session = 36 task reps. Add ONE posture (P), balance/head-control (B), OR medicine-ball (M) block, 4 + 4, for 44 task reps. Dry rehearsals, takes, and throws count as task reps, not necessarily swings; log warm-up and extra tests separately.</t>
        </is>
      </c>
    </row>
    <row r="14" ht="27.75" customHeight="1" s="34">
      <c r="B14" s="36" t="inlineStr">
        <is>
          <t>• Reduced version: 4 baseline → 2 + 2 per block → 4 exit = 20 task reps, or 24 with one focus block. For #3 use one dry rehearsal and one tee swing; for #21 use one two-swing pair.</t>
        </is>
      </c>
    </row>
    <row r="15" ht="42.75" customHeight="1" s="34">
      <c r="B15" s="36" t="inlineStr">
        <is>
          <t>• Controlled rep: No slip or unplanned recovery, and the chosen movement issue is absent or improved against the coach-approved reference. Record contact quality separately; a hard hit alone is not a mechanical pass.</t>
        </is>
      </c>
    </row>
    <row r="16" ht="42.75" customHeight="1" s="34">
      <c r="B16" s="36" t="inlineStr">
        <is>
          <t>• Proposed advance rule: At least 4 of 6 assessable normal exit swings controlled, no pain/new safety issue, and no material worsening from baseline; confirm with the next session's matched baseline. Reduced version: 3 of 4. These are coaching rules for this plan, not validated age-specific standards.</t>
        </is>
      </c>
    </row>
    <row r="17" ht="42.75" customHeight="1" s="34">
      <c r="B17" s="36" t="inlineStr">
        <is>
          <t>• Safety and video: Scale to the hitter and total workload. Stop for pain, slipping, or unsafe bat control; never force a locked knee or rigid head. Use fixed full-body side video and a protected oblique view when available; uncertain footage is “not assessable,” not a failed rep.</t>
        </is>
      </c>
    </row>
    <row r="18" ht="42.75" customHeight="1" s="34">
      <c r="B18" s="36" t="inlineStr">
        <is>
          <t>• Medicine-ball kit: Coach-selected manageable ball of known mass, approved throwing wall/landing area, non-slip floor, clear throw/rebound lane. A batting net is not assumed suitable. No rapid rebound catching; let the ball stop before retrieval, then clear the lane and rest as needed before normal swings.</t>
        </is>
      </c>
    </row>
    <row r="19" ht="42.75" customHeight="1" s="34">
      <c r="B19" s="36" t="inlineStr">
        <is>
          <t>• Medicine-ball count: M means 4 throws TOTAL, normally 2 each comfortable direction, then 4 normal swings, not 4 throws per side. Reduced M = 2 throws total + 2 swings. Rehearsals count as extra; #58 can replace a harder M task at any stage.</t>
        </is>
      </c>
    </row>
    <row r="20" ht="27.75" customHeight="1" s="34">
      <c r="B20" s="36" t="inlineStr">
        <is>
          <t>• Medicine-ball review: Observe release/recovery, not bat contact. Record ball mass/type and actual throws per direction; a successful throw does not prove hitting improvement or measure force/power.</t>
        </is>
      </c>
    </row>
    <row r="21" ht="9.75" customHeight="1" s="34"/>
    <row r="22" ht="9.75" customHeight="1" s="34"/>
    <row r="23" ht="9.75" customHeight="1" s="34"/>
    <row r="24" ht="31.5" customHeight="1" s="34">
      <c r="B24" s="54" t="inlineStr">
        <is>
          <t>Stage 1 Card: Gather, Land, Deliver</t>
        </is>
      </c>
    </row>
    <row r="25" ht="9.75" customHeight="1" s="34"/>
    <row r="26" ht="27.75" customHeight="1" s="34">
      <c r="B26" s="36" t="inlineStr">
        <is>
          <t>Goal: Comfortable load, controlled landing, manageable barrel delivery. Say: “Gather, land, then turn smoothly.”</t>
        </is>
      </c>
    </row>
    <row r="27" ht="9.75" customHeight="1" s="34"/>
    <row r="28" ht="27.75" customHeight="1" s="34">
      <c r="B28" s="36" t="inlineStr">
        <is>
          <t>Kit: Middle-height tee, regular bat, light one-hand bat, soft balls, net, non-slip floor. Normal swings: Same middle-tee setting throughout; prepare first, then record 6 uncued baseline swings.</t>
        </is>
      </c>
    </row>
    <row r="29" ht="9.75" customHeight="1" s="34"/>
    <row r="30" ht="27.75" customHeight="1" s="34">
      <c r="B30" s="43" t="inlineStr">
        <is>
          <t>Order</t>
        </is>
      </c>
      <c r="D30" s="43" t="inlineStr">
        <is>
          <t>Drill / dose</t>
        </is>
      </c>
      <c r="F30" s="43" t="inlineStr">
        <is>
          <t>Run it</t>
        </is>
      </c>
      <c r="I30" s="43" t="inlineStr">
        <is>
          <t>Watch for</t>
        </is>
      </c>
    </row>
    <row r="31" ht="27.75" customHeight="1" s="34">
      <c r="B31" s="41" t="inlineStr">
        <is>
          <t>Rear</t>
        </is>
      </c>
      <c r="D31" s="41" t="inlineStr">
        <is>
          <t>#22 Rear-Hip Hinge Pause: 4 + 4</t>
        </is>
      </c>
      <c r="F31" s="41" t="inlineStr">
        <is>
          <t>Small no-bat rear-hip hinge; brief hold; reset.</t>
        </is>
      </c>
      <c r="I31" s="41" t="inlineStr">
        <is>
          <t>Continued sinking plus an extra body/foot adjustment.</t>
        </is>
      </c>
    </row>
    <row r="32" ht="42.75" customHeight="1" s="34">
      <c r="B32" s="46" t="inlineStr">
        <is>
          <t>Front</t>
        </is>
      </c>
      <c r="D32" s="46" t="inlineStr">
        <is>
          <t>#13 Stride-to-Landing Hold: 4 + 4</t>
        </is>
      </c>
      <c r="F32" s="46" t="inlineStr">
        <is>
          <t>Stride without swinging; hold the comfortable landing about 2 seconds.</t>
        </is>
      </c>
      <c r="I32" s="46" t="inlineStr">
        <is>
          <t>Sliding or needing a recovery step.</t>
        </is>
      </c>
    </row>
    <row r="33" ht="42.75" customHeight="1" s="34">
      <c r="B33" s="41" t="inlineStr">
        <is>
          <t>Upper</t>
        </is>
      </c>
      <c r="D33" s="41" t="inlineStr">
        <is>
          <t>#1 One-Hand Top-Hand Tee: 4 + 4</t>
        </is>
      </c>
      <c r="F33" s="41" t="inlineStr">
        <is>
          <t>Gentle top-hand-only tee swings; free hand on chest; restore two hands.</t>
        </is>
      </c>
      <c r="I33" s="41" t="inlineStr">
        <is>
          <t>Early reaching or elbow advancement with delayed barrel delivery.</t>
        </is>
      </c>
    </row>
    <row r="34" ht="13.5" customHeight="1" s="34"/>
    <row r="35" ht="9.75" customHeight="1" s="34"/>
    <row r="36" ht="30" customHeight="1" s="34">
      <c r="B36" s="55" t="inlineStr">
        <is>
          <t>Optional focus: choose one before the rear block</t>
        </is>
      </c>
    </row>
    <row r="37" ht="9.75" customHeight="1" s="34"/>
    <row r="38" ht="27.75" customHeight="1" s="34">
      <c r="B38" s="36" t="inlineStr">
        <is>
          <t>• P: #34 Hinge-to-Landing Posture Rehearsal, 4 + 4: Small hinge → slow stride → comfortable landing hold.</t>
        </is>
      </c>
    </row>
    <row r="39" ht="27.75" customHeight="1" s="34">
      <c r="B39" s="36" t="inlineStr">
        <is>
          <t>• B: #46 Four-Count Dry Swing, 4 + 4: Count load → stride → identify target → slow dry swing.</t>
        </is>
      </c>
    </row>
    <row r="40" ht="27.75" customHeight="1" s="34">
      <c r="B40" s="36" t="inlineStr">
        <is>
          <t>• M: #58 Paused Standing Scoop Toss, 4 + 4: Small rear-hip gather, brief pause, smooth scoop throw; watch for sinking and a recovery rise.</t>
        </is>
      </c>
    </row>
    <row r="41" ht="9.75" customHeight="1" s="34"/>
    <row r="42" ht="27.75" customHeight="1" s="34">
      <c r="B42" s="36" t="inlineStr">
        <is>
          <t>Exit: Six normal two-hand swings, no technique cue. Look for a controlled load/landing and delivery without recovery; 4/6 is provisional progress, confirmed next session.</t>
        </is>
      </c>
    </row>
    <row r="43" ht="9.75" customHeight="1" s="34"/>
    <row r="44" ht="27.75" customHeight="1" s="34">
      <c r="B44" s="36" t="inlineStr">
        <is>
          <t>If not ready: Shorten the load and stride; reduce effort. Use light dry rehearsals instead of one-hand ball contact if control is poor.</t>
        </is>
      </c>
    </row>
    <row r="45" ht="9.75" customHeight="1" s="34"/>
    <row r="46" ht="27.75" customHeight="1" s="34">
      <c r="B46" s="36" t="inlineStr">
        <is>
          <t>Record: Date ___ Mode base/P/B/M ___ Target ___ Baseline ___/6 Exit ___/6 Contact outcome ___ Next cue ___</t>
        </is>
      </c>
    </row>
    <row r="47" ht="9.75" customHeight="1" s="34"/>
    <row r="48" ht="9.75" customHeight="1" s="34"/>
    <row r="49" ht="9.75" customHeight="1" s="34"/>
    <row r="50" ht="31.5" customHeight="1" s="34">
      <c r="B50" s="54" t="inlineStr">
        <is>
          <t>Stage 2 Card: Coil, Receive, Organize</t>
        </is>
      </c>
    </row>
    <row r="51" ht="9.75" customHeight="1" s="34"/>
    <row r="52" ht="27.75" customHeight="1" s="34">
      <c r="B52" s="36" t="inlineStr">
        <is>
          <t>Goal: Carry a small loading turn into a controlled landing and arm delivery. Say: “Turn smoothly from your landing.”</t>
        </is>
      </c>
    </row>
    <row r="53" ht="9.75" customHeight="1" s="34"/>
    <row r="54" ht="27.75" customHeight="1" s="34">
      <c r="B54" s="36" t="inlineStr">
        <is>
          <t>Kit: Middle-height tee, manageable bat, soft balls, net; folded arms or short foam rod for optional P. Normal swings: Same middle-tee setting; begin with 6 baseline/retention swings.</t>
        </is>
      </c>
    </row>
    <row r="55" ht="9.75" customHeight="1" s="34"/>
    <row r="56" ht="27.75" customHeight="1" s="34">
      <c r="B56" s="43" t="inlineStr">
        <is>
          <t>Order</t>
        </is>
      </c>
      <c r="D56" s="43" t="inlineStr">
        <is>
          <t>Drill / dose</t>
        </is>
      </c>
      <c r="F56" s="43" t="inlineStr">
        <is>
          <t>Run it</t>
        </is>
      </c>
      <c r="I56" s="43" t="inlineStr">
        <is>
          <t>Watch for</t>
        </is>
      </c>
    </row>
    <row r="57" ht="42.75" customHeight="1" s="34">
      <c r="B57" s="41" t="inlineStr">
        <is>
          <t>Rear</t>
        </is>
      </c>
      <c r="D57" s="41" t="inlineStr">
        <is>
          <t>#23 Coil-and-Freeze Stride: 4 + 4</t>
        </is>
      </c>
      <c r="F57" s="41" t="inlineStr">
        <is>
          <t>Small coil, brief pause, controlled stride; dry rehearsal.</t>
        </is>
      </c>
      <c r="I57" s="41" t="inlineStr">
        <is>
          <t>Larger twist or sway requiring a foot/body correction.</t>
        </is>
      </c>
    </row>
    <row r="58" ht="42.75" customHeight="1" s="34">
      <c r="B58" s="46" t="inlineStr">
        <is>
          <t>Front</t>
        </is>
      </c>
      <c r="D58" s="46" t="inlineStr">
        <is>
          <t>#14 Paused-Landing Tee Swings: 4 + 4</t>
        </is>
      </c>
      <c r="F58" s="46" t="inlineStr">
        <is>
          <t>Land, pause 1–2 seconds, then swing without another step.</t>
        </is>
      </c>
      <c r="I58" s="46" t="inlineStr">
        <is>
          <t>Knee folding plus a second forward pelvis surge.</t>
        </is>
      </c>
    </row>
    <row r="59" ht="42.75" customHeight="1" s="34">
      <c r="B59" s="41" t="inlineStr">
        <is>
          <t>Upper</t>
        </is>
      </c>
      <c r="D59" s="41" t="inlineStr">
        <is>
          <t>#3 Back-Elbow Slot Pause: 4 + 4</t>
        </is>
      </c>
      <c r="F59" s="41" t="inlineStr">
        <is>
          <t>2 slow dry slot pauses + 2 continuous tee swings = 4 drill reps.</t>
        </is>
      </c>
      <c r="I59" s="41" t="inlineStr">
        <is>
          <t>Elbow/hand drop together with an unwanted barrel change and late correction.</t>
        </is>
      </c>
    </row>
    <row r="60" ht="13.5" customHeight="1" s="34"/>
    <row r="61" ht="9.75" customHeight="1" s="34"/>
    <row r="62" ht="30" customHeight="1" s="34">
      <c r="B62" s="55" t="inlineStr">
        <is>
          <t>Optional focus: choose one before the rear block</t>
        </is>
      </c>
    </row>
    <row r="63" ht="9.75" customHeight="1" s="34"/>
    <row r="64" ht="27.75" customHeight="1" s="34">
      <c r="B64" s="36" t="inlineStr">
        <is>
          <t>• P: #35 Shoulder-Line Posture Turns, 4 + 4: Fold arms or use short foam rod; slowly turn toward a middle-height target.</t>
        </is>
      </c>
    </row>
    <row r="65" ht="27.75" customHeight="1" s="34">
      <c r="B65" s="36" t="inlineStr">
        <is>
          <t>• B: #47 Small Toe-Tap Rhythm Swings, 4 + 4: Small lead-foot taps into a gentle tee swing; avoid hopping.</t>
        </is>
      </c>
    </row>
    <row r="66" ht="27.75" customHeight="1" s="34">
      <c r="B66" s="36" t="inlineStr">
        <is>
          <t>• M: #59 Split-Stance Scoop Toss, 4 + 4: Pre-set comfortable staggered base, gather and scoop without a stride; watch for sliding or recovery.</t>
        </is>
      </c>
    </row>
    <row r="67" ht="9.75" customHeight="1" s="34"/>
    <row r="68" ht="27.75" customHeight="1" s="34">
      <c r="B68" s="36" t="inlineStr">
        <is>
          <t>Exit: Six uncued normal swings with the pauses removed. Seek a smooth turn without a second surge or abrupt barrel correction; 4/6 plus next-session retention advances.</t>
        </is>
      </c>
    </row>
    <row r="69" ht="9.75" customHeight="1" s="34"/>
    <row r="70" ht="27.75" customHeight="1" s="34">
      <c r="B70" s="36" t="inlineStr">
        <is>
          <t>If not ready: Return to Stage 1 or reduce pauses. Do not pin the elbow down, freeze the torso, or preserve a segmented rhythm in normal swings.</t>
        </is>
      </c>
    </row>
    <row r="71" ht="9.75" customHeight="1" s="34"/>
    <row r="72" ht="27.75" customHeight="1" s="34">
      <c r="B72" s="36" t="inlineStr">
        <is>
          <t>Record: Date ___ Mode base/P/B/M ___ Target ___ Baseline ___/6 Exit ___/6 Contact outcome ___ Next cue ___</t>
        </is>
      </c>
    </row>
    <row r="73" ht="9.75" customHeight="1" s="34"/>
    <row r="74" ht="9.75" customHeight="1" s="34"/>
    <row r="75" ht="9.75" customHeight="1" s="34"/>
    <row r="76" ht="31.5" customHeight="1" s="34">
      <c r="B76" s="54" t="inlineStr">
        <is>
          <t>Stage 3 Card: Supported Turn, Controlled Reach</t>
        </is>
      </c>
    </row>
    <row r="77" ht="9.75" customHeight="1" s="34"/>
    <row r="78" ht="27.75" customHeight="1" s="34">
      <c r="B78" s="36" t="inlineStr">
        <is>
          <t>Goal: Coordinate the turn without forced foot spinning or early reaching. Say: “Turn through a comfortable, supported stance.”</t>
        </is>
      </c>
    </row>
    <row r="79" ht="9.75" customHeight="1" s="34"/>
    <row r="80" ht="27.75" customHeight="1" s="34">
      <c r="B80" s="36" t="inlineStr">
        <is>
          <t>Kit: Middle-height tee, soft balls, net, flat tape, light bat with safe split-grip space. Normal swings: Same tee setting and regular grip; begin with 6 baseline/retention swings.</t>
        </is>
      </c>
    </row>
    <row r="81" ht="9.75" customHeight="1" s="34"/>
    <row r="82" ht="27.75" customHeight="1" s="34">
      <c r="B82" s="43" t="inlineStr">
        <is>
          <t>Order</t>
        </is>
      </c>
      <c r="D82" s="43" t="inlineStr">
        <is>
          <t>Drill / dose</t>
        </is>
      </c>
      <c r="F82" s="43" t="inlineStr">
        <is>
          <t>Run it</t>
        </is>
      </c>
      <c r="I82" s="43" t="inlineStr">
        <is>
          <t>Watch for</t>
        </is>
      </c>
    </row>
    <row r="83" ht="42.75" customHeight="1" s="34">
      <c r="B83" s="41" t="inlineStr">
        <is>
          <t>Rear</t>
        </is>
      </c>
      <c r="D83" s="41" t="inlineStr">
        <is>
          <t>#29 No-Bat Lower-Half Turns: 4 + 4</t>
        </is>
      </c>
      <c r="F83" s="41" t="inlineStr">
        <is>
          <t>Arms folded; load, small stride, comfortable no-bat turn.</t>
        </is>
      </c>
      <c r="I83" s="41" t="inlineStr">
        <is>
          <t>Shoe twisting with wobble, slipping, or a recovery.</t>
        </is>
      </c>
    </row>
    <row r="84" ht="42.75" customHeight="1" s="34">
      <c r="B84" s="46" t="inlineStr">
        <is>
          <t>Front</t>
        </is>
      </c>
      <c r="D84" s="46" t="inlineStr">
        <is>
          <t>#18 Landing-Foot Tape Line: 4 + 4</t>
        </is>
      </c>
      <c r="F84" s="46" t="inlineStr">
        <is>
          <t>Tape a comfortable landing area; swing while allowing natural pivot.</t>
        </is>
      </c>
      <c r="I84" s="46" t="inlineStr">
        <is>
          <t>Abrupt heel sliding with loss of support, not normal rotation.</t>
        </is>
      </c>
    </row>
    <row r="85" ht="42.75" customHeight="1" s="34">
      <c r="B85" s="41" t="inlineStr">
        <is>
          <t>Upper</t>
        </is>
      </c>
      <c r="D85" s="41" t="inlineStr">
        <is>
          <t>#5 Split-Grip Contact Tee: 4 + 4</t>
        </is>
      </c>
      <c r="F85" s="41" t="inlineStr">
        <is>
          <t>Small comfortable split grip, easy tee swings; restore normal grip.</t>
        </is>
      </c>
      <c r="I85" s="41" t="inlineStr">
        <is>
          <t>Early rear-arm straightening plus outward hand travel/wider approach.</t>
        </is>
      </c>
    </row>
    <row r="86" ht="13.5" customHeight="1" s="34"/>
    <row r="87" ht="9.75" customHeight="1" s="34"/>
    <row r="88" ht="30" customHeight="1" s="34">
      <c r="B88" s="55" t="inlineStr">
        <is>
          <t>Optional focus: choose one before the rear block</t>
        </is>
      </c>
    </row>
    <row r="89" ht="9.75" customHeight="1" s="34"/>
    <row r="90" ht="27.75" customHeight="1" s="34">
      <c r="B90" s="36" t="inlineStr">
        <is>
          <t>• P: #37 No-Stride Posture Swings, 4 + 4: Easy no-stride tee swings; allow natural torso tilt.</t>
        </is>
      </c>
    </row>
    <row r="91" ht="27.75" customHeight="1" s="34">
      <c r="B91" s="36" t="inlineStr">
        <is>
          <t>• B: #50 Two-Foot Finish Hold, 4 + 4: Decelerate naturally, then hold a comfortable finish about 2 seconds.</t>
        </is>
      </c>
    </row>
    <row r="92" ht="27.75" customHeight="1" s="34">
      <c r="B92" s="36" t="inlineStr">
        <is>
          <t>• M: #66 Standing Rotational Push Throw, 4 + 4: Support ball near rear shoulder, turn and push-release; watch for an early reach followed by a body correction. Use #58 if uncomfortable.</t>
        </is>
      </c>
    </row>
    <row r="93" ht="9.75" customHeight="1" s="34"/>
    <row r="94" ht="27.75" customHeight="1" s="34">
      <c r="B94" s="36" t="inlineStr">
        <is>
          <t>Exit: Six uncued normal swings. Seek supported feet and controlled delivery; 4/6 plus next-session retention advances.</t>
        </is>
      </c>
    </row>
    <row r="95" ht="9.75" customHeight="1" s="34"/>
    <row r="96" ht="27.75" customHeight="1" s="34">
      <c r="B96" s="36" t="inlineStr">
        <is>
          <t>If not ready: Remove the constraint and lower effort. Do not glue either foot down or use a posed finish as proof of good pre-contact mechanics.</t>
        </is>
      </c>
    </row>
    <row r="97" ht="9.75" customHeight="1" s="34"/>
    <row r="98" ht="27.75" customHeight="1" s="34">
      <c r="B98" s="36" t="inlineStr">
        <is>
          <t>Record: Date ___ Mode base/P/B/M ___ Target ___ Baseline ___/6 Exit ___/6 Contact outcome ___ Next cue ___</t>
        </is>
      </c>
    </row>
    <row r="99" ht="9.75" customHeight="1" s="34"/>
    <row r="100" ht="9.75" customHeight="1" s="34"/>
    <row r="101" ht="9.75" customHeight="1" s="34"/>
    <row r="102" ht="31.5" customHeight="1" s="34">
      <c r="B102" s="54" t="inlineStr">
        <is>
          <t>Stage 4 Card: Add Movement, Keep Control</t>
        </is>
      </c>
    </row>
    <row r="103" ht="9.75" customHeight="1" s="34"/>
    <row r="104" ht="27.75" customHeight="1" s="34">
      <c r="B104" s="36" t="inlineStr">
        <is>
          <t>Goal: Introduce a small step-back while preserving landing and finish control. Say: “Move smoothly into a balanced swing.”</t>
        </is>
      </c>
    </row>
    <row r="105" ht="9.75" customHeight="1" s="34"/>
    <row r="106" ht="27.75" customHeight="1" s="34">
      <c r="B106" s="36" t="inlineStr">
        <is>
          <t>Kit: Middle-height tee, manageable bat, soft balls, net, clear space behind stance. Normal swings: Regular start and finish; begin with 6 baseline/retention swings.</t>
        </is>
      </c>
    </row>
    <row r="107" ht="9.75" customHeight="1" s="34"/>
    <row r="108" ht="27.75" customHeight="1" s="34">
      <c r="B108" s="43" t="inlineStr">
        <is>
          <t>Order</t>
        </is>
      </c>
      <c r="D108" s="43" t="inlineStr">
        <is>
          <t>Drill / dose</t>
        </is>
      </c>
      <c r="F108" s="43" t="inlineStr">
        <is>
          <t>Run it</t>
        </is>
      </c>
      <c r="I108" s="43" t="inlineStr">
        <is>
          <t>Watch for</t>
        </is>
      </c>
    </row>
    <row r="109" ht="42.75" customHeight="1" s="34">
      <c r="B109" s="41" t="inlineStr">
        <is>
          <t>Rear</t>
        </is>
      </c>
      <c r="D109" s="41" t="inlineStr">
        <is>
          <t>#24 Step-Back Tee Swings: 4 + 4</t>
        </is>
      </c>
      <c r="F109" s="41" t="inlineStr">
        <is>
          <t>Small rear-foot step toward catcher → smooth stride → easy tee swing.</t>
        </is>
      </c>
      <c r="I109" s="41" t="inlineStr">
        <is>
          <t>Hop or oversized step followed by a rushed landing.</t>
        </is>
      </c>
    </row>
    <row r="110" ht="42.75" customHeight="1" s="34">
      <c r="B110" s="46" t="inlineStr">
        <is>
          <t>Front</t>
        </is>
      </c>
      <c r="D110" s="46" t="inlineStr">
        <is>
          <t>#21 One-and-One Front-Leg Swings: 4 + 4</t>
        </is>
      </c>
      <c r="F110" s="46" t="inlineStr">
        <is>
          <t>2 pairs: normal swing, safe reset, no-stride second swing. Both swings count.</t>
        </is>
      </c>
      <c r="I110" s="46" t="inlineStr">
        <is>
          <t>Second-rep knee folding with drift, or abrupt rising and recovery.</t>
        </is>
      </c>
    </row>
    <row r="111" ht="42.75" customHeight="1" s="34">
      <c r="B111" s="41" t="inlineStr">
        <is>
          <t>Upper</t>
        </is>
      </c>
      <c r="D111" s="41" t="inlineStr">
        <is>
          <t>#6 Top-Hand Release Tee: 4 + 4</t>
        </is>
      </c>
      <c r="F111" s="41" t="inlineStr">
        <is>
          <t>Two hands through contact; allow later top-hand release with secure bottom-hand control.</t>
        </is>
      </c>
      <c r="I111" s="41" t="inlineStr">
        <is>
          <t>Clearly pre-contact release or loss of bat control.</t>
        </is>
      </c>
    </row>
    <row r="112" ht="13.5" customHeight="1" s="34"/>
    <row r="113" ht="9.75" customHeight="1" s="34"/>
    <row r="114" ht="30" customHeight="1" s="34">
      <c r="B114" s="55" t="inlineStr">
        <is>
          <t>Optional focus: choose one before the rear block</t>
        </is>
      </c>
    </row>
    <row r="115" ht="9.75" customHeight="1" s="34"/>
    <row r="116" ht="27.75" customHeight="1" s="34">
      <c r="B116" s="36" t="inlineStr">
        <is>
          <t>• P: #38 Low-Tee Posture Swings, 4 + 4: Reachable low tee; smooth adjustment; restore middle tee for normal swings.</t>
        </is>
      </c>
    </row>
    <row r="117" ht="27.75" customHeight="1" s="34">
      <c r="B117" s="36" t="inlineStr">
        <is>
          <t>• B: #49 Leg-Lift Stride Swings, 4 + 4: Modest lead-leg lift/lower into an easy tee swing; use dry reps if needed.</t>
        </is>
      </c>
    </row>
    <row r="118" ht="27.75" customHeight="1" s="34">
      <c r="B118" s="36" t="inlineStr">
        <is>
          <t>• M: #60 Step-Back Scoop Toss, 4 + 4: Small rearward step → gather → land → scoop; watch for a hop or rushed landing.</t>
        </is>
      </c>
    </row>
    <row r="119" ht="9.75" customHeight="1" s="34"/>
    <row r="120" ht="27.75" customHeight="1" s="34">
      <c r="B120" s="36" t="inlineStr">
        <is>
          <t>Exit: Six uncued normal swings, without forced step-back or release. Seek control independent of the drill; 4/6 plus next-session retention advances.</t>
        </is>
      </c>
    </row>
    <row r="121" ht="9.75" customHeight="1" s="34"/>
    <row r="122" ht="27.75" customHeight="1" s="34">
      <c r="B122" s="36" t="inlineStr">
        <is>
          <t>If not ready: Return to Stage 3; reduce movement. Do not force one-hand release or a high leg lift.</t>
        </is>
      </c>
    </row>
    <row r="123" ht="9.75" customHeight="1" s="34"/>
    <row r="124" ht="27.75" customHeight="1" s="34">
      <c r="B124" s="36" t="inlineStr">
        <is>
          <t>Record: Date ___ Mode base/P/B/M ___ Target ___ Baseline ___/6 Exit ___/6 Contact outcome ___ Next cue ___</t>
        </is>
      </c>
    </row>
    <row r="125" ht="9.75" customHeight="1" s="34"/>
    <row r="126" ht="9.75" customHeight="1" s="34"/>
    <row r="127" ht="9.75" customHeight="1" s="34"/>
    <row r="128" ht="31.5" customHeight="1" s="34">
      <c r="B128" s="54" t="inlineStr">
        <is>
          <t>Stage 5 Card: Rhythm Meets a Moving Ball</t>
        </is>
      </c>
    </row>
    <row r="129" ht="9.75" customHeight="1" s="34"/>
    <row r="130" ht="27.75" customHeight="1" s="34">
      <c r="B130" s="36" t="inlineStr">
        <is>
          <t>Goal: Preserve control with predictable gentle tosses. Say: “Move smoothly and meet the ball.”</t>
        </is>
      </c>
    </row>
    <row r="131" ht="9.75" customHeight="1" s="34"/>
    <row r="132" ht="42.75" customHeight="1" s="34">
      <c r="B132" s="36" t="inlineStr">
        <is>
          <t>Kit: Tee, regular/light one-hand bats, helmet, soft balls, net, protected consistent tosser; virtual height guide only. Start: Check Stage 4 retention with 6 tee swings; if advancing to toss, add a separate 6-toss baseline and log the extra set.</t>
        </is>
      </c>
    </row>
    <row r="133" ht="9.75" customHeight="1" s="34"/>
    <row r="134" ht="27.75" customHeight="1" s="34">
      <c r="B134" s="43" t="inlineStr">
        <is>
          <t>Order</t>
        </is>
      </c>
      <c r="D134" s="43" t="inlineStr">
        <is>
          <t>Drill / dose</t>
        </is>
      </c>
      <c r="F134" s="43" t="inlineStr">
        <is>
          <t>Run it</t>
        </is>
      </c>
      <c r="I134" s="43" t="inlineStr">
        <is>
          <t>Watch for</t>
        </is>
      </c>
    </row>
    <row r="135" ht="42.75" customHeight="1" s="34">
      <c r="B135" s="41" t="inlineStr">
        <is>
          <t>Rear</t>
        </is>
      </c>
      <c r="D135" s="41" t="inlineStr">
        <is>
          <t>#25 Wide-Stance Rocker Swings: 4 + 4</t>
        </is>
      </c>
      <c r="F135" s="41" t="inlineStr">
        <is>
          <t>4 small-rock tee swings; then 4 normal toss swings.</t>
        </is>
      </c>
      <c r="I135" s="41" t="inlineStr">
        <is>
          <t>Extra sinking followed by a rise, or reaching while moving catcherward.</t>
        </is>
      </c>
    </row>
    <row r="136" ht="42.75" customHeight="1" s="34">
      <c r="B136" s="46" t="inlineStr">
        <is>
          <t>Front</t>
        </is>
      </c>
      <c r="D136" s="46" t="inlineStr">
        <is>
          <t>#20 Stride Height Guide: 4 + 4</t>
        </is>
      </c>
      <c r="F136" s="46" t="inlineStr">
        <is>
          <t>4 dry strides under a virtual reference; then 4 normal toss swings.</t>
        </is>
      </c>
      <c r="I136" s="46" t="inlineStr">
        <is>
          <t>Abrupt head/pelvis rise or forward surge with control loss.</t>
        </is>
      </c>
    </row>
    <row r="137" ht="42.75" customHeight="1" s="34">
      <c r="B137" s="41" t="inlineStr">
        <is>
          <t>Upper</t>
        </is>
      </c>
      <c r="D137" s="41" t="inlineStr">
        <is>
          <t>#2 Top-Hand Soft Toss: 4 + 4</t>
        </is>
      </c>
      <c r="F137" s="41" t="inlineStr">
        <is>
          <t>4 gentle top-hand-only tosses; then 4 normal two-hand toss swings.</t>
        </is>
      </c>
      <c r="I137" s="41" t="inlineStr">
        <is>
          <t>Early reaching; review rollover only if hand orientation is clearly visible.</t>
        </is>
      </c>
    </row>
    <row r="138" ht="13.5" customHeight="1" s="34"/>
    <row r="139" ht="9.75" customHeight="1" s="34"/>
    <row r="140" ht="30" customHeight="1" s="34">
      <c r="B140" s="55" t="inlineStr">
        <is>
          <t>Optional focus: choose one before the rear block</t>
        </is>
      </c>
    </row>
    <row r="141" ht="9.75" customHeight="1" s="34"/>
    <row r="142" ht="27.75" customHeight="1" s="34">
      <c r="B142" s="36" t="inlineStr">
        <is>
          <t>• P: #40 Mixed-Height Posture Tee, 4 + 4: Tee order middle → high → low → middle; then 4 normal toss swings.</t>
        </is>
      </c>
    </row>
    <row r="143" ht="27.75" customHeight="1" s="34">
      <c r="B143" s="36" t="inlineStr">
        <is>
          <t>• B: #55 No-Swing Pitch Tracking, 4 + 4: 4 no-swing tosses with location reports; then 4 normal toss swings.</t>
        </is>
      </c>
    </row>
    <row r="144" ht="27.75" customHeight="1" s="34">
      <c r="B144" s="36" t="inlineStr">
        <is>
          <t>• M: #61 Step-In Rotational Toss, 4 + 4: Short walking approach → controlled landing → turn and scoop; watch for sliding or falling through release. Transfer to normal toss or the chosen tee version.</t>
        </is>
      </c>
    </row>
    <row r="145" ht="9.75" customHeight="1" s="34"/>
    <row r="146" ht="27.75" customHeight="1" s="34">
      <c r="B146" s="36" t="inlineStr">
        <is>
          <t>Exit: Six uncued normal toss swings matching the toss baseline. Seek controlled delivery on comparable feeds; 4/6 plus retention advances.</t>
        </is>
      </c>
    </row>
    <row r="147" ht="9.75" customHeight="1" s="34"/>
    <row r="148" ht="27.75" customHeight="1" s="34">
      <c r="B148" s="36" t="inlineStr">
        <is>
          <t>If not ready: Improve the toss or stay on the tee. Do not force a still head, infer gaze from head pose, or score an errant feed as a mechanical failure.</t>
        </is>
      </c>
    </row>
    <row r="149" ht="9.75" customHeight="1" s="34"/>
    <row r="150" ht="27.75" customHeight="1" s="34">
      <c r="B150" s="36" t="inlineStr">
        <is>
          <t>Record: Date ___ Feed tee/toss ___ Mode ___ Extra reps ___ Baseline ___/6 Exit ___/6 Next cue ___</t>
        </is>
      </c>
    </row>
    <row r="151" ht="9.75" customHeight="1" s="34"/>
    <row r="152" ht="9.75" customHeight="1" s="34"/>
    <row r="153" ht="9.75" customHeight="1" s="34"/>
    <row r="154" ht="31.5" customHeight="1" s="34">
      <c r="B154" s="54" t="inlineStr">
        <is>
          <t>Stage 6 Card: Integrate, Then Remove the Drills</t>
        </is>
      </c>
    </row>
    <row r="155" ht="9.75" customHeight="1" s="34"/>
    <row r="156" ht="27.75" customHeight="1" s="34">
      <c r="B156" s="36" t="inlineStr">
        <is>
          <t>Goal: Preserve normal-swing control after momentum and location tasks. Say: “See it, move smoothly, and hit.”</t>
        </is>
      </c>
    </row>
    <row r="157" ht="9.75" customHeight="1" s="34"/>
    <row r="158" ht="27.75" customHeight="1" s="34">
      <c r="B158" s="36" t="inlineStr">
        <is>
          <t>Kit: Tee, bat, helmet, soft balls, net, clear approach lane, protected consistent tosser if ready. Normal swings: One matched predictable toss setting, or tee-only version; begin with 6 baseline/retention swings.</t>
        </is>
      </c>
    </row>
    <row r="159" ht="9.75" customHeight="1" s="34"/>
    <row r="160" ht="27.75" customHeight="1" s="34">
      <c r="B160" s="43" t="inlineStr">
        <is>
          <t>Order</t>
        </is>
      </c>
      <c r="D160" s="43" t="inlineStr">
        <is>
          <t>Drill / dose</t>
        </is>
      </c>
      <c r="F160" s="43" t="inlineStr">
        <is>
          <t>Run it</t>
        </is>
      </c>
      <c r="I160" s="43" t="inlineStr">
        <is>
          <t>Watch for</t>
        </is>
      </c>
    </row>
    <row r="161" ht="27.75" customHeight="1" s="34">
      <c r="B161" s="41" t="inlineStr">
        <is>
          <t>Rear</t>
        </is>
      </c>
      <c r="D161" s="41" t="inlineStr">
        <is>
          <t>#33 Shuffle-Step Swings: 4 + 4</t>
        </is>
      </c>
      <c r="F161" s="41" t="inlineStr">
        <is>
          <t>4 small-shuffle tee swings; then 4 normal swings.</t>
        </is>
      </c>
      <c r="I161" s="41" t="inlineStr">
        <is>
          <t>Hop, rushed landing, or stalled move followed by reaching.</t>
        </is>
      </c>
    </row>
    <row r="162" ht="42.75" customHeight="1" s="34">
      <c r="B162" s="46" t="inlineStr">
        <is>
          <t>Front</t>
        </is>
      </c>
      <c r="D162" s="46" t="inlineStr">
        <is>
          <t>#14 Paused-Landing Tee Swings: 4 + 4</t>
        </is>
      </c>
      <c r="F162" s="46" t="inlineStr">
        <is>
          <t>4 paused tee swings without a second surge; then 4 normal swings.</t>
        </is>
      </c>
      <c r="I162" s="46" t="inlineStr">
        <is>
          <t>Knee folding plus renewed forward travel.</t>
        </is>
      </c>
    </row>
    <row r="163" ht="42.75" customHeight="1" s="34">
      <c r="B163" s="41" t="inlineStr">
        <is>
          <t>Upper</t>
        </is>
      </c>
      <c r="D163" s="41" t="inlineStr">
        <is>
          <t>#11 Opposite-Field Deep Tee: 4 + 4</t>
        </is>
      </c>
      <c r="F163" s="41" t="inlineStr">
        <is>
          <t>4 reachable deeper-tee swings; then 4 normal swings at baseline setup.</t>
        </is>
      </c>
      <c r="I163" s="41" t="inlineStr">
        <is>
          <t>Early reaching/withdrawal; do not diagnose from ball direction alone.</t>
        </is>
      </c>
    </row>
    <row r="164" ht="13.5" customHeight="1" s="34"/>
    <row r="165" ht="9.75" customHeight="1" s="34"/>
    <row r="166" ht="30" customHeight="1" s="34">
      <c r="B166" s="55" t="inlineStr">
        <is>
          <t>Optional focus: choose one before the rear block</t>
        </is>
      </c>
    </row>
    <row r="167" ht="9.75" customHeight="1" s="34"/>
    <row r="168" ht="27.75" customHeight="1" s="34">
      <c r="B168" s="36" t="inlineStr">
        <is>
          <t>• P: #45 Location-Change Transfer Tee, 4 + 4: Four comfortable, initially announced location changes; then 4 matched normal swings.</t>
        </is>
      </c>
    </row>
    <row r="169" ht="27.75" customHeight="1" s="34">
      <c r="B169" s="36" t="inlineStr">
        <is>
          <t>• B: #57 Controlled Take-or-Swing Reads, 4 + 4: Four gentle swing/take deliveries with an agreed window; then 4 normal swings. Takes count as tasks.</t>
        </is>
      </c>
    </row>
    <row r="170" ht="27.75" customHeight="1" s="34">
      <c r="B170" s="36" t="inlineStr">
        <is>
          <t>• M: #62 Small-Shuffle Scoop Toss, 4 + 4: Small non-crossing shuffle → gather → land → scoop; watch for tangled feet or recovery. Return to the matched normal-swing setup afterward.</t>
        </is>
      </c>
    </row>
    <row r="171" ht="9.75" customHeight="1" s="34"/>
    <row r="172" ht="27.75" customHeight="1" s="34">
      <c r="B172" s="36" t="inlineStr">
        <is>
          <t>Exit: Six uncued normal swings, without shuffle, pause, or deeper tee. Seek 4/6 controlled reps; confirm at a later matched normal-swing check before calling the progression retained.</t>
        </is>
      </c>
    </row>
    <row r="173" ht="9.75" customHeight="1" s="34"/>
    <row r="174" ht="27.75" customHeight="1" s="34">
      <c r="B174" s="36" t="inlineStr">
        <is>
          <t>If ready: Optionally add six location-challenge swings if workload permits; log separately, never mix into the exit score. Otherwise stop and retain the simpler task.</t>
        </is>
      </c>
    </row>
    <row r="175" ht="9.75" customHeight="1" s="34"/>
    <row r="176" ht="27.75" customHeight="1" s="34">
      <c r="B176" s="36" t="inlineStr">
        <is>
          <t>Record: Date ___ Feed ___ Mode ___ Baseline ___/6 Exit ___/6 Challenge reps ___ Retention date ___ Next cue ___</t>
        </is>
      </c>
    </row>
    <row r="177" ht="9.75" customHeight="1" s="34"/>
    <row r="178" ht="9.75" customHeight="1" s="34"/>
    <row r="179" ht="9.75" customHeight="1" s="34"/>
    <row r="180" ht="31.5" customHeight="1" s="34">
      <c r="B180" s="54" t="inlineStr">
        <is>
          <t>Coach Decision Strip</t>
        </is>
      </c>
    </row>
    <row r="181" ht="9.75" customHeight="1" s="34"/>
    <row r="182" ht="27.75" customHeight="1" s="34">
      <c r="B182" s="36" t="inlineStr">
        <is>
          <t>Advance provisionally: Meet the chosen exit gate with safe control; confirm retention next session. Repeat or simplify: Comfortable but inconsistent, or constraints are not carrying over to normal swings.</t>
        </is>
      </c>
    </row>
    <row r="183" ht="9.75" customHeight="1" s="34"/>
    <row r="184" ht="42.75" customHeight="1" s="34">
      <c r="B184" s="36" t="inlineStr">
        <is>
          <t>Fix capture: Too few assessable reps, hidden landmarks, camera movement, or unclear feed location. Stop the task: Pain, slipping, unsafe bat control, or repeated loss of balance; do not chase a passing score with extra swings.</t>
        </is>
      </c>
    </row>
    <row r="185" ht="9.75" customHeight="1" s="34"/>
    <row r="186" ht="27.75" customHeight="1" s="34">
      <c r="B186" s="36" t="inlineStr">
        <is>
          <t>M add-on log: Drill ___ Ball mass/type ___ Direction 1 reps ___ Direction 2 reps ___ Target/approach ___ Recovery events ___ Normal-swing transfer ___</t>
        </is>
      </c>
    </row>
  </sheetData>
  <mergeCells count="175">
    <mergeCell ref="B2:M2"/>
    <mergeCell ref="I30:M30"/>
    <mergeCell ref="B11:M11"/>
    <mergeCell ref="B42:M42"/>
    <mergeCell ref="F33:H33"/>
    <mergeCell ref="F110:H110"/>
    <mergeCell ref="F85:H85"/>
    <mergeCell ref="B170:M170"/>
    <mergeCell ref="D84:E84"/>
    <mergeCell ref="B31:C31"/>
    <mergeCell ref="D31:E31"/>
    <mergeCell ref="B166:M166"/>
    <mergeCell ref="B44:M44"/>
    <mergeCell ref="F109:H109"/>
    <mergeCell ref="I135:M135"/>
    <mergeCell ref="B116:M116"/>
    <mergeCell ref="B172:M172"/>
    <mergeCell ref="D108:E108"/>
    <mergeCell ref="B28:M28"/>
    <mergeCell ref="F31:H31"/>
    <mergeCell ref="B174:M174"/>
    <mergeCell ref="B186:M186"/>
    <mergeCell ref="I32:M32"/>
    <mergeCell ref="B168:M168"/>
    <mergeCell ref="F111:H111"/>
    <mergeCell ref="D160:E160"/>
    <mergeCell ref="I134:M134"/>
    <mergeCell ref="B143:M143"/>
    <mergeCell ref="B118:M118"/>
    <mergeCell ref="B92:M92"/>
    <mergeCell ref="D135:E135"/>
    <mergeCell ref="B158:M158"/>
    <mergeCell ref="I56:M56"/>
    <mergeCell ref="B15:M15"/>
    <mergeCell ref="I161:M161"/>
    <mergeCell ref="F136:H136"/>
    <mergeCell ref="B142:M142"/>
    <mergeCell ref="B80:M80"/>
    <mergeCell ref="D134:E134"/>
    <mergeCell ref="B94:M94"/>
    <mergeCell ref="B4:D4"/>
    <mergeCell ref="I111:M111"/>
    <mergeCell ref="I33:M33"/>
    <mergeCell ref="D56:E56"/>
    <mergeCell ref="B144:M144"/>
    <mergeCell ref="B54:M54"/>
    <mergeCell ref="I82:M82"/>
    <mergeCell ref="B7:M7"/>
    <mergeCell ref="B72:M72"/>
    <mergeCell ref="B33:C33"/>
    <mergeCell ref="D33:E33"/>
    <mergeCell ref="I137:M137"/>
    <mergeCell ref="B32:C32"/>
    <mergeCell ref="B96:M96"/>
    <mergeCell ref="I59:M59"/>
    <mergeCell ref="B176:M176"/>
    <mergeCell ref="B120:M120"/>
    <mergeCell ref="B98:M98"/>
    <mergeCell ref="F163:H163"/>
    <mergeCell ref="B17:M17"/>
    <mergeCell ref="B88:M88"/>
    <mergeCell ref="B148:M148"/>
    <mergeCell ref="B19:M19"/>
    <mergeCell ref="B146:M146"/>
    <mergeCell ref="B9:M9"/>
    <mergeCell ref="B68:M68"/>
    <mergeCell ref="B124:M124"/>
    <mergeCell ref="B20:M20"/>
    <mergeCell ref="B76:M76"/>
    <mergeCell ref="B84:C84"/>
    <mergeCell ref="B62:M62"/>
    <mergeCell ref="D161:E161"/>
    <mergeCell ref="D110:E110"/>
    <mergeCell ref="B150:M150"/>
    <mergeCell ref="B46:M46"/>
    <mergeCell ref="B160:C160"/>
    <mergeCell ref="F59:H59"/>
    <mergeCell ref="B39:M39"/>
    <mergeCell ref="B70:M70"/>
    <mergeCell ref="F160:H160"/>
    <mergeCell ref="B134:C134"/>
    <mergeCell ref="F32:H32"/>
    <mergeCell ref="B13:M13"/>
    <mergeCell ref="B56:C56"/>
    <mergeCell ref="I163:M163"/>
    <mergeCell ref="B58:C58"/>
    <mergeCell ref="I85:M85"/>
    <mergeCell ref="B128:M128"/>
    <mergeCell ref="F58:H58"/>
    <mergeCell ref="D163:E163"/>
    <mergeCell ref="B57:C57"/>
    <mergeCell ref="B65:M65"/>
    <mergeCell ref="B82:C82"/>
    <mergeCell ref="B162:C162"/>
    <mergeCell ref="D162:E162"/>
    <mergeCell ref="F82:H82"/>
    <mergeCell ref="B114:M114"/>
    <mergeCell ref="F57:H57"/>
    <mergeCell ref="B154:M154"/>
    <mergeCell ref="B36:M36"/>
    <mergeCell ref="B50:M50"/>
    <mergeCell ref="B108:C108"/>
    <mergeCell ref="I110:M110"/>
    <mergeCell ref="B83:C83"/>
    <mergeCell ref="B91:M91"/>
    <mergeCell ref="D83:E83"/>
    <mergeCell ref="B30:C30"/>
    <mergeCell ref="B156:M156"/>
    <mergeCell ref="D30:E30"/>
    <mergeCell ref="F108:H108"/>
    <mergeCell ref="I109:M109"/>
    <mergeCell ref="F84:H84"/>
    <mergeCell ref="B85:C85"/>
    <mergeCell ref="D85:E85"/>
    <mergeCell ref="B102:M102"/>
    <mergeCell ref="F30:H30"/>
    <mergeCell ref="I31:M31"/>
    <mergeCell ref="B130:M130"/>
    <mergeCell ref="B12:M12"/>
    <mergeCell ref="B135:C135"/>
    <mergeCell ref="B109:C109"/>
    <mergeCell ref="B117:M117"/>
    <mergeCell ref="D109:E109"/>
    <mergeCell ref="I108:M108"/>
    <mergeCell ref="B59:C59"/>
    <mergeCell ref="D59:E59"/>
    <mergeCell ref="B132:M132"/>
    <mergeCell ref="B14:M14"/>
    <mergeCell ref="I160:M160"/>
    <mergeCell ref="F135:H135"/>
    <mergeCell ref="D111:E111"/>
    <mergeCell ref="I136:M136"/>
    <mergeCell ref="I57:M57"/>
    <mergeCell ref="B182:M182"/>
    <mergeCell ref="B38:M38"/>
    <mergeCell ref="B78:M78"/>
    <mergeCell ref="B161:C161"/>
    <mergeCell ref="F134:H134"/>
    <mergeCell ref="D57:E57"/>
    <mergeCell ref="B136:C136"/>
    <mergeCell ref="B111:C111"/>
    <mergeCell ref="D136:E136"/>
    <mergeCell ref="D32:E32"/>
    <mergeCell ref="F56:H56"/>
    <mergeCell ref="B40:M40"/>
    <mergeCell ref="F161:H161"/>
    <mergeCell ref="I162:M162"/>
    <mergeCell ref="I58:M58"/>
    <mergeCell ref="B24:M24"/>
    <mergeCell ref="B64:M64"/>
    <mergeCell ref="B104:M104"/>
    <mergeCell ref="B169:M169"/>
    <mergeCell ref="B137:C137"/>
    <mergeCell ref="D137:E137"/>
    <mergeCell ref="B26:M26"/>
    <mergeCell ref="D58:E58"/>
    <mergeCell ref="F162:H162"/>
    <mergeCell ref="I83:M83"/>
    <mergeCell ref="B106:M106"/>
    <mergeCell ref="B16:M16"/>
    <mergeCell ref="F137:H137"/>
    <mergeCell ref="B90:M90"/>
    <mergeCell ref="B3:M3"/>
    <mergeCell ref="D82:E82"/>
    <mergeCell ref="B122:M122"/>
    <mergeCell ref="B184:M184"/>
    <mergeCell ref="B66:M66"/>
    <mergeCell ref="B163:C163"/>
    <mergeCell ref="B18:M18"/>
    <mergeCell ref="B110:C110"/>
    <mergeCell ref="F83:H83"/>
    <mergeCell ref="B52:M52"/>
    <mergeCell ref="B180:M180"/>
    <mergeCell ref="B140:M140"/>
    <mergeCell ref="I84:M84"/>
  </mergeCells>
  <hyperlinks>
    <hyperlink ref="B4" location="'Start Here'!B2" display="START HER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87F8C"/>
    <outlinePr summaryBelow="1" summaryRight="1"/>
    <pageSetUpPr fitToPage="0"/>
  </sheetPr>
  <dimension ref="A1:M373"/>
  <sheetViews>
    <sheetView showFormulas="0" showGridLines="0" showRowColHeaders="1" showZeros="1" rightToLeft="0" tabSelected="0" showOutlineSymbols="1" defaultGridColor="1"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3" customWidth="1" style="33" min="1" max="1"/>
    <col width="16" customWidth="1" style="33" min="2" max="13"/>
  </cols>
  <sheetData>
    <row r="1" ht="9.75" customHeight="1" s="34"/>
    <row r="2" ht="39.75" customHeight="1" s="34">
      <c r="B2" s="35" t="inlineStr">
        <is>
          <t>AI ANALYSIS, SAFETY &amp; REFERENCE</t>
        </is>
      </c>
    </row>
    <row r="3" ht="27.75" customHeight="1" s="34">
      <c r="B3" s="36" t="inlineStr">
        <is>
          <t>Complete guidance outside the drill rows: definitions, category setup, selection, flaw mapping and implementation notes.</t>
        </is>
      </c>
    </row>
    <row r="4" ht="27" customHeight="1" s="34">
      <c r="B4" s="37" t="inlineStr">
        <is>
          <t>START HERE</t>
        </is>
      </c>
    </row>
    <row r="5"/>
    <row r="6" ht="30" customHeight="1" s="34">
      <c r="B6" s="55" t="inlineStr">
        <is>
          <t>With AI Computer-Vision Flaw Detection</t>
        </is>
      </c>
    </row>
    <row r="7" ht="9.75" customHeight="1" s="34"/>
    <row r="8" ht="57.75" customHeight="1" s="34">
      <c r="B8" s="36" t="inlineStr">
        <is>
          <t>A catalog of 69 drill entries and explicitly identified variations: 12 for the top hand and back arm, 9 for the front leg, 12 for the back/rear leg, 12 for posture, 12 for balance/head control, and 12 additional medicine-ball entries. Every entry includes a drill name, objective, equipment, bulleted instructions, and a detailed AI analysis description covering camera views, landmarks, movement phases, candidate flaw patterns, example feedback, and limitations. Directions assume a right-handed hitter; mirror body roles for a left-handed hitter rather than mirroring screen coordinates blindly.</t>
        </is>
      </c>
    </row>
    <row r="9" ht="9.75" customHeight="1" s="34"/>
    <row r="10" ht="57.75" customHeight="1" s="34">
      <c r="B10" s="36" t="inlineStr">
        <is>
          <t>The sections are organized as drills 1–12 for the top hand/back arm, 13–21 for the front leg, 22–33 for the rear leg, 34–45 for posture, 46–57 for balance/head control, and 58–69 for medicine-ball work. Existing #30 Rotational Medicine-Ball Throw remains the basic rotational-throw reference, so the library now contains 13 medicine-ball entries in total, including that original drill. Shared definitions, a flaw-to-drill cheat sheet, implementation notes, linked references, the companion progression, and coach cards use consistent drill IDs.</t>
        </is>
      </c>
    </row>
    <row r="11" ht="9.75" customHeight="1" s="34"/>
    <row r="12" ht="9.75" customHeight="1" s="34"/>
    <row r="13" ht="9.75" customHeight="1" s="34"/>
    <row r="14" ht="31.5" customHeight="1" s="34">
      <c r="B14" s="54" t="inlineStr">
        <is>
          <t>How the Vision System Works</t>
        </is>
      </c>
    </row>
    <row r="15" ht="9.75" customHeight="1" s="34"/>
    <row r="16" ht="57.75" customHeight="1" s="34">
      <c r="B16" s="36" t="inlineStr">
        <is>
          <t>These specs assume a standard markerless pipeline: a body-pose model that estimates body landmarks, plus a custom bat-keypoint model that tracks the knob and the cap (end of barrel). A detector → 2D pose → 3D lift chain is a common design for this kind of system.</t>
        </is>
      </c>
    </row>
    <row r="17" ht="9.75" customHeight="1" s="34"/>
    <row r="18" ht="30" customHeight="1" s="34">
      <c r="B18" s="55" t="inlineStr">
        <is>
          <t>Shared terms used in the tables</t>
        </is>
      </c>
    </row>
    <row r="19" ht="9.75" customHeight="1" s="34"/>
    <row r="20" ht="27.75" customHeight="1" s="34">
      <c r="B20" s="43" t="inlineStr">
        <is>
          <t>Term</t>
        </is>
      </c>
      <c r="E20" s="43" t="inlineStr">
        <is>
          <t>Definition</t>
        </is>
      </c>
    </row>
    <row r="21" ht="42.75" customHeight="1" s="34">
      <c r="B21" s="41" t="inlineStr">
        <is>
          <t>Cameras</t>
        </is>
      </c>
      <c r="E21" s="41" t="inlineStr">
        <is>
          <t>Proposed setup: fixed open-side view showing the full body and bat arc, plus a protected pitcher-facing or oblique view for cross-checking. Prefer 120–240 fps capture where available, adequate light, and a sharp image; frame rate alone does not ensure usable tracking.</t>
        </is>
      </c>
    </row>
    <row r="22" ht="42.75" customHeight="1" s="34">
      <c r="B22" s="46" t="inlineStr">
        <is>
          <t>Phase segmentation</t>
        </is>
      </c>
      <c r="E22" s="46" t="inlineStr">
        <is>
          <t>Proposed event labels: stance → load → visible lead-foot landing → sustained swing initiation → contact interval → follow-through → finish. Events may overlap or differ in no-stride and pause drills; do not force every rep into a single timing sequence.</t>
        </is>
      </c>
    </row>
    <row r="23" ht="42.75" customHeight="1" s="34">
      <c r="B23" s="41" t="inlineStr">
        <is>
          <t>Contact interval</t>
        </is>
      </c>
      <c r="E23" s="41" t="inlineStr">
        <is>
          <t>Bracket impact using the ball's approach/departure and bat position, with synchronized audio as supporting evidence. Report an interval when impact falls between frames; a barrel-cap crossing of the tee plane is not itself proof of contact.</t>
        </is>
      </c>
    </row>
    <row r="24" ht="27.75" customHeight="1" s="34">
      <c r="B24" s="46" t="inlineStr">
        <is>
          <t>Bat axis</t>
        </is>
      </c>
      <c r="E24" s="46" t="inlineStr">
        <is>
          <t>Line from knob to cap. Track its orientation and trajectory, but do not infer axial bat roll from those two endpoints.</t>
        </is>
      </c>
    </row>
    <row r="25" ht="42.75" customHeight="1" s="34">
      <c r="B25" s="41" t="inlineStr">
        <is>
          <t>Elbow–hand relationship</t>
        </is>
      </c>
      <c r="E25" s="41" t="inlineStr">
        <is>
          <t>Relative movement of the rear elbow and grip region, preferably in a torso-relative coordinate system and checked across views. Use its time course alongside barrel delivery, not an isolated elbow position.</t>
        </is>
      </c>
    </row>
    <row r="26" ht="42.75" customHeight="1" s="34">
      <c r="B26" s="46" t="inlineStr">
        <is>
          <t>Palm-orientation estimate</t>
        </is>
      </c>
      <c r="E26" s="46" t="inlineStr">
        <is>
          <t>Proposed estimate from wrist, index-base, little-finger-base, and thumb landmarks, with handedness and camera orientation resolved. Treat it as unavailable when the gripping hand is hidden, too small, or blurred; it is not a direct measurement of forearm rotation.</t>
        </is>
      </c>
    </row>
    <row r="27" ht="27.75" customHeight="1" s="34">
      <c r="B27" s="41" t="inlineStr">
        <is>
          <t>Front-knee angle (FKA)</t>
        </is>
      </c>
      <c r="E27" s="41" t="inlineStr">
        <is>
          <t>Hip–knee–ankle angle of the front leg, side view. 180° = fully straight.</t>
        </is>
      </c>
    </row>
    <row r="28" ht="42.75" customHeight="1" s="34">
      <c r="B28" s="46" t="inlineStr">
        <is>
          <t>Rear-knee angle</t>
        </is>
      </c>
      <c r="E28" s="46" t="inlineStr">
        <is>
          <t>Rear hip–knee–ankle angle. With one camera, label it a projected angle and compare matched phases; natural knee flexion during the swing is not automatically collapse.</t>
        </is>
      </c>
    </row>
    <row r="29" ht="42.75" customHeight="1" s="34">
      <c r="B29" s="41" t="inlineStr">
        <is>
          <t>Rear-hip hinge / coil proxies</t>
        </is>
      </c>
      <c r="E29" s="41" t="inlineStr">
        <is>
          <t>Hinge review uses torso/thigh orientation and pelvis position; coil review uses changes in pelvis and torso orientation. These are visible-motion proxies, not direct measurements of anatomical hip rotation, muscle activation, or stored energy.</t>
        </is>
      </c>
    </row>
    <row r="30" ht="42.75" customHeight="1" s="34">
      <c r="B30" s="46" t="inlineStr">
        <is>
          <t>Rear-foot motion</t>
        </is>
      </c>
      <c r="E30" s="46" t="inlineStr">
        <is>
          <t>Heel/toe height, foot translation, and change in foot orientation relative to a calibrated floor and the hitter's starting position. Record these separately; a lifted heel does not by itself establish that the foot is unloaded.</t>
        </is>
      </c>
    </row>
    <row r="31" ht="42.75" customHeight="1" s="34">
      <c r="B31" s="41" t="inlineStr">
        <is>
          <t>Movement directions</t>
        </is>
      </c>
      <c r="E31" s="41" t="inlineStr">
        <is>
          <t>Distinguish pitcher–catcher travel from movement toward/away from the plate and from vertical motion. Establish these axes from the field and camera setup; “back” must not ambiguously mean both toward the catcher and behind the hitter's body.</t>
        </is>
      </c>
    </row>
    <row r="32" ht="42.75" customHeight="1" s="34">
      <c r="B32" s="46" t="inlineStr">
        <is>
          <t>Pelvis deceleration proxy</t>
        </is>
      </c>
      <c r="E32" s="46" t="inlineStr">
        <is>
          <t>Reduction in estimated forward hip-midpoint velocity after landing. This describes visible motion, not measured braking force, weight transfer, or energy transfer.</t>
        </is>
      </c>
    </row>
    <row r="33" ht="27.75" customHeight="1" s="34">
      <c r="B33" s="41" t="inlineStr">
        <is>
          <t>Head drift</t>
        </is>
      </c>
      <c r="E33" s="41" t="inlineStr">
        <is>
          <t>Movement of the nose landmark toward the pitcher from load to contact, normalized by body height.</t>
        </is>
      </c>
    </row>
    <row r="34" ht="42.75" customHeight="1" s="34">
      <c r="B34" s="46" t="inlineStr">
        <is>
          <t>Reference rep</t>
        </is>
      </c>
      <c r="E34" s="46" t="inlineStr">
        <is>
          <t>A coach-approved example from the same hitter, drill, bat, pitch/tee location, effort level, and camera setup. Compare matched repetitions before assigning a candidate mechanical label.</t>
        </is>
      </c>
    </row>
    <row r="35" ht="42.75" customHeight="1" s="34">
      <c r="B35" s="41" t="inlineStr">
        <is>
          <t>Torso-axis proxy</t>
        </is>
      </c>
      <c r="E35" s="41" t="inlineStr">
        <is>
          <t>Segment from hip midpoint to shoulder midpoint. Its projected tilt is a whole-torso estimate, not spinal curvature, lumbar angle, or a medical posture assessment.</t>
        </is>
      </c>
    </row>
    <row r="36" ht="42.75" customHeight="1" s="34">
      <c r="B36" s="46" t="inlineStr">
        <is>
          <t>Posture maintenance</t>
        </is>
      </c>
      <c r="E36" s="46" t="inlineStr">
        <is>
          <t>Working definition for this workbook: controlled torso/pelvis organization that accommodates the pitch and swing phase without a disruptive rise, dive, retreat, or recovery. It does not mean freezing the torso at the address angle.</t>
        </is>
      </c>
    </row>
    <row r="37" ht="42.75" customHeight="1" s="34">
      <c r="B37" s="41" t="inlineStr">
        <is>
          <t>Head-motion trace</t>
        </is>
      </c>
      <c r="E37" s="41" t="inlineStr">
        <is>
          <t>A tracked head center and orientation estimate, where visible, measured both relative to the field and to the moving torso. Nose displacement alone mixes head rotation with translation; neither measurement determines eye gaze.</t>
        </is>
      </c>
    </row>
    <row r="38" ht="42.75" customHeight="1" s="34">
      <c r="B38" s="46" t="inlineStr">
        <is>
          <t>Balance/control event</t>
        </is>
      </c>
      <c r="E38" s="46" t="inlineStr">
        <is>
          <t>Observable slip, wobble, unintended touchdown, recovery step, or inability to complete the chosen hold. Record planned foot movement and normal swing release separately; a pose-model pelvis midpoint is not measured center of mass or center of pressure.</t>
        </is>
      </c>
    </row>
    <row r="39" ht="42.75" customHeight="1" s="34">
      <c r="B39" s="41" t="inlineStr">
        <is>
          <t>Look / recognition response</t>
        </is>
      </c>
      <c r="E39" s="41" t="inlineStr">
        <is>
          <t>The hitter's reported color, symbol, or pitch-location judgment, scored against the actual task. A correct response is not proof of fixation at contact, and a head-pose model is not an eye tracker.</t>
        </is>
      </c>
    </row>
    <row r="40" ht="42.75" customHeight="1" s="34">
      <c r="B40" s="46" t="inlineStr">
        <is>
          <t>Medicine-ball release interval</t>
        </is>
      </c>
      <c r="E40" s="46" t="inlineStr">
        <is>
          <t>Frames bracketing the loss of hand–ball contact, confirmed by subsequent independent ball movement. It replaces bat impact as the throw's event anchor; a carry/place task uses placement and hand release rather than a throwing event.</t>
        </is>
      </c>
    </row>
    <row r="41" ht="42.75" customHeight="1" s="34">
      <c r="B41" s="41" t="inlineStr">
        <is>
          <t>Medicine-ball condition</t>
        </is>
      </c>
      <c r="E41" s="41" t="inlineStr">
        <is>
          <t>Drill ID, ball mass/type, throw direction, stance, target, distance, surface, effort instruction, and repetition count. Record mass from the labeled ball or a verified measurement, never infer it from video size or color.</t>
        </is>
      </c>
    </row>
    <row r="42" ht="42.75" customHeight="1" s="34">
      <c r="B42" s="46" t="inlineStr">
        <is>
          <t>Throw output versus hitting transfer</t>
        </is>
      </c>
      <c r="E42" s="46" t="inlineStr">
        <is>
          <t>Throw direction, apparent speed, landing/target result, and recovery are drill outcomes. They do not establish bat speed, exit velocity, ground force, muscle contribution, or improvement in normal swings.</t>
        </is>
      </c>
    </row>
    <row r="43" ht="13.5" customHeight="1" s="34"/>
    <row r="44" ht="9.75" customHeight="1" s="34"/>
    <row r="45" ht="42.75" customHeight="1" s="34">
      <c r="B45" s="48" t="inlineStr">
        <is>
          <t>Analysis status: These are proposed coaching and computer-vision specifications, not an implemented or validated analysis system. All 69 entries use phase-by-phase descriptions and athlete-specific comparisons instead of universal pass/fail angles. Drill instructions are adapted practice suggestions; the cited coaching references do not validate the AI rules.</t>
        </is>
      </c>
    </row>
    <row r="46" ht="42.75" customHeight="1" s="34">
      <c r="B46" s="48" t="inlineStr">
        <is>
          <t>Interpretation safeguards: Do not use cap-below-knob position, a pull-side ground ball, or wrist crossover alone to diagnose rollover. Two bat endpoints define the bat's axis but cannot determine rotation about that axis. Normal elbow lowering and normal barrel lag must not automatically be classified as flaws; review hand visibility, movement timing, pitch location, and multiple views before assigning a coaching label.</t>
        </is>
      </c>
    </row>
    <row r="47" ht="9.75" customHeight="1" s="34"/>
    <row r="48" ht="9.75" customHeight="1" s="34"/>
    <row r="49" ht="9.75" customHeight="1" s="34"/>
    <row r="50" ht="31.5" customHeight="1" s="34">
      <c r="B50" s="54" t="inlineStr">
        <is>
          <t>Top-Hand and Back-Arm Drills</t>
        </is>
      </c>
    </row>
    <row r="51" ht="9.75" customHeight="1" s="34"/>
    <row r="52" ht="42.75" customHeight="1" s="34">
      <c r="B52" s="36" t="inlineStr">
        <is>
          <t>The original twelve drills are retained below with expanded analysis descriptions. Instructions are adapted for controlled practice, and the final column describes a proposed review workflow rather than a validated automatic diagnosis.</t>
        </is>
      </c>
    </row>
    <row r="53" ht="9.75" customHeight="1" s="34"/>
    <row r="54" ht="30" customHeight="1" s="34">
      <c r="B54" s="55" t="inlineStr">
        <is>
          <t>Capture and interpretation</t>
        </is>
      </c>
    </row>
    <row r="55" ht="9.75" customHeight="1" s="34"/>
    <row r="56" ht="27.75" customHeight="1" s="34">
      <c r="B56" s="36" t="inlineStr">
        <is>
          <t>• Body roles: The top hand is the hand closer to the barrel in the normal grip, and the rear arm belongs to that hand. Confirm batting handedness and whether footage is mirrored before labeling either arm.</t>
        </is>
      </c>
    </row>
    <row r="57" ht="42.75" customHeight="1" s="34">
      <c r="B57" s="36" t="inlineStr">
        <is>
          <t>• Tracking inputs: Use full-body tracking for context, a separate bat/ball tracker, and a closer hand view where feasible. Hand-landmark models typically supply 21 hand landmarks and handedness estimates; horizontal mirroring can invert the handedness output.</t>
        </is>
      </c>
    </row>
    <row r="58" ht="42.75" customHeight="1" s="34">
      <c r="B58" s="36" t="inlineStr">
        <is>
          <t>• Hand visibility: Validate hand identification with a visible setup pose before the swing. Do not merge independently estimated hand and body world coordinates without alignment, or treat guessed landmarks behind a gripping hand as observed evidence.</t>
        </is>
      </c>
    </row>
    <row r="59" ht="42.75" customHeight="1" s="34">
      <c r="B59" s="36" t="inlineStr">
        <is>
          <t>• Comparison: Match the drill, bat, tee/toss location, effort, and camera setup to coach-approved reference reps. One-hand, split-grip, and pause drills intentionally change mechanics; compare their transfer to normal swings separately.</t>
        </is>
      </c>
    </row>
    <row r="60" ht="42.75" customHeight="1" s="34">
      <c r="B60" s="36" t="inlineStr">
        <is>
          <t>• Flagging rule: Require a repeatable multi-frame pattern and corroborating evidence before a coaching flag. Keep drill-compliance events, such as leaving the free-hand position or touching a soft obstacle, separate from mechanical interpretations.</t>
        </is>
      </c>
    </row>
    <row r="61" ht="42.75" customHeight="1" s="34">
      <c r="B61" s="36" t="inlineStr">
        <is>
          <t>• Safety: Use a manageable light bat for one-hand work and keep the free hand against the chest, outside the bat path. Rehearse slowly, protect tossers and cameras, use soft or virtual constraints, and never force a high-speed stop, elbow position, or wrist rotation.</t>
        </is>
      </c>
    </row>
    <row r="62" ht="9.75" customHeight="1" s="34"/>
    <row r="63" ht="30" customHeight="1" s="34">
      <c r="B63" s="55" t="inlineStr">
        <is>
          <t>Complete top-hand and back-arm drill table</t>
        </is>
      </c>
    </row>
    <row r="64" ht="9.75" customHeight="1" s="34"/>
    <row r="65" ht="9.75" customHeight="1" s="34"/>
    <row r="66" ht="9.75" customHeight="1" s="34"/>
    <row r="67" ht="9.75" customHeight="1" s="34"/>
    <row r="68" ht="31.5" customHeight="1" s="34">
      <c r="B68" s="54" t="inlineStr">
        <is>
          <t>Front-Leg Drills</t>
        </is>
      </c>
    </row>
    <row r="69" ht="9.75" customHeight="1" s="34"/>
    <row r="70" ht="42.75" customHeight="1" s="34">
      <c r="B70" s="36" t="inlineStr">
        <is>
          <t>Front-leg drills commonly emphasize receiving the stride and rotating against a firm front side; the walk-up drill exaggerates this transition. The table below supplies practice instructions and original AI-analysis proposals, not validated computer-vision rules.</t>
        </is>
      </c>
    </row>
    <row r="71" ht="9.75" customHeight="1" s="34"/>
    <row r="72" ht="30" customHeight="1" s="34">
      <c r="B72" s="55" t="inlineStr">
        <is>
          <t>Capture and interpretation</t>
        </is>
      </c>
    </row>
    <row r="73" ht="9.75" customHeight="1" s="34"/>
    <row r="74" ht="27.75" customHeight="1" s="34">
      <c r="B74" s="36" t="inlineStr">
        <is>
          <t>• Handedness: Identify the lead leg from the batting stance, not screen position. It is the left leg for a right-handed hitter and the right leg for a left-handed hitter.</t>
        </is>
      </c>
    </row>
    <row r="75" ht="42.75" customHeight="1" s="34">
      <c r="B75" s="36" t="inlineStr">
        <is>
          <t>• Camera setup: Use a fixed, full-body open-side view for forward travel and a protected pitcher-facing view for cross-checking alignment. Keep equipment outside the bat path and use a protective screen for any camera in the ball path.</t>
        </is>
      </c>
    </row>
    <row r="76" ht="42.75" customHeight="1" s="34">
      <c r="B76" s="36" t="inlineStr">
        <is>
          <t>• Pose input: A candidate is an off-the-shelf pose-landmark model that estimates 33 body landmarks and supports detection and tracking confidence thresholds. The proposed system below adds foot, bat, ball, and drill-equipment tracking as needed.</t>
        </is>
      </c>
    </row>
    <row r="77" ht="42.75" customHeight="1" s="34">
      <c r="B77" s="36" t="inlineStr">
        <is>
          <t>• Review protocol: Compare reps with coach-approved examples from the same hitter, drill, pitch location, and camera setup. Report observable movement first, a possible coaching interpretation second, and “not assessable” when a critical landmark is hidden or blurred.</t>
        </is>
      </c>
    </row>
    <row r="78" ht="42.75" customHeight="1" s="34">
      <c r="B78" s="36" t="inlineStr">
        <is>
          <t>• Limits: Do not treat pose estimates as direct measurements of ground force, weight distribution, joint loading, or muscle activation. Do not force a locked knee, prescribe a universal landing angle, or call normal forward movement and foot rotation faults merely because they occur.</t>
        </is>
      </c>
    </row>
    <row r="79" ht="42.75" customHeight="1" s="34">
      <c r="B79" s="36" t="inlineStr">
        <is>
          <t>• Safety: Begin with slow dry rehearsals and a comfortable range of motion. Use tape instead of hard foot barriers, a virtual guide instead of a rigid overhead bar, and a stable non-slip platform only under supervision; stop for pain or loss of control.</t>
        </is>
      </c>
    </row>
    <row r="80" ht="9.75" customHeight="1" s="34"/>
    <row r="81" ht="30" customHeight="1" s="34">
      <c r="B81" s="55" t="inlineStr">
        <is>
          <t>Complete front-leg drill table</t>
        </is>
      </c>
    </row>
    <row r="82" ht="9.75" customHeight="1" s="34"/>
    <row r="83" ht="27.75" customHeight="1" s="34">
      <c r="B83" s="36" t="inlineStr">
        <is>
          <t>The final column is the dedicated analysis description for each drill. Each entry states the camera and landmarks, phase to inspect, candidate flaw pattern, example feedback, and limits on interpretation.</t>
        </is>
      </c>
    </row>
    <row r="84" ht="9.75" customHeight="1" s="34"/>
    <row r="85" ht="9.75" customHeight="1" s="34"/>
    <row r="86" ht="9.75" customHeight="1" s="34"/>
    <row r="87" ht="9.75" customHeight="1" s="34"/>
    <row r="88" ht="31.5" customHeight="1" s="34">
      <c r="B88" s="54" t="inlineStr">
        <is>
          <t>Back / Rear-Leg Drills</t>
        </is>
      </c>
    </row>
    <row r="89" ht="9.75" customHeight="1" s="34"/>
    <row r="90" ht="57.75" customHeight="1" s="34">
      <c r="B90" s="36" t="inlineStr">
        <is>
          <t>The rear-leg section covers loading, balance, the forward move, rotation, and rear-foot control rather than treating the rear leg as a single isolated action. Back-hip loading, stride control, and maintaining the load are common purposes of step-back and crossed-leg drills, and rear-leg balance, lower-body coil, and full-turn drills are common parts of a hitting drill progression.</t>
        </is>
      </c>
    </row>
    <row r="91" ht="9.75" customHeight="1" s="34"/>
    <row r="92" ht="42.75" customHeight="1" s="34">
      <c r="B92" s="36" t="inlineStr">
        <is>
          <t>All names, rep suggestions, safety adaptations, and AI descriptions below are proposals for this workbook. They describe common drill and coaching concepts, not validated detection logic; no promise of increased power or injury prevention is implied.</t>
        </is>
      </c>
    </row>
    <row r="93" ht="9.75" customHeight="1" s="34"/>
    <row r="94" ht="30" customHeight="1" s="34">
      <c r="B94" s="55" t="inlineStr">
        <is>
          <t>Capture and interpretation</t>
        </is>
      </c>
    </row>
    <row r="95" ht="9.75" customHeight="1" s="34"/>
    <row r="96" ht="27.75" customHeight="1" s="34">
      <c r="B96" s="36" t="inlineStr">
        <is>
          <t>• Body roles: Rear leg means the right leg for a right-handed hitter and the left leg for a left-handed hitter. Distinguish the rear-leg balance start in drill 26 from the front-leg post finish in drill 16.</t>
        </is>
      </c>
    </row>
    <row r="97" ht="42.75" customHeight="1" s="34">
      <c r="B97" s="36" t="inlineStr">
        <is>
          <t>• Views: Use a fixed open-side camera for pitcher–catcher travel and knee-angle traces, plus a protected pitcher-facing or oblique camera for cross-checking movement toward the plate and apparent knee/foot alignment. Keep the whole body, both feet, bat arc, and ball or medicine-ball release in frame as appropriate.</t>
        </is>
      </c>
    </row>
    <row r="98" ht="42.75" customHeight="1" s="34">
      <c r="B98" s="36" t="inlineStr">
        <is>
          <t>• Tracked features: Track both hips, knees, ankles, heels, toes, shoulders, head, and the relevant bat/ball or equipment. Where the pose model does not locate the shoe outline reliably, add a foot detector or manual annotation rather than pretending ankle and toe points reveal the entire sole.</t>
        </is>
      </c>
    </row>
    <row r="99" ht="42.75" customHeight="1" s="34">
      <c r="B99" s="36" t="inlineStr">
        <is>
          <t>• Calibration: Mark the floor and hitter's starting foot positions; establish scale, field directions, and camera synchronization before comparing distances or event timing. Normalize projected displacements consistently and avoid interpreting camera-depth movement as genuine changes in body size or limb length.</t>
        </is>
      </c>
    </row>
    <row r="100" ht="42.75" customHeight="1" s="34">
      <c r="B100" s="36" t="inlineStr">
        <is>
          <t>• Coaching flags: Review combinations such as rear-knee folding plus pelvis descent and a recovery step, or early straightening plus a body rise and disrupted delivery. Natural knee flexion, inward knee travel, heel lift, foot pivot, and forward body travel are observations, not automatic flaws.</t>
        </is>
      </c>
    </row>
    <row r="101" ht="42.75" customHeight="1" s="34">
      <c r="B101" s="36" t="inlineStr">
        <is>
          <t>• Unobservable variables: Do not infer percentage of weight on either leg, pressure on a foot edge, center of pressure, glute activation, torque, or ground-reaction force from body pose alone. Such claims would require additional appropriate measurements and validation; projected hip/knee angles also cannot diagnose joint instability or injury.</t>
        </is>
      </c>
    </row>
    <row r="102" ht="42.75" customHeight="1" s="34">
      <c r="B102" s="36" t="inlineStr">
        <is>
          <t>• Hand and bat links: If bat drag, elbow dropping, or rollover occurs during a rear-leg drill, analyze it using the upper-body rules independently. A simultaneous rear-leg pattern does not prove it caused the hand or bat fault.</t>
        </is>
      </c>
    </row>
    <row r="103" ht="42.75" customHeight="1" s="34">
      <c r="B103" s="36" t="inlineStr">
        <is>
          <t>• Safe progression: Start on flat, non-slip ground at controlled effort. Do not immobilize the rear foot, force the knee inward, insist on keeping the heel down, exaggerate hip twisting, or use rigid obstacles in the swing or foot path; stop for pain, slipping, or repeated loss of balance.</t>
        </is>
      </c>
    </row>
    <row r="104" ht="42.75" customHeight="1" s="34">
      <c r="B104" s="36" t="inlineStr">
        <is>
          <t>• Selection: This is a drill library, not a single workout. Start with one rehearsal and one transfer drill suited to the observed problem, then compare normal swings; the kneeling-rise option is advanced and optional, and medicine-ball work requires suitable equipment and supervision.</t>
        </is>
      </c>
    </row>
    <row r="105" ht="9.75" customHeight="1" s="34"/>
    <row r="106" ht="30" customHeight="1" s="34">
      <c r="B106" s="55" t="inlineStr">
        <is>
          <t>Complete back / rear-leg drill table</t>
        </is>
      </c>
    </row>
    <row r="107" ht="9.75" customHeight="1" s="34"/>
    <row r="108" ht="42.75" customHeight="1" s="34">
      <c r="B108" s="36" t="inlineStr">
        <is>
          <t>The final column supplies the same detailed analysis structure as the first 21 drills. Each row includes the camera and landmarks, review phase, candidate flaw evidence, example feedback, and conditions that limit or prevent a reliable conclusion.</t>
        </is>
      </c>
    </row>
    <row r="109" ht="9.75" customHeight="1" s="34"/>
    <row r="110" ht="9.75" customHeight="1" s="34"/>
    <row r="111" ht="30" customHeight="1" s="34">
      <c r="B111" s="55" t="inlineStr">
        <is>
          <t>Rear-leg drill selection and transfer</t>
        </is>
      </c>
    </row>
    <row r="112" ht="9.75" customHeight="1" s="34"/>
    <row r="113" ht="42.75" customHeight="1" s="34">
      <c r="B113" s="36" t="inlineStr">
        <is>
          <t>Use the following as a suggested selection guide rather than a prescription to complete every drill. For each chosen drill, compare a few controlled repetitions with normal swings at the same tee or pitch location and report drill compliance separately from transfer.</t>
        </is>
      </c>
    </row>
    <row r="114" ht="9.75" customHeight="1" s="34"/>
    <row r="115" ht="27.75" customHeight="1" s="34">
      <c r="B115" s="36" t="inlineStr">
        <is>
          <t>• Loading awareness: Start with Rear-Hip Hinge Pause (22) or Coil-and-Freeze Stride (23), then Step-Back Tee Swings (24). Look for a more repeatable load and transition, not a larger coil or deeper squat.</t>
        </is>
      </c>
    </row>
    <row r="116" ht="27.75" customHeight="1" s="34">
      <c r="B116" s="36" t="inlineStr">
        <is>
          <t>• Balance and control: Use Rear-Leg Balance Start (26), then Crossed-Leg Load and Stride (27) if appropriate. Kneeling Rear-Leg Rise (32) is optional advanced work, not the entry point.</t>
        </is>
      </c>
    </row>
    <row r="117" ht="27.75" customHeight="1" s="34">
      <c r="B117" s="36" t="inlineStr">
        <is>
          <t>• Rear-knee/foot coordination: Use No-Bat Lower-Half Turns (29) with Rear-Foot Tape Outline (31). Review slipping, wobble, and recovery instead of prescribing an exact rear-knee path or heel height.</t>
        </is>
      </c>
    </row>
    <row r="118" ht="42.75" customHeight="1" s="34">
      <c r="B118" s="36" t="inlineStr">
        <is>
          <t>• Rhythm and integration: Use Wide-Stance Rocker Swings (25) or Shuffle-Step Swings (33), with Offset Open-Stance Swings (28) for a no-stride posture comparison. Rotational Medicine-Ball Throw (30) is a supplemental throwing task, not proof of improved hitting mechanics.</t>
        </is>
      </c>
    </row>
    <row r="119" ht="42.75" customHeight="1" s="34">
      <c r="B119" s="36" t="inlineStr">
        <is>
          <t>• Upper-body cross-check: If a rear-leg drill changes elbow position, hand orientation, or barrel delivery, retain separate upper-body labels and compare matched normal swings. Do not claim that fixing the rear leg automatically fixes bat drag, elbow dropping, or rollover.</t>
        </is>
      </c>
    </row>
    <row r="120" ht="9.75" customHeight="1" s="34"/>
    <row r="121" ht="9.75" customHeight="1" s="34"/>
    <row r="122" ht="9.75" customHeight="1" s="34"/>
    <row r="123" ht="31.5" customHeight="1" s="34">
      <c r="B123" s="54" t="inlineStr">
        <is>
          <t>Holding Posture / Posture-Maintenance Drills</t>
        </is>
      </c>
    </row>
    <row r="124" ht="9.75" customHeight="1" s="34"/>
    <row r="125" ht="42.75" customHeight="1" s="34">
      <c r="B125" s="36" t="inlineStr">
        <is>
          <t>Here, “holding posture” means controlling the transition through the swing, not maintaining an identical torso angle or perfectly level shoulders. Torso bend changes from forward bend toward side bend and adjusts to pitch height, so the library includes high, middle, and low pitch work.</t>
        </is>
      </c>
    </row>
    <row r="126" ht="9.75" customHeight="1" s="34"/>
    <row r="127" ht="42.75" customHeight="1" s="34">
      <c r="B127" s="36" t="inlineStr">
        <is>
          <t>The following entries include new practice tasks and posture-focused versions of familiar drills; overlap with #17, #20, #22, and #28 is intentional and identified rather than presented as entirely new mechanics. Instructions, doses, safer equipment substitutions, and AI rules are this workbook's adaptations, not validated treatment or performance prescriptions.</t>
        </is>
      </c>
    </row>
    <row r="128" ht="9.75" customHeight="1" s="34"/>
    <row r="129" ht="30" customHeight="1" s="34">
      <c r="B129" s="55" t="inlineStr">
        <is>
          <t>Capture, interpretation, and safety</t>
        </is>
      </c>
    </row>
    <row r="130" ht="9.75" customHeight="1" s="34"/>
    <row r="131" ht="42.75" customHeight="1" s="34">
      <c r="B131" s="36" t="inlineStr">
        <is>
          <t>• Views and directions: Use a fixed open-side view plus a protected front/oblique view to distinguish rising, pitcherward travel, and movement toward or away from the plate. A change in one projected line during rotation is not enough to establish a posture loss.</t>
        </is>
      </c>
    </row>
    <row r="132" ht="42.75" customHeight="1" s="34">
      <c r="B132" s="36" t="inlineStr">
        <is>
          <t>• Landmarks: Track both shoulders, hips, knees, ankles, head, feet, and the bat/ball or rehearsal implement. Estimate a torso axis from shoulder/hip midpoints; do not claim that these landmarks reveal vertebral alignment or lumbar extension.</t>
        </is>
      </c>
    </row>
    <row r="133" ht="42.75" customHeight="1" s="34">
      <c r="B133" s="36" t="inlineStr">
        <is>
          <t>• Matched references: Compare the same tee/pitch height and depth, stance, implement, and swing phase. A lower pitch may call for different body organization than a higher pitch; never require one fixed spine or shoulder angle for every location.</t>
        </is>
      </c>
    </row>
    <row r="134" ht="42.75" customHeight="1" s="34">
      <c r="B134" s="36" t="inlineStr">
        <is>
          <t>• Review standard: Flag a repeated posture change only when corroborated by a late delivery correction, loss of support, or a meaningful deviation from coach-approved matched reps. Ball flight supports outcome review but does not diagnose the cause.</t>
        </is>
      </c>
    </row>
    <row r="135" ht="27.75" customHeight="1" s="34">
      <c r="B135" s="36" t="inlineStr">
        <is>
          <t>• Head and torso: Review head movement separately from torso tilt. Normal torso rotation, shoulder tilt, and post-contact rising are not automatically faults; avoid a fixed head box that rewards neck stiffness.</t>
        </is>
      </c>
    </row>
    <row r="136" ht="42.75" customHeight="1" s="34">
      <c r="B136" s="36" t="inlineStr">
        <is>
          <t>• Equipment: Prefer folded arms or a short lightweight foam rod for slow rehearsals. Keep the implement away from the neck, clear its entire turning arc, never strike a ball with a long PVC pole in this adaptation, and use no rigid head restraint, unstable board, or forced end-range twist.</t>
        </is>
      </c>
    </row>
    <row r="137" ht="9.75" customHeight="1" s="34"/>
    <row r="138" ht="30" customHeight="1" s="34">
      <c r="B138" s="55" t="inlineStr">
        <is>
          <t>Complete posture drill table</t>
        </is>
      </c>
    </row>
    <row r="139" ht="9.75" customHeight="1" s="34"/>
    <row r="140" ht="9.75" customHeight="1" s="34"/>
    <row r="141" ht="30" customHeight="1" s="34">
      <c r="B141" s="55" t="inlineStr">
        <is>
          <t>Posture drill selection</t>
        </is>
      </c>
    </row>
    <row r="142" ht="9.75" customHeight="1" s="34"/>
    <row r="143" ht="27.75" customHeight="1" s="34">
      <c r="B143" s="36" t="inlineStr">
        <is>
          <t>• Set the position: Start with #34 and #35, then test #37. Use small, comfortable adjustments rather than a rigid spine angle.</t>
        </is>
      </c>
    </row>
    <row r="144" ht="27.75" customHeight="1" s="34">
      <c r="B144" s="36" t="inlineStr">
        <is>
          <t>• Adjust to location: Use #38 and #39 before #40; add #41 only at a reachable tee location.</t>
        </is>
      </c>
    </row>
    <row r="145" ht="27.75" customHeight="1" s="34">
      <c r="B145" s="36" t="inlineStr">
        <is>
          <t>• Use constraints selectively: #36, #42, #43, and #44 are optional comparisons, not required milestones. Remove a constraint if it encourages a cramped swing or neck stiffness.</t>
        </is>
      </c>
    </row>
    <row r="146" ht="27.75" customHeight="1" s="34">
      <c r="B146" s="36" t="inlineStr">
        <is>
          <t>• Check transfer: Use #45 after predictable reps are controlled. Score contact outcome separately from movement, and retain the upper-body rules for any simultaneous bat drag, elbow drop, or rollover.</t>
        </is>
      </c>
    </row>
    <row r="147" ht="9.75" customHeight="1" s="34"/>
    <row r="148" ht="9.75" customHeight="1" s="34"/>
    <row r="149" ht="9.75" customHeight="1" s="34"/>
    <row r="150" ht="31.5" customHeight="1" s="34">
      <c r="B150" s="54" t="inlineStr">
        <is>
          <t>Balance and Head-Control Drills</t>
        </is>
      </c>
    </row>
    <row r="151" ht="9.75" customHeight="1" s="34"/>
    <row r="152" ht="42.75" customHeight="1" s="34">
      <c r="B152" s="36" t="inlineStr">
        <is>
          <t>“Keep the head still” is interpreted here as avoiding disruptive, poorly controlled movement, not preventing all head translation or rotation. Hold-the-finish and no-swing tracking are established coaching task families, but neither a stable finish nor visible head orientation proves where the eyes were looking.</t>
        </is>
      </c>
    </row>
    <row r="153" ht="9.75" customHeight="1" s="34"/>
    <row r="154" ht="42.75" customHeight="1" s="34">
      <c r="B154" s="36" t="inlineStr">
        <is>
          <t>These entries mix balance rehearsals, head-awareness tasks, and recognition/decision practice. They are not interchangeable tests: some measure drill compliance, some reveal visible recovery movements, and others provide reported perception outcomes; the AI must keep those outputs separate.</t>
        </is>
      </c>
    </row>
    <row r="155" ht="9.75" customHeight="1" s="34"/>
    <row r="156" ht="30" customHeight="1" s="34">
      <c r="B156" s="55" t="inlineStr">
        <is>
          <t>Capture, interpretation, and safety</t>
        </is>
      </c>
    </row>
    <row r="157" ht="9.75" customHeight="1" s="34"/>
    <row r="158" ht="27.75" customHeight="1" s="34">
      <c r="B158" s="36" t="inlineStr">
        <is>
          <t>• Separate three questions: Was the body movement controlled? What did the head visibly do? What did the hitter report or decide? Do not turn an answer to one into proof of the other two.</t>
        </is>
      </c>
    </row>
    <row r="159" ht="42.75" customHeight="1" s="34">
      <c r="B159" s="36" t="inlineStr">
        <is>
          <t>• Head tracking: Use multiple visible face/head points or a validated head-pose estimate, cross-checked against the torso and field. Report translation and orientation separately; a nose moving during normal head rotation is not necessarily a head lunge.</t>
        </is>
      </c>
    </row>
    <row r="160" ht="42.75" customHeight="1" s="34">
      <c r="B160" s="36" t="inlineStr">
        <is>
          <t>• Eye tracking: Ordinary body pose does not establish gaze, fixation, visual acuity, or whether the hitter saw bat–ball contact. If face detail is unavailable, report head orientation uncertain rather than guessing from the helmet.</t>
        </is>
      </c>
    </row>
    <row r="161" ht="42.75" customHeight="1" s="34">
      <c r="B161" s="36" t="inlineStr">
        <is>
          <t>• Balance: Review slips, unintended touchdowns, recovery steps, and hold duration. Allow planned stride, pivot, rear-foot release, and natural post-contact movement; the appearance of a stacked pose does not measure weight distribution.</t>
        </is>
      </c>
    </row>
    <row r="162" ht="42.75" customHeight="1" s="34">
      <c r="B162" s="36" t="inlineStr">
        <is>
          <t>• Timing: Label load, landing, contact, deceleration, and post-swing hold separately. Do not penalize a normal stride movement using a post-contact reference, or claim a posed finish proves the pre-contact swing was controlled.</t>
        </is>
      </c>
    </row>
    <row r="163" ht="42.75" customHeight="1" s="34">
      <c r="B163" s="36" t="inlineStr">
        <is>
          <t>• Safety: Keep eyes open and do not use blindfolded swings, unstable boards, objects balanced on the head, shirt biting, rigid head barriers, or a coach's hand near the bat path. Use a helmet for moving-ball work, appropriate protective screens, a comfortable neck position, and a clear swing area.</t>
        </is>
      </c>
    </row>
    <row r="164" ht="42.75" customHeight="1" s="34">
      <c r="B164" s="36" t="inlineStr">
        <is>
          <t>• Dose: The suggested repetitions below are starting proposals, not mandatory workloads. Recognition takes count as task reps but are not swings; stop or simplify if attention, balance, comfort, or bat control deteriorates.</t>
        </is>
      </c>
    </row>
    <row r="165" ht="9.75" customHeight="1" s="34"/>
    <row r="166" ht="30" customHeight="1" s="34">
      <c r="B166" s="55" t="inlineStr">
        <is>
          <t>Complete balance and head-control drill table</t>
        </is>
      </c>
    </row>
    <row r="167" ht="9.75" customHeight="1" s="34"/>
    <row r="168" ht="9.75" customHeight="1" s="34"/>
    <row r="169" ht="30" customHeight="1" s="34">
      <c r="B169" s="55" t="inlineStr">
        <is>
          <t>Balance and head-control selection</t>
        </is>
      </c>
    </row>
    <row r="170" ht="9.75" customHeight="1" s="34"/>
    <row r="171" ht="27.75" customHeight="1" s="34">
      <c r="B171" s="36" t="inlineStr">
        <is>
          <t>• Find the phase: Use #46 or #54 when the point of control loss is unclear.</t>
        </is>
      </c>
    </row>
    <row r="172" ht="27.75" customHeight="1" s="34">
      <c r="B172" s="36" t="inlineStr">
        <is>
          <t>• Control the stride: Use #47 or #48 before the more challenging #49; #26 remains a simpler rear-leg balance option.</t>
        </is>
      </c>
    </row>
    <row r="173" ht="27.75" customHeight="1" s="34">
      <c r="B173" s="36" t="inlineStr">
        <is>
          <t>• Decelerate comfortably: Use #50 and optionally #51, without treating a posed finish as proof of sound pre-contact mechanics.</t>
        </is>
      </c>
    </row>
    <row r="174" ht="27.75" customHeight="1" s="34">
      <c r="B174" s="36" t="inlineStr">
        <is>
          <t>• Add attention tasks carefully: Use #52 or #53 only if they do not cause neck stiffness, diving, or awkward delay.</t>
        </is>
      </c>
    </row>
    <row r="175" ht="27.75" customHeight="1" s="34">
      <c r="B175" s="36" t="inlineStr">
        <is>
          <t>• Separate tracking from hitting: Progress from #55 to #56 if useful, then #57. These tasks are not substitutes for appropriate vision or medical assessment when concerns exist.</t>
        </is>
      </c>
    </row>
    <row r="176" ht="9.75" customHeight="1" s="34"/>
    <row r="177" ht="9.75" customHeight="1" s="34"/>
    <row r="178" ht="9.75" customHeight="1" s="34"/>
    <row r="179" ht="31.5" customHeight="1" s="34">
      <c r="B179" s="54" t="inlineStr">
        <is>
          <t>Medicine-Ball Drills</t>
        </is>
      </c>
    </row>
    <row r="180" ht="9.75" customHeight="1" s="34"/>
    <row r="181" ht="57.75" customHeight="1" s="34">
      <c r="B181" s="36" t="inlineStr">
        <is>
          <t>Medicine-ball practice can include rotational scoop throws, rotational pushes, kneeling variations, and movement-based tasks; these are common medicine-ball training families. The existing #30 Rotational Medicine-Ball Throw provides the basic standing-throw reference; the following 12 entries are additional variations and supplemental tasks, not a claim that each is a unique or necessary hitting mechanic.</t>
        </is>
      </c>
    </row>
    <row r="182" ht="9.75" customHeight="1" s="34"/>
    <row r="183" ht="42.75" customHeight="1" s="34">
      <c r="B183" s="36" t="inlineStr">
        <is>
          <t>The drill names, pauses, footwork adaptations, rep suggestions, and AI logic are this workbook's proposals. Medicine-ball control is evaluated in its own task, and any effect on a hitter's normal swing must be tested separately rather than assumed from throw distance or an impressive release.</t>
        </is>
      </c>
    </row>
    <row r="184" ht="9.75" customHeight="1" s="34"/>
    <row r="185" ht="30" customHeight="1" s="34">
      <c r="B185" s="55" t="inlineStr">
        <is>
          <t>Load, equipment, and supervision</t>
        </is>
      </c>
    </row>
    <row r="186" ht="9.75" customHeight="1" s="34"/>
    <row r="187" ht="42.75" customHeight="1" s="34">
      <c r="B187" s="36" t="inlineStr">
        <is>
          <t>• No universal weight: Age, training history, strength, injuries, and facility limits are unspecified. Have a qualified coach choose a ball the hitter can control through the entire task without pain, forced posture, or a grinding release; begin with a lighter implement or no-ball rehearsal if uncertain, and record the actual mass.</t>
        </is>
      </c>
    </row>
    <row r="188" ht="42.75" customHeight="1" s="34">
      <c r="B188" s="36" t="inlineStr">
        <is>
          <t>• Known loading: Use a clearly identified ball and keep it consistent within a comparison. Do not surprise the athlete with an unknown weight, copy an adult prescription, or increase mass simply because a throw looks easy on camera.</t>
        </is>
      </c>
    </row>
    <row r="189" ht="42.75" customHeight="1" s="34">
      <c r="B189" s="36" t="inlineStr">
        <is>
          <t>• Safe target: Use a purpose-built, facility-approved throwing wall or clear designated landing area suited to the ball. A normal batting net, household wall, or rebounder is not assumed suitable for medicine-ball impact.</t>
        </is>
      </c>
    </row>
    <row r="190" ht="42.75" customHeight="1" s="34">
      <c r="B190" s="36" t="inlineStr">
        <is>
          <t>• Reset rather than rebound: The adaptations below use discrete throws with full resets. Let the ball stop before retrieving it; no rapid rebound catches, live partner catches, rope-ball swings, or throws with bystanders in the throw/rebound lane.</t>
        </is>
      </c>
    </row>
    <row r="191" ht="27.75" customHeight="1" s="34">
      <c r="B191" s="36" t="inlineStr">
        <is>
          <t>• Ball type matters: Use a ball rated for the task. Floor slams require a suitable low/no-bounce slam ball and impact-rated floor; do not substitute a highly rebounding ball or stand over the expected bounce.</t>
        </is>
      </c>
    </row>
    <row r="192" ht="27.75" customHeight="1" s="34">
      <c r="B192" s="36" t="inlineStr">
        <is>
          <t>• Comfortable movement: Allow natural foot pivot, hip turn, and head movement. Do not pin the foot, force maximal trunk separation, jam the lead knee straight, or throw from painful end ranges.</t>
        </is>
      </c>
    </row>
    <row r="193" ht="42.75" customHeight="1" s="34">
      <c r="B193" s="36" t="inlineStr">
        <is>
          <t>• Kneeling options: Use a firm pad, comfortable knee/hip positions, and sufficient clearance; avoid kneeling tasks when uncomfortable. Kneeling is an optional task change, not automatically easier, safer, or a complete isolation of the trunk.</t>
        </is>
      </c>
    </row>
    <row r="194" ht="42.75" customHeight="1" s="34">
      <c r="B194" s="36" t="inlineStr">
        <is>
          <t>• Dose and rest: For initial supervised exposure, the table suggests short sets of roughly 4–6 total reps, not per side, with a full reset and sufficient rest for another controlled rep. In the practice-plan M block, use exactly four task reps total, normally two in each comfortable direction; do not secretly double the block for bilateral work.</t>
        </is>
      </c>
    </row>
    <row r="195" ht="42.75" customHeight="1" s="34">
      <c r="B195" s="36" t="inlineStr">
        <is>
          <t>• Intensity and workload: These are introductory skill exposures, not a complete strength/power program. Start with controlled rehearsals; greater intent or separate conditioning volume requires individual programming and must account for other throwing, hitting, games, and training.</t>
        </is>
      </c>
    </row>
    <row r="196" ht="9.75" customHeight="1" s="34"/>
    <row r="197" ht="30" customHeight="1" s="34">
      <c r="B197" s="55" t="inlineStr">
        <is>
          <t>Capture and analysis</t>
        </is>
      </c>
    </row>
    <row r="198" ht="9.75" customHeight="1" s="34"/>
    <row r="199" ht="42.75" customHeight="1" s="34">
      <c r="B199" s="36" t="inlineStr">
        <is>
          <t>• Views: Use fixed full-body side/oblique views showing both feet, the target region, and the ball through release. Keep cameras and operators outside the ball and rebound lanes; add a synchronized second view to cross-check depth ambiguity.</t>
        </is>
      </c>
    </row>
    <row r="200" ht="42.75" customHeight="1" s="34">
      <c r="B200" s="36" t="inlineStr">
        <is>
          <t>• Landmarks: Track hips, shoulders, elbows, wrists/hands, knees, ankles, heels/toes, head, ball center, target, and relevant pad/platform. Detect the larger medicine ball explicitly rather than assuming a small-baseball detector will generalize.</t>
        </is>
      </c>
    </row>
    <row r="201" ht="42.75" customHeight="1" s="34">
      <c r="B201" s="36" t="inlineStr">
        <is>
          <t>• Event timing: Label setup, gather, foot contacts where applicable, turn, release, recovery, and safe reset. There is no bat-contact frame, and a carry/place drill has no ballistic release unless the athlete mistakenly drops or throws the ball.</t>
        </is>
      </c>
    </row>
    <row r="202" ht="42.75" customHeight="1" s="34">
      <c r="B202" s="36" t="inlineStr">
        <is>
          <t>• Interpretation: Review combinations such as a slip plus recovery, a sudden rise plus altered delivery, or a mistimed step plus an awkward release. Do not diagnose bad sequencing from one still image or demand a single hips–torso–hands timing order for all variations.</t>
        </is>
      </c>
    </row>
    <row r="203" ht="42.75" customHeight="1" s="34">
      <c r="B203" s="36" t="inlineStr">
        <is>
          <t>• Measurement limits: Ordinary video cannot directly measure force, torque, joint loading, muscle activation, foot pressure, or energy transfer. Release velocity requires appropriate calibration and usable tracking; a single uncalibrated view supports neither full 3D speed nor a credible “power score.”</t>
        </is>
      </c>
    </row>
    <row r="204" ht="42.75" customHeight="1" s="34">
      <c r="B204" s="36" t="inlineStr">
        <is>
          <t>• Hitting linkage: After a chosen drill, use matched normal two-hand swings to review rear-leg, front-leg, posture, head-control, and arm observations separately. A medicine-ball push is not top-hand bat mechanics, and a throw cannot establish bat drag, elbow dropping, or rollover without analyzing an actual swing.</t>
        </is>
      </c>
    </row>
    <row r="205" ht="9.75" customHeight="1" s="34"/>
    <row r="206" ht="30" customHeight="1" s="34">
      <c r="B206" s="55" t="inlineStr">
        <is>
          <t>Complete medicine-ball drill table</t>
        </is>
      </c>
    </row>
    <row r="207" ht="9.75" customHeight="1" s="34"/>
    <row r="208" ht="9.75" customHeight="1" s="34"/>
    <row r="209" ht="30" customHeight="1" s="34">
      <c r="B209" s="55" t="inlineStr">
        <is>
          <t>Medicine-ball selection and progression</t>
        </is>
      </c>
    </row>
    <row r="210" ht="9.75" customHeight="1" s="34"/>
    <row r="211" ht="27.75" customHeight="1" s="34">
      <c r="B211" s="36" t="inlineStr">
        <is>
          <t>• Entry point: Begin with #30 or #58 after a comfortable no-ball rehearsal. Use #59 to explore a pre-set base without adding approach speed.</t>
        </is>
      </c>
    </row>
    <row r="212" ht="27.75" customHeight="1" s="34">
      <c r="B212" s="36" t="inlineStr">
        <is>
          <t>• Push versus scoop: #66 introduces a different release task. Do not score its deliberate push using the bat-swing early-extension rule or require it to resemble the scoop.</t>
        </is>
      </c>
    </row>
    <row r="213" ht="27.75" customHeight="1" s="34">
      <c r="B213" s="36" t="inlineStr">
        <is>
          <t>• Added movement: Progress only as appropriate from #60 or #61 to #62. #63 is an optional advanced cross-step variation, not a required milestone.</t>
        </is>
      </c>
    </row>
    <row r="214" ht="27.75" customHeight="1" s="34">
      <c r="B214" s="36" t="inlineStr">
        <is>
          <t>• Optional kneeling: #64, #65, and #67 are alternatives for a suitable athlete and setup, not mandatory regressions or rehabilitation exercises.</t>
        </is>
      </c>
    </row>
    <row r="215" ht="27.75" customHeight="1" s="34">
      <c r="B215" s="36" t="inlineStr">
        <is>
          <t>• General athletic tasks: #68 and #69 are supplemental options; do not sell them as direct cures for bat drag, rollover, or head movement.</t>
        </is>
      </c>
    </row>
    <row r="216" ht="42.75" customHeight="1" s="34">
      <c r="B216" s="36" t="inlineStr">
        <is>
          <t>• Normal-swing transfer: Pair one selected medicine-ball task with matched regular two-hand swings. Retain separate notes for throw control, ball outcome, and actual swing changes rather than treating a better throw as automatic hitting improvement.</t>
        </is>
      </c>
    </row>
    <row r="217" ht="9.75" customHeight="1" s="34"/>
    <row r="218" ht="9.75" customHeight="1" s="34"/>
    <row r="219" ht="9.75" customHeight="1" s="34"/>
    <row r="220" ht="31.5" customHeight="1" s="34">
      <c r="B220" s="54" t="inlineStr">
        <is>
          <t>Analysis Output Required for Every Drill</t>
        </is>
      </c>
    </row>
    <row r="221" ht="9.75" customHeight="1" s="34"/>
    <row r="222" ht="27.75" customHeight="1" s="34">
      <c r="B222" s="36" t="inlineStr">
        <is>
          <t>Each drill's AI column is intended to produce an interpretable report, not just a score. Apply the following proposed output fields to all 69 entries so the hitter and coach can review the evidence.</t>
        </is>
      </c>
    </row>
    <row r="223" ht="9.75" customHeight="1" s="34"/>
    <row r="224" ht="27.75" customHeight="1" s="34">
      <c r="B224" s="36" t="inlineStr">
        <is>
          <t>• Observed movement: State what visibly happened, such as “pelvis continued moving toward the pitcher after lead-foot contact.”</t>
        </is>
      </c>
    </row>
    <row r="225" ht="42.75" customHeight="1" s="34">
      <c r="B225" s="36" t="inlineStr">
        <is>
          <t>• Review window: Show the load, rear-foot gather, landing, swing-start, and contact frames where applicable; report a contact interval if the exact impact frame is uncertain. In no-contact drills, use the hold, turn, rise, or medicine-ball release event rather than inventing a contact timestamp.</t>
        </is>
      </c>
    </row>
    <row r="226" ht="57.75" customHeight="1" s="34">
      <c r="B226" s="36" t="inlineStr">
        <is>
          <t>• Measurements: For upper-body drills, include elbow–grip trajectories, hand-to-torso displacement, elbow-angle traces, bat path, and hand-orientation/release intervals when visible. For front-leg drills, include knee-angle traces, normalized pelvis displacement, foot motion, and hold duration; for rear-leg drills, add rear-knee angle, hinge/coil proxies, rear-foot translation/rotation/heel height, and gather-to-stride timing. Label image-plane estimates as such and never report inferred foot pressure or muscle force as a video measurement.</t>
        </is>
      </c>
    </row>
    <row r="227" ht="42.75" customHeight="1" s="34">
      <c r="B227" s="36" t="inlineStr">
        <is>
          <t>• Interpretation and confidence: Use labels such as “candidate bat-drag pattern,” “possible pre-contact turnover,” “rear-load control issue,” or “landing instability for review,” with tracking quality and alternate explanations. Withhold the label if landmarks are hidden, camera motion is unresolved, or the pattern is not repeatable.</t>
        </is>
      </c>
    </row>
    <row r="228" ht="27.75" customHeight="1" s="34">
      <c r="B228" s="36" t="inlineStr">
        <is>
          <t>• Corrective feedback: Give one drill-specific cue and a replay with the affected landmarks highlighted. Report “not assessable” instead of turning uncertain tracking into a failure.</t>
        </is>
      </c>
    </row>
    <row r="229" ht="42.75" customHeight="1" s="34">
      <c r="B229" s="36" t="inlineStr">
        <is>
          <t>• Posture and head fields: Add torso-axis/translation estimates, head center and orientation with confidence, actual pitch height/depth, planned foot events, and unplanned recovery events. Do not output vertebral angle, gaze fixation, or weight distribution as if measured by body pose.</t>
        </is>
      </c>
    </row>
    <row r="230" ht="42.75" customHeight="1" s="34">
      <c r="B230" s="36" t="inlineStr">
        <is>
          <t>• Recognition and decision fields: Record actual symbol/color/location, the hitter's report, and swing/take response separately from control and contact. A take-only rep has a zone-passage event but no swing-contact timestamp.</t>
        </is>
      </c>
    </row>
    <row r="231" ht="42.75" customHeight="1" s="34">
      <c r="B231" s="36" t="inlineStr">
        <is>
          <t>• Medicine-ball fields: Record ball mass/type, throw direction, stance/approach, target/distance, surface, effort instruction, actual throws/placements per side, release or placement interval, and recovery events. Keep throw output separate from subsequent normal-swing results; do not invent bat contact, force, torque, or power measurements.</t>
        </is>
      </c>
    </row>
    <row r="232" ht="9.75" customHeight="1" s="34"/>
    <row r="233" ht="9.75" customHeight="1" s="34"/>
    <row r="234" ht="9.75" customHeight="1" s="34"/>
    <row r="235" ht="31.5" customHeight="1" s="34">
      <c r="B235" s="54" t="inlineStr">
        <is>
          <t>Flaw Signature Cheat Sheet</t>
        </is>
      </c>
    </row>
    <row r="236" ht="9.75" customHeight="1" s="34"/>
    <row r="237" ht="42.75" customHeight="1" s="34">
      <c r="B237" s="43" t="inlineStr">
        <is>
          <t>Candidate Flaw / Review Label</t>
        </is>
      </c>
      <c r="D237" s="43" t="inlineStr">
        <is>
          <t>Observable Pattern to Review</t>
        </is>
      </c>
      <c r="F237" s="43" t="inlineStr">
        <is>
          <t>Camera Setup</t>
        </is>
      </c>
      <c r="H237" s="43" t="inlineStr">
        <is>
          <t>Key Landmarks</t>
        </is>
      </c>
      <c r="J237" s="43" t="inlineStr">
        <is>
          <t>Proposed Evidence Required and Safeguards</t>
        </is>
      </c>
      <c r="L237" s="43" t="inlineStr">
        <is>
          <t>Drills That Target It</t>
        </is>
      </c>
    </row>
    <row r="238" ht="87.75" customHeight="1" s="34">
      <c r="B238" s="41" t="inlineStr">
        <is>
          <t>Candidate bat drag / racing rear elbow</t>
        </is>
      </c>
      <c r="D238" s="41" t="inlineStr">
        <is>
          <t>Rear elbow advances relative to the grip while barrel delivery remains delayed compared with matched controlled reps</t>
        </is>
      </c>
      <c r="F238" s="41" t="inlineStr">
        <is>
          <t>Front/oblique plus side</t>
        </is>
      </c>
      <c r="H238" s="41" t="inlineStr">
        <is>
          <t>Rear elbow, grip, shoulders, hips, knob, cap, ball</t>
        </is>
      </c>
      <c r="J238" s="41" t="inlineStr">
        <is>
          <t>Require a persistent elbow–grip pattern plus delayed barrel delivery; normal lag, elbow stacking, or torso-midline crossing alone is insufficient.</t>
        </is>
      </c>
      <c r="L238" s="41" t="inlineStr">
        <is>
          <t>1, 4, 5, 8, 9, 10</t>
        </is>
      </c>
    </row>
    <row r="239" ht="87.75" customHeight="1" s="34">
      <c r="B239" s="46" t="inlineStr">
        <is>
          <t>Candidate excessive elbow drop / barrel dump</t>
        </is>
      </c>
      <c r="D239" s="46" t="inlineStr">
        <is>
          <t>Elbow/hand descent accompanies an unwanted early barrel-path deviation and a late correction</t>
        </is>
      </c>
      <c r="F239" s="46" t="inlineStr">
        <is>
          <t>Side plus front/oblique cross-check</t>
        </is>
      </c>
      <c r="H239" s="46" t="inlineStr">
        <is>
          <t>Rear shoulder, elbow, wrist, torso, bat, ball/tee</t>
        </is>
      </c>
      <c r="J239" s="46" t="inlineStr">
        <is>
          <t>Compare the same pitch location and torso-relative motion; normal elbow lowering, shoulder tilt, or a low barrel is not itself a flaw.</t>
        </is>
      </c>
      <c r="L239" s="46" t="inlineStr">
        <is>
          <t>3, 8</t>
        </is>
      </c>
    </row>
    <row r="240" ht="102.75" customHeight="1" s="34">
      <c r="B240" s="41" t="inlineStr">
        <is>
          <t>Possible pre-contact rollover</t>
        </is>
      </c>
      <c r="D240" s="41" t="inlineStr">
        <is>
          <t>Visible top-hand orientation turns over before the contact interval</t>
        </is>
      </c>
      <c r="F240" s="41" t="inlineStr">
        <is>
          <t>Protected hand-detail view plus side</t>
        </is>
      </c>
      <c r="H240" s="41" t="inlineStr">
        <is>
          <t>Wrist, thumb, finger bases, rear arm, bat, ball</t>
        </is>
      </c>
      <c r="J240" s="41" t="inlineStr">
        <is>
          <t>Resolve handedness and camera orientation; require visible multi-frame hand evidence. Wrist crossover, cap height, and ball flight cannot independently establish rollover.</t>
        </is>
      </c>
      <c r="L240" s="41" t="inlineStr">
        <is>
          <t>1, 2, 5, 6, 7, 11, 12</t>
        </is>
      </c>
    </row>
    <row r="241" ht="72.75" customHeight="1" s="34">
      <c r="B241" s="46" t="inlineStr">
        <is>
          <t>Candidate casting / early reaching</t>
        </is>
      </c>
      <c r="D241" s="46" t="inlineStr">
        <is>
          <t>Outward hand travel precedes barrel arrival and accompanies a wider approach than matched controlled reps</t>
        </is>
      </c>
      <c r="F241" s="46" t="inlineStr">
        <is>
          <t>Oblique/front plus side</t>
        </is>
      </c>
      <c r="H241" s="46" t="inlineStr">
        <is>
          <t>Grip, elbows, shoulders, torso, bat, ball</t>
        </is>
      </c>
      <c r="J241" s="46" t="inlineStr">
        <is>
          <t>Measure relative to the moving torso; distinguish normal reach for pitch location and one-hand or split-grip constraints.</t>
        </is>
      </c>
      <c r="L241" s="46" t="inlineStr">
        <is>
          <t>1, 2, 5, 9, 11, 12</t>
        </is>
      </c>
    </row>
    <row r="242" ht="57.75" customHeight="1" s="34">
      <c r="B242" s="41" t="inlineStr">
        <is>
          <t>Candidate early arm extension</t>
        </is>
      </c>
      <c r="D242" s="41" t="inlineStr">
        <is>
          <t>Rear arm straightens early with outward grip travel or changed barrel delivery</t>
        </is>
      </c>
      <c r="F242" s="41" t="inlineStr">
        <is>
          <t>Side plus oblique</t>
        </is>
      </c>
      <c r="H242" s="41" t="inlineStr">
        <is>
          <t>Rear shoulder, elbow, wrist, grip, bat, ball</t>
        </is>
      </c>
      <c r="J242" s="41" t="inlineStr">
        <is>
          <t>Use timing relative to contact and corroborating path changes; no universal elbow-angle cutoff.</t>
        </is>
      </c>
      <c r="L242" s="41" t="inlineStr">
        <is>
          <t>2, 5, 12</t>
        </is>
      </c>
    </row>
    <row r="243" ht="72.75" customHeight="1" s="34">
      <c r="B243" s="46" t="inlineStr">
        <is>
          <t>Candidate early withdrawal / pulling away</t>
        </is>
      </c>
      <c r="D243" s="46" t="inlineStr">
        <is>
          <t>Grip redirects inward or away from the intended delivery region prematurely, with disrupted contact or control</t>
        </is>
      </c>
      <c r="F243" s="46" t="inlineStr">
        <is>
          <t>Side plus front/oblique</t>
        </is>
      </c>
      <c r="H243" s="46" t="inlineStr">
        <is>
          <t>Hands, shoulders, torso, head, bat, ball</t>
        </is>
      </c>
      <c r="J243" s="46" t="inlineStr">
        <is>
          <t>Require a delivery change; natural rotation, a bent front elbow, and head movement alone do not establish a flaw.</t>
        </is>
      </c>
      <c r="L243" s="46" t="inlineStr">
        <is>
          <t>4, 7, 11, 12</t>
        </is>
      </c>
    </row>
    <row r="244" ht="72.75" customHeight="1" s="34">
      <c r="B244" s="41" t="inlineStr">
        <is>
          <t>Premature release for the drill</t>
        </is>
      </c>
      <c r="D244" s="41" t="inlineStr">
        <is>
          <t>Top hand visibly leaves its grip location before contact</t>
        </is>
      </c>
      <c r="F244" s="41" t="inlineStr">
        <is>
          <t>Protected hand view plus side</t>
        </is>
      </c>
      <c r="H244" s="41" t="inlineStr">
        <is>
          <t>Fingers, wrist, grip region, bat, ball</t>
        </is>
      </c>
      <c r="J244" s="41" t="inlineStr">
        <is>
          <t>Confirm finger opening and separation across frames; if release and impact intervals overlap, report timing uncertain.</t>
        </is>
      </c>
      <c r="L244" s="41" t="inlineStr">
        <is>
          <t>6, 12</t>
        </is>
      </c>
    </row>
    <row r="245" ht="72.75" customHeight="1" s="34">
      <c r="B245" s="46" t="inlineStr">
        <is>
          <t>Constraint/compliance event</t>
        </is>
      </c>
      <c r="D245" s="46" t="inlineStr">
        <is>
          <t>Re-gripping, free hand leaving the chest, missed hold, or confirmed soft-obstacle contact</t>
        </is>
      </c>
      <c r="F245" s="46" t="inlineStr">
        <is>
          <t>View selected for the constraint</t>
        </is>
      </c>
      <c r="H245" s="46" t="inlineStr">
        <is>
          <t>Relevant hands/body points, bat, equipment</t>
        </is>
      </c>
      <c r="J245" s="46" t="inlineStr">
        <is>
          <t>Report separately from mechanical diagnosis; obstacle overlap and landmark jitter require corroboration.</t>
        </is>
      </c>
      <c r="L245" s="46" t="inlineStr">
        <is>
          <t>1, 3, 4, 7, 8, 9</t>
        </is>
      </c>
    </row>
    <row r="246" ht="72.75" customHeight="1" s="34">
      <c r="B246" s="41" t="inlineStr">
        <is>
          <t>Candidate front-leg collapse</t>
        </is>
      </c>
      <c r="D246" s="41" t="inlineStr">
        <is>
          <t>Proposed review label for continued knee folding together with forward pelvis travel or loss of support</t>
        </is>
      </c>
      <c r="F246" s="41" t="inlineStr">
        <is>
          <t>Side plus front cross-check</t>
        </is>
      </c>
      <c r="H246" s="41" t="inlineStr">
        <is>
          <t>Lead hip, knee, ankle, foot, pelvis</t>
        </is>
      </c>
      <c r="J246" s="41" t="inlineStr">
        <is>
          <t>Require a multi-signal, repeatable pattern relative to controlled reps; a bent knee alone is not a failure.</t>
        </is>
      </c>
      <c r="L246" s="41" t="inlineStr">
        <is>
          <t>14, 15, 16, 17, 19, 21</t>
        </is>
      </c>
    </row>
    <row r="247" ht="72.75" customHeight="1" s="34">
      <c r="B247" s="46" t="inlineStr">
        <is>
          <t>Abrupt near-straight landing</t>
        </is>
      </c>
      <c r="D247" s="46" t="inlineStr">
        <is>
          <t>Proposed review label when near-straight landing coincides with a visible jolt or loss of control</t>
        </is>
      </c>
      <c r="F247" s="46" t="inlineStr">
        <is>
          <t>Side</t>
        </is>
      </c>
      <c r="H247" s="46" t="inlineStr">
        <is>
          <t>Lead hip, knee, ankle, pelvis</t>
        </is>
      </c>
      <c r="J247" s="46" t="inlineStr">
        <is>
          <t>Inspect landing and recovery together; no universal knee-angle cutoff.</t>
        </is>
      </c>
      <c r="L247" s="46" t="inlineStr">
        <is>
          <t>13, 14</t>
        </is>
      </c>
    </row>
    <row r="248" ht="72.75" customHeight="1" s="34">
      <c r="B248" s="41" t="inlineStr">
        <is>
          <t>Candidate lunge / uncontrolled drift</t>
        </is>
      </c>
      <c r="D248" s="41" t="inlineStr">
        <is>
          <t>Forward travel persists after landing with reduced balance or control</t>
        </is>
      </c>
      <c r="F248" s="41" t="inlineStr">
        <is>
          <t>Side</t>
        </is>
      </c>
      <c r="H248" s="41" t="inlineStr">
        <is>
          <t>Head, pelvis, lead foot</t>
        </is>
      </c>
      <c r="J248" s="41" t="inlineStr">
        <is>
          <t>Compare post-plant travel with athlete-specific references; forward movement alone is not a fault.</t>
        </is>
      </c>
      <c r="L248" s="41" t="inlineStr">
        <is>
          <t>14, 15, 16, 19, 20</t>
        </is>
      </c>
    </row>
    <row r="249" ht="57.75" customHeight="1" s="34">
      <c r="B249" s="46" t="inlineStr">
        <is>
          <t>Foot slide / support loss</t>
        </is>
      </c>
      <c r="D249" s="46" t="inlineStr">
        <is>
          <t>Planted foot translates abruptly or loses stable support</t>
        </is>
      </c>
      <c r="F249" s="46" t="inlineStr">
        <is>
          <t>Oblique plus side</t>
        </is>
      </c>
      <c r="H249" s="46" t="inlineStr">
        <is>
          <t>Heel, toe, ankle, floor/target</t>
        </is>
      </c>
      <c r="J249" s="46" t="inlineStr">
        <is>
          <t>Separate translation from natural pivoting; inspect accompanying body control.</t>
        </is>
      </c>
      <c r="L249" s="46" t="inlineStr">
        <is>
          <t>13, 18, 19</t>
        </is>
      </c>
    </row>
    <row r="250" ht="72.75" customHeight="1" s="34">
      <c r="B250" s="41" t="inlineStr">
        <is>
          <t>Stride-length control issue</t>
        </is>
      </c>
      <c r="D250" s="41" t="inlineStr">
        <is>
          <t>Changed lead-foot displacement coincides with an unstable landing</t>
        </is>
      </c>
      <c r="F250" s="41" t="inlineStr">
        <is>
          <t>Side</t>
        </is>
      </c>
      <c r="H250" s="41" t="inlineStr">
        <is>
          <t>Lead-foot start/end positions, pelvis</t>
        </is>
      </c>
      <c r="J250" s="41" t="inlineStr">
        <is>
          <t>Measure lead-foot displacement, not final stance width; compare matched reps rather than applying a universal ratio.</t>
        </is>
      </c>
      <c r="L250" s="41" t="inlineStr">
        <is>
          <t>13, 20</t>
        </is>
      </c>
    </row>
    <row r="251" ht="72.75" customHeight="1" s="34">
      <c r="B251" s="46" t="inlineStr">
        <is>
          <t>Apparent knee-alignment instability</t>
        </is>
      </c>
      <c r="D251" s="46" t="inlineStr">
        <is>
          <t>Repeated knee movement across the foot accompanied by wobble or recovery</t>
        </is>
      </c>
      <c r="F251" s="46" t="inlineStr">
        <is>
          <t>Front cross-checked with side</t>
        </is>
      </c>
      <c r="H251" s="46" t="inlineStr">
        <is>
          <t>Lead hip, knee, ankle, foot, pelvis</t>
        </is>
      </c>
      <c r="J251" s="46" t="inlineStr">
        <is>
          <t>Require temporal and multi-view evidence; do not diagnose joint alignment or force loss from one 2D frame.</t>
        </is>
      </c>
      <c r="L251" s="46" t="inlineStr">
        <is>
          <t>16, 21</t>
        </is>
      </c>
    </row>
    <row r="252" ht="87.75" customHeight="1" s="34">
      <c r="B252" s="41" t="inlineStr">
        <is>
          <t>Candidate rear-load sway / over-coil</t>
        </is>
      </c>
      <c r="D252" s="41" t="inlineStr">
        <is>
          <t>Catcherward travel or an enlarged loading turn accompanies foot displacement, posture disruption, or a corrective move</t>
        </is>
      </c>
      <c r="F252" s="41" t="inlineStr">
        <is>
          <t>Side plus front/oblique</t>
        </is>
      </c>
      <c r="H252" s="41" t="inlineStr">
        <is>
          <t>Rear hip/knee/foot, pelvis, shoulders, head</t>
        </is>
      </c>
      <c r="J252" s="41" t="inlineStr">
        <is>
          <t>Compare matched drills and distinguish intended backward movement from loss of control; no maximum coil angle or blanket “no sway” rule.</t>
        </is>
      </c>
      <c r="L252" s="41" t="inlineStr">
        <is>
          <t>22, 23, 24, 27, 28</t>
        </is>
      </c>
    </row>
    <row r="253" ht="87.75" customHeight="1" s="34">
      <c r="B253" s="46" t="inlineStr">
        <is>
          <t>Candidate rear-knee collapse / excessive sink</t>
        </is>
      </c>
      <c r="D253" s="46" t="inlineStr">
        <is>
          <t>Increasing rear-knee flexion and pelvis descent accompany wobble, foot movement, rushed landing, or a late upward correction</t>
        </is>
      </c>
      <c r="F253" s="46" t="inlineStr">
        <is>
          <t>Side plus front/oblique</t>
        </is>
      </c>
      <c r="H253" s="46" t="inlineStr">
        <is>
          <t>Rear hip, knee, ankle, heel/toe, pelvis</t>
        </is>
      </c>
      <c r="J253" s="46" t="inlineStr">
        <is>
          <t>Require a repeatable combination of motion and control loss; natural flexion and a lower starting posture are not themselves faults.</t>
        </is>
      </c>
      <c r="L253" s="46" t="inlineStr">
        <is>
          <t>22, 25, 26, 30</t>
        </is>
      </c>
    </row>
    <row r="254" ht="87.75" customHeight="1" s="34">
      <c r="B254" s="41" t="inlineStr">
        <is>
          <t>Candidate premature rear-side extension</t>
        </is>
      </c>
      <c r="D254" s="41" t="inlineStr">
        <is>
          <t>Rear-leg straightening combines with an early body rise or pelvis move toward the plate and a disrupted transition or delivery</t>
        </is>
      </c>
      <c r="F254" s="41" t="inlineStr">
        <is>
          <t>Side plus oblique to resolve movement toward the plate</t>
        </is>
      </c>
      <c r="H254" s="41" t="inlineStr">
        <is>
          <t>Rear hip/knee/ankle, pelvis, shoulders, head, lead foot, bat/ball</t>
        </is>
      </c>
      <c r="J254" s="41" t="inlineStr">
        <is>
          <t>Label the correct phase and compare matched reps. Upward extension during the intentional rise in drill 32 is expected, not a failure.</t>
        </is>
      </c>
      <c r="L254" s="41" t="inlineStr">
        <is>
          <t>24, 27, 28, 33</t>
        </is>
      </c>
    </row>
    <row r="255" ht="87.75" customHeight="1" s="34">
      <c r="B255" s="46" t="inlineStr">
        <is>
          <t>Rear-leg balance / rise-control issue</t>
        </is>
      </c>
      <c r="D255" s="46" t="inlineStr">
        <is>
          <t>Rear-foot hop or slip, unplanned lead-foot touchdown, abrupt fall, or repeated recovery during a balance or rise task</t>
        </is>
      </c>
      <c r="F255" s="46" t="inlineStr">
        <is>
          <t>Side plus front/oblique</t>
        </is>
      </c>
      <c r="H255" s="46" t="inlineStr">
        <is>
          <t>Both feet, rear knee/hip, lead knee, pelvis, pad if used</t>
        </is>
      </c>
      <c r="J255" s="46" t="inlineStr">
        <is>
          <t>Confirm actual support changes rather than tracking jitter; task difficulty cannot diagnose weakness, mobility limits, or injury.</t>
        </is>
      </c>
      <c r="L255" s="46" t="inlineStr">
        <is>
          <t>26, 27, 32</t>
        </is>
      </c>
    </row>
    <row r="256" ht="87.75" customHeight="1" s="34">
      <c r="B256" s="41" t="inlineStr">
        <is>
          <t>Candidate isolated rear-foot spin / uncontrolled slip</t>
        </is>
      </c>
      <c r="D256" s="41" t="inlineStr">
        <is>
          <t>Abrupt shoe rotation or translation accompanies knee/pelvis disruption or recovery rather than a coordinated turn</t>
        </is>
      </c>
      <c r="F256" s="41" t="inlineStr">
        <is>
          <t>Low foot-detail view plus full-body side/oblique</t>
        </is>
      </c>
      <c r="H256" s="41" t="inlineStr">
        <is>
          <t>Rear shoe, heel/toe, ankle, knee, pelvis</t>
        </is>
      </c>
      <c r="J256" s="41" t="inlineStr">
        <is>
          <t>Separate foot rotation, translation, and heel height. Natural pivot, heel lift, or foot release is not an automatic flaw.</t>
        </is>
      </c>
      <c r="L256" s="41" t="inlineStr">
        <is>
          <t>23, 28, 29, 31</t>
        </is>
      </c>
    </row>
    <row r="257" ht="87.75" customHeight="1" s="34">
      <c r="B257" s="46" t="inlineStr">
        <is>
          <t>Apparent rear-knee alignment instability</t>
        </is>
      </c>
      <c r="D257" s="46" t="inlineStr">
        <is>
          <t>Repeated knee movement relative to the foot coincides with shoe rolling, wobble, or a balance correction</t>
        </is>
      </c>
      <c r="F257" s="46" t="inlineStr">
        <is>
          <t>Front/oblique cross-checked with side</t>
        </is>
      </c>
      <c r="H257" s="46" t="inlineStr">
        <is>
          <t>Rear hip, knee, ankle, foot, pelvis</t>
        </is>
      </c>
      <c r="J257" s="46" t="inlineStr">
        <is>
          <t>Require temporal and multi-view corroboration; inward knee motion can accompany rotation and does not by itself diagnose collapse or harmful joint loading.</t>
        </is>
      </c>
      <c r="L257" s="46" t="inlineStr">
        <is>
          <t>26, 29, 31, 32</t>
        </is>
      </c>
    </row>
    <row r="258" ht="87.75" customHeight="1" s="34">
      <c r="B258" s="41" t="inlineStr">
        <is>
          <t>Candidate stalled rear-side transition / reaching</t>
        </is>
      </c>
      <c r="D258" s="41" t="inlineStr">
        <is>
          <t>Pelvis continues catcherward or forward progression stalls unexpectedly while the hands reach and control/contact changes</t>
        </is>
      </c>
      <c r="F258" s="41" t="inlineStr">
        <is>
          <t>Side plus oblique</t>
        </is>
      </c>
      <c r="H258" s="41" t="inlineStr">
        <is>
          <t>Hips, shoulders, hands, both feet, bat/ball</t>
        </is>
      </c>
      <c r="J258" s="41" t="inlineStr">
        <is>
          <t>Check tee/toss position and intended drill motion; describe the movement without claiming a rear-foot weight percentage.</t>
        </is>
      </c>
      <c r="L258" s="41" t="inlineStr">
        <is>
          <t>25, 33</t>
        </is>
      </c>
    </row>
    <row r="259" ht="87.75" customHeight="1" s="34">
      <c r="B259" s="46" t="inlineStr">
        <is>
          <t>Step-back / shuffle timing mismatch</t>
        </is>
      </c>
      <c r="D259" s="46" t="inlineStr">
        <is>
          <t>Hop, rushed footfall, or inconsistent gather-to-landing sequence accompanies late correction or variable contact</t>
        </is>
      </c>
      <c r="F259" s="46" t="inlineStr">
        <is>
          <t>Wide side plus oblique</t>
        </is>
      </c>
      <c r="H259" s="46" t="inlineStr">
        <is>
          <t>Both feet, rear knee/hip, pelvis, bat/ball, toss release</t>
        </is>
      </c>
      <c r="J259" s="46" t="inlineStr">
        <is>
          <t>Separate footwork compliance and timing from mechanical diagnosis; an unsuitable starting distance or toss can explain the pattern.</t>
        </is>
      </c>
      <c r="L259" s="46" t="inlineStr">
        <is>
          <t>24, 27, 33</t>
        </is>
      </c>
    </row>
    <row r="260" ht="72.75" customHeight="1" s="34">
      <c r="B260" s="41" t="inlineStr">
        <is>
          <t>Medicine-ball task coordination issue</t>
        </is>
      </c>
      <c r="D260" s="41" t="inlineStr">
        <is>
          <t>Hands/ball move with limited visible torso turn or a rise/slip/recovery before release</t>
        </is>
      </c>
      <c r="F260" s="41" t="inlineStr">
        <is>
          <t>Full-body side/oblique</t>
        </is>
      </c>
      <c r="H260" s="41" t="inlineStr">
        <is>
          <t>Hands, ball, shoulders, hips, rear leg, feet</t>
        </is>
      </c>
      <c r="J260" s="41" t="inlineStr">
        <is>
          <t>Compare like-for-like throws and ball loads; release replaces bat contact, and throw distance does not isolate rear-leg power.</t>
        </is>
      </c>
      <c r="L260" s="41" t="inlineStr">
        <is>
          <t>30</t>
        </is>
      </c>
    </row>
    <row r="261" ht="72.75" customHeight="1" s="34">
      <c r="B261" s="46" t="inlineStr">
        <is>
          <t>Candidate pre-contact posture rise / early extension</t>
        </is>
      </c>
      <c r="D261" s="46" t="inlineStr">
        <is>
          <t>Torso/pelvis rises or pelvis moves toward the plate together with disrupted support or a late delivery correction</t>
        </is>
      </c>
      <c r="F261" s="46" t="inlineStr">
        <is>
          <t>Side plus protected front/oblique</t>
        </is>
      </c>
      <c r="H261" s="46" t="inlineStr">
        <is>
          <t>Shoulder/hip midpoints, knees/feet, head, grip, bat/ball</t>
        </is>
      </c>
      <c r="J261" s="46" t="inlineStr">
        <is>
          <t>Match pitch location and phase; do not flag a naturally taller high-pitch setup or normal post-contact rising.</t>
        </is>
      </c>
      <c r="L261" s="46" t="inlineStr">
        <is>
          <t>34, 36, 37, 38, 39, 42</t>
        </is>
      </c>
    </row>
    <row r="262" ht="72.75" customHeight="1" s="34">
      <c r="B262" s="41" t="inlineStr">
        <is>
          <t>Candidate excessive folding / dip-and-rise</t>
        </is>
      </c>
      <c r="D262" s="41" t="inlineStr">
        <is>
          <t>Additional torso folding and pelvis/head descent are followed by an abrupt reversal and delivery disruption</t>
        </is>
      </c>
      <c r="F262" s="41" t="inlineStr">
        <is>
          <t>Side plus oblique</t>
        </is>
      </c>
      <c r="H262" s="41" t="inlineStr">
        <is>
          <t>Torso axis, pelvis, head, knees, bat/ball</t>
        </is>
      </c>
      <c r="J262" s="41" t="inlineStr">
        <is>
          <t>Require a repeated pattern relative to matched refs; lower-pitch flexion or side bend can be appropriate.</t>
        </is>
      </c>
      <c r="L262" s="41" t="inlineStr">
        <is>
          <t>34, 38, 39, 40</t>
        </is>
      </c>
    </row>
    <row r="263" ht="72.75" customHeight="1" s="34">
      <c r="B263" s="46" t="inlineStr">
        <is>
          <t>Candidate plateward dive / retreat</t>
        </is>
      </c>
      <c r="D263" s="46" t="inlineStr">
        <is>
          <t>Head/torso movement toward or away from the plate accompanies instability, late reaching, or withdrawal</t>
        </is>
      </c>
      <c r="F263" s="46" t="inlineStr">
        <is>
          <t>Protected front/oblique cross-checked with side</t>
        </is>
      </c>
      <c r="H263" s="46" t="inlineStr">
        <is>
          <t>Head, shoulders/hips, feet, hands, bat/ball</t>
        </is>
      </c>
      <c r="J263" s="46" t="inlineStr">
        <is>
          <t>Resolve field directions and tee distance first; depth projection and unsuitable setup can mimic the pattern.</t>
        </is>
      </c>
      <c r="L263" s="46" t="inlineStr">
        <is>
          <t>36, 41, 42, 44</t>
        </is>
      </c>
    </row>
    <row r="264" ht="72.75" customHeight="1" s="34">
      <c r="B264" s="41" t="inlineStr">
        <is>
          <t>Pitch-specific posture adjustment issue</t>
        </is>
      </c>
      <c r="D264" s="41" t="inlineStr">
        <is>
          <t>A particular location repeatedly prompts a late correction or loss of control</t>
        </is>
      </c>
      <c r="F264" s="41" t="inlineStr">
        <is>
          <t>Side plus oblique with location tracking</t>
        </is>
      </c>
      <c r="H264" s="41" t="inlineStr">
        <is>
          <t>Torso, pelvis, knees, head, bat/ball, tee or pitch location</t>
        </is>
      </c>
      <c r="J264" s="41" t="inlineStr">
        <is>
          <t>Compare within location before cross-location; do not demand identical torso/shoulder angles across high and low pitches.</t>
        </is>
      </c>
      <c r="L264" s="41" t="inlineStr">
        <is>
          <t>35, 38, 39, 40, 41, 45</t>
        </is>
      </c>
    </row>
    <row r="265" ht="72.75" customHeight="1" s="34">
      <c r="B265" s="46" t="inlineStr">
        <is>
          <t>Constraint-induced posture change</t>
        </is>
      </c>
      <c r="D265" s="46" t="inlineStr">
        <is>
          <t>A short bat, altered stance, rod, or overlay creates new reaching, stiffness, or recovery</t>
        </is>
      </c>
      <c r="F265" s="46" t="inlineStr">
        <is>
          <t>View suited to the constraint plus full-body view</t>
        </is>
      </c>
      <c r="H265" s="46" t="inlineStr">
        <is>
          <t>Implement/equipment, body landmarks, bat/ball</t>
        </is>
      </c>
      <c r="J265" s="46" t="inlineStr">
        <is>
          <t>Score compliance separately; remove the constraint if control worsens and test normal swings before claiming transfer.</t>
        </is>
      </c>
      <c r="L265" s="46" t="inlineStr">
        <is>
          <t>35, 36, 42, 43, 44</t>
        </is>
      </c>
    </row>
    <row r="266" ht="72.75" customHeight="1" s="34">
      <c r="B266" s="41" t="inlineStr">
        <is>
          <t>Candidate disruptive pre-contact head movement</t>
        </is>
      </c>
      <c r="D266" s="41" t="inlineStr">
        <is>
          <t>Abrupt head translation/rotation before contact accompanies torso withdrawal, rushed delivery, or control loss</t>
        </is>
      </c>
      <c r="F266" s="41" t="inlineStr">
        <is>
          <t>Fixed side plus protected face-visible view</t>
        </is>
      </c>
      <c r="H266" s="41" t="inlineStr">
        <is>
          <t>Multiple head points, shoulders/hips, feet, bat/ball</t>
        </is>
      </c>
      <c r="J266" s="41" t="inlineStr">
        <is>
          <t>Separate translation from rotation and stride from swing. Withhold gaze claims and uncertain head-pose labels.</t>
        </is>
      </c>
      <c r="L266" s="41" t="inlineStr">
        <is>
          <t>46, 52, 54, 57</t>
        </is>
      </c>
    </row>
    <row r="267" ht="57.75" customHeight="1" s="34">
      <c r="B267" s="46" t="inlineStr">
        <is>
          <t>Stride / transition balance loss</t>
        </is>
      </c>
      <c r="D267" s="46" t="inlineStr">
        <is>
          <t>Unplanned touchdown, hop, slip, or recovery step interrupts the intended movement</t>
        </is>
      </c>
      <c r="F267" s="46" t="inlineStr">
        <is>
          <t>Side plus front/oblique</t>
        </is>
      </c>
      <c r="H267" s="46" t="inlineStr">
        <is>
          <t>Both feet/knees, pelvis, torso, head</t>
        </is>
      </c>
      <c r="J267" s="46" t="inlineStr">
        <is>
          <t>Identify the drill's planned steps first; a compact stance, tap, or lift intentionally changes motion.</t>
        </is>
      </c>
      <c r="L267" s="46" t="inlineStr">
        <is>
          <t>46, 47, 48, 49</t>
        </is>
      </c>
    </row>
    <row r="268" ht="87.75" customHeight="1" s="34">
      <c r="B268" s="41" t="inlineStr">
        <is>
          <t>Finish control issue</t>
        </is>
      </c>
      <c r="D268" s="41" t="inlineStr">
        <is>
          <t>Extra recovery movement or increasing sway prevents the requested comfortable hold</t>
        </is>
      </c>
      <c r="F268" s="41" t="inlineStr">
        <is>
          <t>Side plus oblique</t>
        </is>
      </c>
      <c r="H268" s="41" t="inlineStr">
        <is>
          <t>Feet, pelvis, torso, head, bat</t>
        </is>
      </c>
      <c r="J268" s="41" t="inlineStr">
        <is>
          <t>Start the hold timer after deceleration; distinguish planned foot release from loss of balance and inspect pre-contact frames separately.</t>
        </is>
      </c>
      <c r="L268" s="41" t="inlineStr">
        <is>
          <t>50, 51</t>
        </is>
      </c>
    </row>
    <row r="269" ht="72.75" customHeight="1" s="34">
      <c r="B269" s="46" t="inlineStr">
        <is>
          <t>Attention-task interference</t>
        </is>
      </c>
      <c r="D269" s="46" t="inlineStr">
        <is>
          <t>Reading a cue produces diving, neck stiffness, delayed recovery, or disrupted contact</t>
        </is>
      </c>
      <c r="F269" s="46" t="inlineStr">
        <is>
          <t>Full-body plus cue view</t>
        </is>
      </c>
      <c r="H269" s="46" t="inlineStr">
        <is>
          <t>Head/torso, feet, bat/ball, cue</t>
        </is>
      </c>
      <c r="J269" s="46" t="inlineStr">
        <is>
          <t>Remove the task when it worsens control; a correct report does not establish fixation at impact.</t>
        </is>
      </c>
      <c r="L269" s="46" t="inlineStr">
        <is>
          <t>52, 53, 56</t>
        </is>
      </c>
    </row>
    <row r="270" ht="87.75" customHeight="1" s="34">
      <c r="B270" s="41" t="inlineStr">
        <is>
          <t>Recognition response mismatch</t>
        </is>
      </c>
      <c r="D270" s="41" t="inlineStr">
        <is>
          <t>Stated color/symbol/location differs from a reliable task label</t>
        </is>
      </c>
      <c r="F270" s="41" t="inlineStr">
        <is>
          <t>Ball/cue view plus audio or coach entry</t>
        </is>
      </c>
      <c r="H270" s="41" t="inlineStr">
        <is>
          <t>Ball/cue identity and response; body pose only as context</t>
        </is>
      </c>
      <c r="J270" s="41" t="inlineStr">
        <is>
          <t>Check visibility, labeling, and feed quality first. Do not diagnose eyesight, attention, or head mechanics from incorrect answers.</t>
        </is>
      </c>
      <c r="L270" s="41" t="inlineStr">
        <is>
          <t>53, 55, 56</t>
        </is>
      </c>
    </row>
    <row r="271" ht="87.75" customHeight="1" s="34">
      <c r="B271" s="46" t="inlineStr">
        <is>
          <t>Decision response mismatch</t>
        </is>
      </c>
      <c r="D271" s="46" t="inlineStr">
        <is>
          <t>Swing/take response differs from the agreed window for a verified delivery</t>
        </is>
      </c>
      <c r="F271" s="46" t="inlineStr">
        <is>
          <t>Protected full-body and ball view</t>
        </is>
      </c>
      <c r="H271" s="46" t="inlineStr">
        <is>
          <t>Ball location, bat action, head/body context</t>
        </is>
      </c>
      <c r="J271" s="46" t="inlineStr">
        <is>
          <t>Keep decision accuracy separate from swing control; takes have no contact phase, and video cannot reveal perception timing.</t>
        </is>
      </c>
      <c r="L271" s="46" t="inlineStr">
        <is>
          <t>57</t>
        </is>
      </c>
    </row>
    <row r="272" ht="72.75" customHeight="1" s="34">
      <c r="B272" s="41" t="inlineStr">
        <is>
          <t>Candidate throw-task sink / rise correction</t>
        </is>
      </c>
      <c r="D272" s="41" t="inlineStr">
        <is>
          <t>Extra knee/pelvis descent or torso rise accompanies a late delivery adjustment or recovery</t>
        </is>
      </c>
      <c r="F272" s="41" t="inlineStr">
        <is>
          <t>Side plus oblique</t>
        </is>
      </c>
      <c r="H272" s="41" t="inlineStr">
        <is>
          <t>Knees, hips, shoulders/head, hands, ball</t>
        </is>
      </c>
      <c r="J272" s="41" t="inlineStr">
        <is>
          <t>Compare matched ball mass, stance, and drill; deliberate motion in a slam or kneeling task needs its own reference.</t>
        </is>
      </c>
      <c r="L272" s="41" t="inlineStr">
        <is>
          <t>30, 58, 59, 60</t>
        </is>
      </c>
    </row>
    <row r="273" ht="72.75" customHeight="1" s="34">
      <c r="B273" s="46" t="inlineStr">
        <is>
          <t>Medicine-ball approach / plant-control issue</t>
        </is>
      </c>
      <c r="D273" s="46" t="inlineStr">
        <is>
          <t>Hop, foot tangling, sliding, or continued travel after the intended landing disrupts release</t>
        </is>
      </c>
      <c r="F273" s="46" t="inlineStr">
        <is>
          <t>Wide side plus oblique</t>
        </is>
      </c>
      <c r="H273" s="46" t="inlineStr">
        <is>
          <t>Both feet/knees, pelvis, torso, ball</t>
        </is>
      </c>
      <c r="J273" s="46" t="inlineStr">
        <is>
          <t>Identify planned footfalls first; larger approach momentum is not itself better or worse technique.</t>
        </is>
      </c>
      <c r="L273" s="46" t="inlineStr">
        <is>
          <t>60, 61, 62, 63</t>
        </is>
      </c>
    </row>
    <row r="274" ht="72.75" customHeight="1" s="34">
      <c r="B274" s="41" t="inlineStr">
        <is>
          <t>Throw-task reach / late body correction</t>
        </is>
      </c>
      <c r="D274" s="41" t="inlineStr">
        <is>
          <t>Ball/arms move with an abrupt subsequent torso correction or loss of support</t>
        </is>
      </c>
      <c r="F274" s="41" t="inlineStr">
        <is>
          <t>Side plus oblique</t>
        </is>
      </c>
      <c r="H274" s="41" t="inlineStr">
        <is>
          <t>Hands/elbows, shoulders/hips, feet or pad, ball</t>
        </is>
      </c>
      <c r="J274" s="41" t="inlineStr">
        <is>
          <t>Distinguish scoop from push; intentional shot-put elbow extension is not the bat-swing “early arm” fault.</t>
        </is>
      </c>
      <c r="L274" s="41" t="inlineStr">
        <is>
          <t>58, 66, 67</t>
        </is>
      </c>
    </row>
    <row r="275" ht="72.75" customHeight="1" s="34">
      <c r="B275" s="46" t="inlineStr">
        <is>
          <t>Kneeling-base instability</t>
        </is>
      </c>
      <c r="D275" s="46" t="inlineStr">
        <is>
          <t>Knee/pad movement, lead-foot sliding, side-fall, or awkward leg clearance interrupts delivery</t>
        </is>
      </c>
      <c r="F275" s="46" t="inlineStr">
        <is>
          <t>Side plus front/oblique</t>
        </is>
      </c>
      <c r="H275" s="46" t="inlineStr">
        <is>
          <t>Knees/pad, lead foot, hips/torso, hands/ball</t>
        </is>
      </c>
      <c r="J275" s="46" t="inlineStr">
        <is>
          <t>Verify the intended kneeling orientation; no claims of muscle isolation, mobility deficit, or joint stress from pose.</t>
        </is>
      </c>
      <c r="L275" s="46" t="inlineStr">
        <is>
          <t>64, 65, 67</t>
        </is>
      </c>
    </row>
    <row r="276" ht="72.75" customHeight="1" s="34">
      <c r="B276" s="41" t="inlineStr">
        <is>
          <t>Release / target safety event</t>
        </is>
      </c>
      <c r="D276" s="41" t="inlineStr">
        <is>
          <t>Uncontrolled release, target-lane intrusion, unsafe rebound retrieval, or slam impact close to feet</t>
        </is>
      </c>
      <c r="F276" s="41" t="inlineStr">
        <is>
          <t>Full-body plus target/impact region</t>
        </is>
      </c>
      <c r="H276" s="41" t="inlineStr">
        <is>
          <t>Ball path, hands, feet, target, other people if visible</t>
        </is>
      </c>
      <c r="J276" s="41" t="inlineStr">
        <is>
          <t>Treat as a stop/review event, not a lower technique score; camera coverage cannot certify the unseen area is safe.</t>
        </is>
      </c>
      <c r="L276" s="41" t="inlineStr">
        <is>
          <t>58–68</t>
        </is>
      </c>
    </row>
    <row r="277" ht="72.75" customHeight="1" s="34">
      <c r="B277" s="46" t="inlineStr">
        <is>
          <t>Carry-to-placement control issue</t>
        </is>
      </c>
      <c r="D277" s="46" t="inlineStr">
        <is>
          <t>Extra recovery, collision risk, dropped ball, or hand release before stable support</t>
        </is>
      </c>
      <c r="F277" s="46" t="inlineStr">
        <is>
          <t>Full-body plus platform</t>
        </is>
      </c>
      <c r="H277" s="46" t="inlineStr">
        <is>
          <t>Hands/ball, platform, feet, pelvis/torso</t>
        </is>
      </c>
      <c r="J277" s="46" t="inlineStr">
        <is>
          <t>Placement is not a throw; assess support and approach control separately from completion time.</t>
        </is>
      </c>
      <c r="L277" s="46" t="inlineStr">
        <is>
          <t>69</t>
        </is>
      </c>
    </row>
    <row r="278" ht="13.5" customHeight="1" s="34"/>
    <row r="279" ht="9.75" customHeight="1" s="34"/>
    <row r="280" ht="9.75" customHeight="1" s="34"/>
    <row r="281" ht="9.75" customHeight="1" s="34"/>
    <row r="282" ht="31.5" customHeight="1" s="34">
      <c r="B282" s="54" t="inlineStr">
        <is>
          <t>Implementation Notes</t>
        </is>
      </c>
    </row>
    <row r="283" ht="9.75" customHeight="1" s="34"/>
    <row r="284" ht="42.75" customHeight="1" s="34">
      <c r="B284" s="36" t="inlineStr">
        <is>
          <t>• Pose stack: Typical body-pose models estimate 33 body landmarks, and hand models estimate 21 landmarks per detected hand. Proposed additions are a separately trained bat/ball tracker and equipment detection where needed; these models do not by themselves implement the coaching labels in this document.</t>
        </is>
      </c>
    </row>
    <row r="285" ht="42.75" customHeight="1" s="34">
      <c r="B285" s="36" t="inlineStr">
        <is>
          <t>• Multi-view review: Proposed workflow: synchronize side and protected front/oblique recordings, verify camera orientation, and cross-check apparent elbow position against barrel delivery. Do not treat a 2D projected angle or relative landmark crossing as a calibrated 3D measurement.</t>
        </is>
      </c>
    </row>
    <row r="286" ht="27.75" customHeight="1" s="34">
      <c r="B286" s="36" t="inlineStr">
        <is>
          <t>• 3D upgrade: Synchronized dual-view video can rebuild 3D bat trajectories and attack angle without sensors.</t>
        </is>
      </c>
    </row>
    <row r="287" ht="42.75" customHeight="1" s="34">
      <c r="B287" s="36" t="inlineStr">
        <is>
          <t>• Rollover safeguards: Withhold a rollover label if the hand orientation is not sufficiently visible. Treat ball direction, wrist crossover, and bat-axis changes only as context, never substitutes for pre-contact hand evidence; two endpoints cannot reveal axial bat roll.</t>
        </is>
      </c>
    </row>
    <row r="288" ht="42.75" customHeight="1" s="34">
      <c r="B288" s="36" t="inlineStr">
        <is>
          <t>• Proposed scoring: Initially report “consistent with reference,” “coach review,” or “not assessable,” plus a separate drill-compliance result. Do not publish a 0–100 technique score or detection-accuracy claim until the system has been tested against independent coach-labeled examples.</t>
        </is>
      </c>
    </row>
    <row r="289" ht="42.75" customHeight="1" s="34">
      <c r="B289" s="36" t="inlineStr">
        <is>
          <t>• Validation plan: Label movement events and candidate patterns with qualified coaches, retain ambiguous examples, and test on held-out hitters rather than adjacent frames from the same swing. Evaluate each flaw separately across handedness, bat type, age/size, camera setup, and pitch location; include false positives, missed events, timing error, and the rate of withheld judgments.</t>
        </is>
      </c>
    </row>
    <row r="290" ht="42.75" customHeight="1" s="34">
      <c r="B290" s="36" t="inlineStr">
        <is>
          <t>• Rear-leg event model: Tag each drill mode before segmenting the video: static hinge/coil, step-back, rocker, single-leg balance, crossed-leg start, no-stride open stance, no-bat turn, rotational throw, foot-awareness swing, knee-down rise, or shuffle. A generic load–stride–contact sequence must not invent missing events or penalize movements the drill deliberately introduces.</t>
        </is>
      </c>
    </row>
    <row r="291" ht="42.75" customHeight="1" s="34">
      <c r="B291" s="36" t="inlineStr">
        <is>
          <t>• Rear-foot visibility and filtering: Use a floor reference and, where necessary, a shoe-outline model to distinguish pivoting from translation. Keep separate raw and smoothed trajectories, preserve event timing, and withhold precise heel/contact labels when the shoe is hidden, motion-blurred, or indistinguishable from the floor.</t>
        </is>
      </c>
    </row>
    <row r="292" ht="42.75" customHeight="1" s="34">
      <c r="B292" s="36" t="inlineStr">
        <is>
          <t>• Rear-leg measurement limits: Treat single-camera rear-knee angles and hip orientation as projected estimates. True anatomical hip rotation, center of pressure, joint loading, force production, and weight-distribution percentages require appropriate additional measurement and validation, not stronger claims from the same pose video.</t>
        </is>
      </c>
    </row>
    <row r="293" ht="42.75" customHeight="1" s="34">
      <c r="B293" s="36" t="inlineStr">
        <is>
          <t>• Rear-leg validation cases: Include normal heel lift, natural inward rear-knee movement, smooth rear-foot release, and successful bent-knee swings as negative examples so the system does not learn to flag them automatically. Also include deliberate sinking, rising, and backward stepping in their intended drill phases; evaluate event recognition separately from coach-reviewed flaw detection.</t>
        </is>
      </c>
    </row>
    <row r="294" ht="42.75" customHeight="1" s="34">
      <c r="B294" s="36" t="inlineStr">
        <is>
          <t>• Transfer testing: Compare normal swings before and after a selected drill under matched conditions. Better drill compliance alone does not establish improved game mechanics, greater bat speed, or a causal fix for an upper-body flaw.</t>
        </is>
      </c>
    </row>
    <row r="295" ht="42.75" customHeight="1" s="34">
      <c r="B295" s="36" t="inlineStr">
        <is>
          <t>• Posture reference frames: Model torso orientation and translation separately from pelvis orientation, shoulder-line projection, and head pose. Label one-camera outputs as projected estimates; body rotation can change the image without an actual loss of control.</t>
        </is>
      </c>
    </row>
    <row r="296" ht="42.75" customHeight="1" s="34">
      <c r="B296" s="36" t="inlineStr">
        <is>
          <t>• Head and face confidence: Resolve face/helmet occlusion, handedness, camera motion, and apparent scale changes before assigning a head-motion flag. A single nose keypoint is not sufficient to separate yaw from translation; ordinary body pose does not measure gaze or fixation.</t>
        </is>
      </c>
    </row>
    <row r="297" ht="42.75" customHeight="1" s="34">
      <c r="B297" s="36" t="inlineStr">
        <is>
          <t>• Balance event labels: Annotate planned stride/tap/pivot/foot release separately from unplanned recovery. A stable pose after a correction must not erase the correction, and a moving finish must not automatically be marked as a balance failure.</t>
        </is>
      </c>
    </row>
    <row r="298" ht="42.75" customHeight="1" s="34">
      <c r="B298" s="36" t="inlineStr">
        <is>
          <t>• Perception-task outputs: Use independent ground-truth ball/cue labels and actual player reports. Store recognition correctness, swing/take decision, body control, and contact outcome in different fields; never treat one as a proxy for all the others.</t>
        </is>
      </c>
    </row>
    <row r="299" ht="42.75" customHeight="1" s="34">
      <c r="B299" s="36" t="inlineStr">
        <is>
          <t>• Posture/head validation cases: Include successful swings with pitch-dependent torso tilt, normal head rotation, planned rear-foot release, and post-contact rising as negative examples. Test obscured-face and camera-shake clips, and ensure the system can withhold judgment rather than force a diagnosis.</t>
        </is>
      </c>
    </row>
    <row r="300" ht="42.75" customHeight="1" s="34">
      <c r="B300" s="36" t="inlineStr">
        <is>
          <t>• Medicine-ball segmentation: Select the task mode before analysis: scoop, shot put, kneeling throw, approach throw, floor slam, or carry/place. Use release/placement rather than bat contact, and retain throw-side and kneeling-side labels across occlusions.</t>
        </is>
      </c>
    </row>
    <row r="301" ht="42.75" customHeight="1" s="34">
      <c r="B301" s="36" t="inlineStr">
        <is>
          <t>• Medicine-ball conditions and output: Store actual ball mass/type as entered or verified metadata. If reporting speed, state the calibration, tracked trajectory, units, and 2D/3D scope; uncalibrated pixel motion is not full release velocity or a power measurement.</t>
        </is>
      </c>
    </row>
    <row r="302" ht="42.75" customHeight="1" s="34">
      <c r="B302" s="36" t="inlineStr">
        <is>
          <t>• Medicine-ball validation: Include successful natural pivots, planned approach steps, intentional push-arm extension, and the torso flexion expected in a slam as negative examples. Test release timing, leg-identity swaps during cross-steps, ball occlusion, and recovery labels separately.</t>
        </is>
      </c>
    </row>
    <row r="303" ht="42.75" customHeight="1" s="34">
      <c r="B303" s="36" t="inlineStr">
        <is>
          <t>• Medicine-ball transfer: Keep normal-swing baselines and exits matched in bat, pitch location, stance, and effort instruction. A change in throw speed or target success cannot substitute for evidence of improved batting, nor prove a causal fix for elbow, wrist, or head patterns.</t>
        </is>
      </c>
    </row>
    <row r="304" ht="27.75" customHeight="1" s="34">
      <c r="B304" s="36" t="inlineStr">
        <is>
          <t>• Safety/youth: Use light or short bats for one-hand work. Drop the bat weight if the hitter can't control the barrel with one hand.</t>
        </is>
      </c>
    </row>
    <row r="305" ht="9.75" customHeight="1" s="34"/>
    <row r="306" ht="9.75" customHeight="1" s="34"/>
    <row r="307" ht="9.75" customHeight="1" s="34"/>
    <row r="308" ht="31.5" customHeight="1" s="34">
      <c r="B308" s="54" t="inlineStr">
        <is>
          <t>Basis and Limits</t>
        </is>
      </c>
    </row>
    <row r="309" ht="9.75" customHeight="1" s="34"/>
    <row r="310" ht="27.75" customHeight="1" s="34">
      <c r="B310" s="36" t="inlineStr">
        <is>
          <t>The drills adapt common coaching drill families. Outside organisations’ names and links were removed at the founder’s request, so nothing here is presented as a sourced fact. Instructions, rep counts, pairings, advancement rules and AI-analysis descriptions are coaching proposals, not validated standards. See the Basis &amp; Limits tab.</t>
        </is>
      </c>
    </row>
    <row r="311" ht="27.75" customHeight="1" s="34">
      <c r="B311" s="36" t="n"/>
    </row>
    <row r="312" ht="27.75" customHeight="1" s="34">
      <c r="B312" s="36" t="n"/>
    </row>
    <row r="313" ht="27.75" customHeight="1" s="34">
      <c r="B313" s="36" t="n"/>
    </row>
    <row r="314" ht="27.75" customHeight="1" s="34">
      <c r="B314" s="36" t="n"/>
    </row>
    <row r="315" ht="27.75" customHeight="1" s="34">
      <c r="B315" s="36" t="n"/>
    </row>
    <row r="316" ht="27.75" customHeight="1" s="34">
      <c r="B316" s="36" t="n"/>
    </row>
    <row r="317" ht="27.75" customHeight="1" s="34">
      <c r="B317" s="36" t="n"/>
    </row>
    <row r="318" ht="27.75" customHeight="1" s="34">
      <c r="B318" s="36" t="n"/>
    </row>
    <row r="319" ht="27.75" customHeight="1" s="34">
      <c r="B319" s="36" t="n"/>
    </row>
    <row r="320" ht="27.75" customHeight="1" s="34">
      <c r="B320" s="36" t="n"/>
    </row>
    <row r="321" ht="27.75" customHeight="1" s="34">
      <c r="B321" s="36" t="n"/>
    </row>
    <row r="322" ht="27.75" customHeight="1" s="34">
      <c r="B322" s="36" t="n"/>
    </row>
    <row r="323" ht="27.75" customHeight="1" s="34">
      <c r="B323" s="36" t="n"/>
    </row>
    <row r="324" ht="27.75" customHeight="1" s="34">
      <c r="B324" s="36" t="n"/>
    </row>
    <row r="325" ht="27.75" customHeight="1" s="34">
      <c r="B325" s="36" t="n"/>
    </row>
    <row r="326" ht="9.75" customHeight="1" s="34"/>
    <row r="327" ht="30" customHeight="1" s="34">
      <c r="B327" s="55" t="n"/>
    </row>
    <row r="328" ht="9.75" customHeight="1" s="34"/>
    <row r="329" ht="42.75" customHeight="1" s="34">
      <c r="B329" s="36" t="n"/>
    </row>
    <row r="330" ht="9.75" customHeight="1" s="34"/>
    <row r="331" ht="27.75" customHeight="1" s="34">
      <c r="B331" s="36" t="n"/>
    </row>
    <row r="332" ht="27.75" customHeight="1" s="34">
      <c r="B332" s="36" t="n"/>
    </row>
    <row r="333" ht="27.75" customHeight="1" s="34">
      <c r="B333" s="36" t="n"/>
    </row>
    <row r="334" ht="27.75" customHeight="1" s="34">
      <c r="B334" s="36" t="n"/>
    </row>
    <row r="335" ht="27.75" customHeight="1" s="34">
      <c r="B335" s="36" t="n"/>
    </row>
    <row r="336" ht="27.75" customHeight="1" s="34">
      <c r="B336" s="36" t="n"/>
    </row>
    <row r="337" ht="27.75" customHeight="1" s="34">
      <c r="B337" s="36" t="n"/>
    </row>
    <row r="338" ht="42.75" customHeight="1" s="34">
      <c r="B338" s="36" t="n"/>
    </row>
    <row r="339" ht="42.75" customHeight="1" s="34">
      <c r="B339" s="36" t="n"/>
    </row>
    <row r="340" ht="42.75" customHeight="1" s="34">
      <c r="B340" s="36" t="n"/>
    </row>
    <row r="341" ht="27.75" customHeight="1" s="34">
      <c r="B341" s="36" t="n"/>
    </row>
    <row r="342" ht="42.75" customHeight="1" s="34">
      <c r="B342" s="36" t="n"/>
    </row>
    <row r="343" ht="9.75" customHeight="1" s="34"/>
    <row r="344" ht="30" customHeight="1" s="34">
      <c r="B344" s="55" t="n"/>
    </row>
    <row r="345" ht="9.75" customHeight="1" s="34"/>
    <row r="346" ht="27.75" customHeight="1" s="34">
      <c r="B346" s="36" t="n"/>
    </row>
    <row r="347" ht="42.75" customHeight="1" s="34">
      <c r="B347" s="36" t="n"/>
    </row>
    <row r="348" ht="27.75" customHeight="1" s="34">
      <c r="B348" s="36" t="n"/>
    </row>
    <row r="349" ht="42.75" customHeight="1" s="34">
      <c r="B349" s="36" t="n"/>
    </row>
    <row r="350" ht="27.75" customHeight="1" s="34">
      <c r="B350" s="36" t="n"/>
    </row>
    <row r="351" ht="27.75" customHeight="1" s="34">
      <c r="B351" s="36" t="n"/>
    </row>
    <row r="352" ht="27.75" customHeight="1" s="34">
      <c r="B352" s="36" t="n"/>
    </row>
    <row r="353" ht="9.75" customHeight="1" s="34"/>
    <row r="354" ht="30" customHeight="1" s="34">
      <c r="B354" s="55" t="n"/>
    </row>
    <row r="355" ht="9.75" customHeight="1" s="34"/>
    <row r="356" ht="27.75" customHeight="1" s="34">
      <c r="B356" s="36" t="n"/>
    </row>
    <row r="357" ht="27.75" customHeight="1" s="34">
      <c r="B357" s="36" t="n"/>
    </row>
    <row r="358" ht="27.75" customHeight="1" s="34">
      <c r="B358" s="36" t="n"/>
    </row>
    <row r="359" ht="27.75" customHeight="1" s="34">
      <c r="B359" s="36" t="n"/>
    </row>
    <row r="360" ht="42.75" customHeight="1" s="34">
      <c r="B360" s="36" t="n"/>
    </row>
    <row r="361" ht="42.75" customHeight="1" s="34">
      <c r="B361" s="36" t="n"/>
    </row>
    <row r="362" ht="9.75" customHeight="1" s="34"/>
    <row r="363" ht="30" customHeight="1" s="34">
      <c r="B363" s="55" t="n"/>
    </row>
    <row r="364" ht="9.75" customHeight="1" s="34"/>
    <row r="365" ht="42.75" customHeight="1" s="34">
      <c r="B365" s="36" t="n"/>
    </row>
    <row r="366" ht="42.75" customHeight="1" s="34">
      <c r="B366" s="36" t="n"/>
    </row>
    <row r="367" ht="27.75" customHeight="1" s="34">
      <c r="B367" s="36" t="n"/>
    </row>
    <row r="368" ht="27.75" customHeight="1" s="34">
      <c r="B368" s="36" t="n"/>
    </row>
    <row r="369" ht="42.75" customHeight="1" s="34">
      <c r="B369" s="36" t="n"/>
    </row>
    <row r="370" ht="42.75" customHeight="1" s="34">
      <c r="B370" s="36" t="n"/>
    </row>
    <row r="371" ht="42.75" customHeight="1" s="34">
      <c r="B371" s="36" t="n"/>
    </row>
    <row r="372" ht="9.75" customHeight="1" s="34"/>
    <row r="373" ht="27.75" customHeight="1" s="34">
      <c r="B373" s="36" t="n"/>
    </row>
  </sheetData>
  <mergeCells count="496">
    <mergeCell ref="F237:G237"/>
    <mergeCell ref="B2:M2"/>
    <mergeCell ref="B195:M195"/>
    <mergeCell ref="B60:M60"/>
    <mergeCell ref="B231:M231"/>
    <mergeCell ref="B287:M287"/>
    <mergeCell ref="B358:M358"/>
    <mergeCell ref="B289:M289"/>
    <mergeCell ref="B248:C248"/>
    <mergeCell ref="L263:M263"/>
    <mergeCell ref="D263:E263"/>
    <mergeCell ref="F263:G263"/>
    <mergeCell ref="D238:E238"/>
    <mergeCell ref="J271:K271"/>
    <mergeCell ref="B249:C249"/>
    <mergeCell ref="J265:K265"/>
    <mergeCell ref="B243:C243"/>
    <mergeCell ref="B213:M213"/>
    <mergeCell ref="L265:M265"/>
    <mergeCell ref="B313:M313"/>
    <mergeCell ref="B79:M79"/>
    <mergeCell ref="B144:M144"/>
    <mergeCell ref="B315:M315"/>
    <mergeCell ref="L266:M266"/>
    <mergeCell ref="B8:M8"/>
    <mergeCell ref="B318:M318"/>
    <mergeCell ref="D258:E258"/>
    <mergeCell ref="B333:M333"/>
    <mergeCell ref="B10:M10"/>
    <mergeCell ref="B308:M308"/>
    <mergeCell ref="F251:G251"/>
    <mergeCell ref="B99:M99"/>
    <mergeCell ref="H251:I251"/>
    <mergeCell ref="F238:G238"/>
    <mergeCell ref="H238:I238"/>
    <mergeCell ref="B74:M74"/>
    <mergeCell ref="B68:M68"/>
    <mergeCell ref="B310:M310"/>
    <mergeCell ref="D253:E253"/>
    <mergeCell ref="F253:G253"/>
    <mergeCell ref="E25:M25"/>
    <mergeCell ref="H253:I253"/>
    <mergeCell ref="F240:G240"/>
    <mergeCell ref="B76:M76"/>
    <mergeCell ref="H246:I246"/>
    <mergeCell ref="B361:M361"/>
    <mergeCell ref="J246:K246"/>
    <mergeCell ref="H248:I248"/>
    <mergeCell ref="B150:M150"/>
    <mergeCell ref="J248:K248"/>
    <mergeCell ref="B321:M321"/>
    <mergeCell ref="B215:M215"/>
    <mergeCell ref="B21:D21"/>
    <mergeCell ref="B152:M152"/>
    <mergeCell ref="B323:M323"/>
    <mergeCell ref="E20:M20"/>
    <mergeCell ref="B242:C242"/>
    <mergeCell ref="F266:G266"/>
    <mergeCell ref="B23:D23"/>
    <mergeCell ref="B229:M229"/>
    <mergeCell ref="B145:M145"/>
    <mergeCell ref="L268:M268"/>
    <mergeCell ref="B181:M181"/>
    <mergeCell ref="D259:E259"/>
    <mergeCell ref="F259:G259"/>
    <mergeCell ref="B270:C270"/>
    <mergeCell ref="B163:M163"/>
    <mergeCell ref="B334:M334"/>
    <mergeCell ref="B113:M113"/>
    <mergeCell ref="B239:C239"/>
    <mergeCell ref="B100:M100"/>
    <mergeCell ref="F261:G261"/>
    <mergeCell ref="E33:M33"/>
    <mergeCell ref="B336:M336"/>
    <mergeCell ref="B311:M311"/>
    <mergeCell ref="B115:M115"/>
    <mergeCell ref="F254:G254"/>
    <mergeCell ref="B102:M102"/>
    <mergeCell ref="H254:I254"/>
    <mergeCell ref="E35:M35"/>
    <mergeCell ref="B77:M77"/>
    <mergeCell ref="F256:G256"/>
    <mergeCell ref="J247:K247"/>
    <mergeCell ref="E28:M28"/>
    <mergeCell ref="H256:I256"/>
    <mergeCell ref="B29:D29"/>
    <mergeCell ref="J249:K249"/>
    <mergeCell ref="E30:M30"/>
    <mergeCell ref="B263:C263"/>
    <mergeCell ref="L249:M249"/>
    <mergeCell ref="J241:K241"/>
    <mergeCell ref="B244:C244"/>
    <mergeCell ref="B329:M329"/>
    <mergeCell ref="D272:E272"/>
    <mergeCell ref="F272:G272"/>
    <mergeCell ref="B316:M316"/>
    <mergeCell ref="B24:D24"/>
    <mergeCell ref="B258:C258"/>
    <mergeCell ref="B245:C245"/>
    <mergeCell ref="B331:M331"/>
    <mergeCell ref="D274:E274"/>
    <mergeCell ref="D245:E245"/>
    <mergeCell ref="B32:D32"/>
    <mergeCell ref="F274:G274"/>
    <mergeCell ref="B26:D26"/>
    <mergeCell ref="B197:M197"/>
    <mergeCell ref="B260:C260"/>
    <mergeCell ref="B97:M97"/>
    <mergeCell ref="E21:M21"/>
    <mergeCell ref="B324:M324"/>
    <mergeCell ref="H267:I267"/>
    <mergeCell ref="J267:K267"/>
    <mergeCell ref="B90:M90"/>
    <mergeCell ref="H242:I242"/>
    <mergeCell ref="E23:M23"/>
    <mergeCell ref="D240:E240"/>
    <mergeCell ref="B27:D27"/>
    <mergeCell ref="F269:G269"/>
    <mergeCell ref="H269:I269"/>
    <mergeCell ref="H244:I244"/>
    <mergeCell ref="J244:K244"/>
    <mergeCell ref="B42:D42"/>
    <mergeCell ref="B271:C271"/>
    <mergeCell ref="J262:K262"/>
    <mergeCell ref="L262:M262"/>
    <mergeCell ref="B179:M179"/>
    <mergeCell ref="E34:M34"/>
    <mergeCell ref="B166:M166"/>
    <mergeCell ref="B116:M116"/>
    <mergeCell ref="B37:D37"/>
    <mergeCell ref="L239:M239"/>
    <mergeCell ref="B352:M352"/>
    <mergeCell ref="B174:M174"/>
    <mergeCell ref="B108:M108"/>
    <mergeCell ref="B230:M230"/>
    <mergeCell ref="E36:M36"/>
    <mergeCell ref="B143:M143"/>
    <mergeCell ref="B118:M118"/>
    <mergeCell ref="B20:D20"/>
    <mergeCell ref="H257:I257"/>
    <mergeCell ref="J257:K257"/>
    <mergeCell ref="J255:K255"/>
    <mergeCell ref="B255:C255"/>
    <mergeCell ref="L255:M255"/>
    <mergeCell ref="J242:K242"/>
    <mergeCell ref="D255:E255"/>
    <mergeCell ref="L242:M242"/>
    <mergeCell ref="B266:C266"/>
    <mergeCell ref="B134:M134"/>
    <mergeCell ref="D260:E260"/>
    <mergeCell ref="B357:M357"/>
    <mergeCell ref="B96:M96"/>
    <mergeCell ref="B268:C268"/>
    <mergeCell ref="L250:M250"/>
    <mergeCell ref="B332:M332"/>
    <mergeCell ref="F275:G275"/>
    <mergeCell ref="L237:M237"/>
    <mergeCell ref="H275:I275"/>
    <mergeCell ref="B111:M111"/>
    <mergeCell ref="B261:C261"/>
    <mergeCell ref="B98:M98"/>
    <mergeCell ref="D261:E261"/>
    <mergeCell ref="F277:G277"/>
    <mergeCell ref="B175:M175"/>
    <mergeCell ref="B162:M162"/>
    <mergeCell ref="F276:G276"/>
    <mergeCell ref="H276:I276"/>
    <mergeCell ref="H270:I270"/>
    <mergeCell ref="J270:K270"/>
    <mergeCell ref="J245:K245"/>
    <mergeCell ref="E26:M26"/>
    <mergeCell ref="B187:M187"/>
    <mergeCell ref="B250:C250"/>
    <mergeCell ref="B189:M189"/>
    <mergeCell ref="B45:M45"/>
    <mergeCell ref="B216:M216"/>
    <mergeCell ref="B188:M188"/>
    <mergeCell ref="L240:M240"/>
    <mergeCell ref="B351:M351"/>
    <mergeCell ref="B59:M59"/>
    <mergeCell ref="B193:M193"/>
    <mergeCell ref="B190:M190"/>
    <mergeCell ref="B295:M295"/>
    <mergeCell ref="B46:M46"/>
    <mergeCell ref="B282:M282"/>
    <mergeCell ref="E39:M39"/>
    <mergeCell ref="F271:G271"/>
    <mergeCell ref="B346:M346"/>
    <mergeCell ref="J258:K258"/>
    <mergeCell ref="L258:M258"/>
    <mergeCell ref="B371:M371"/>
    <mergeCell ref="L245:M245"/>
    <mergeCell ref="J260:K260"/>
    <mergeCell ref="L260:M260"/>
    <mergeCell ref="B300:M300"/>
    <mergeCell ref="B360:M360"/>
    <mergeCell ref="L259:M259"/>
    <mergeCell ref="B201:M201"/>
    <mergeCell ref="E32:M32"/>
    <mergeCell ref="B164:M164"/>
    <mergeCell ref="B335:M335"/>
    <mergeCell ref="B41:D41"/>
    <mergeCell ref="B35:D35"/>
    <mergeCell ref="B212:M212"/>
    <mergeCell ref="B206:M206"/>
    <mergeCell ref="D264:E264"/>
    <mergeCell ref="B203:M203"/>
    <mergeCell ref="F264:G264"/>
    <mergeCell ref="L271:M271"/>
    <mergeCell ref="B241:C241"/>
    <mergeCell ref="B251:C251"/>
    <mergeCell ref="D251:E251"/>
    <mergeCell ref="H273:I273"/>
    <mergeCell ref="J273:K273"/>
    <mergeCell ref="B117:M117"/>
    <mergeCell ref="B61:M61"/>
    <mergeCell ref="B132:M132"/>
    <mergeCell ref="D246:E246"/>
    <mergeCell ref="F246:G246"/>
    <mergeCell ref="B119:M119"/>
    <mergeCell ref="B290:M290"/>
    <mergeCell ref="B367:M367"/>
    <mergeCell ref="D248:E248"/>
    <mergeCell ref="D275:E275"/>
    <mergeCell ref="F248:G248"/>
    <mergeCell ref="B354:M354"/>
    <mergeCell ref="B348:M348"/>
    <mergeCell ref="B127:M127"/>
    <mergeCell ref="B298:M298"/>
    <mergeCell ref="B285:M285"/>
    <mergeCell ref="H266:I266"/>
    <mergeCell ref="H241:I241"/>
    <mergeCell ref="D277:E277"/>
    <mergeCell ref="J266:K266"/>
    <mergeCell ref="F243:G243"/>
    <mergeCell ref="H268:I268"/>
    <mergeCell ref="H243:I243"/>
    <mergeCell ref="J268:K268"/>
    <mergeCell ref="B16:M16"/>
    <mergeCell ref="B138:M138"/>
    <mergeCell ref="B209:M209"/>
    <mergeCell ref="L261:M261"/>
    <mergeCell ref="B3:M3"/>
    <mergeCell ref="B301:M301"/>
    <mergeCell ref="B214:M214"/>
    <mergeCell ref="B18:M18"/>
    <mergeCell ref="B303:M303"/>
    <mergeCell ref="B342:M342"/>
    <mergeCell ref="D254:E254"/>
    <mergeCell ref="L272:M272"/>
    <mergeCell ref="B158:M158"/>
    <mergeCell ref="B6:M6"/>
    <mergeCell ref="B133:M133"/>
    <mergeCell ref="F247:G247"/>
    <mergeCell ref="B369:M369"/>
    <mergeCell ref="B4:D4"/>
    <mergeCell ref="B160:M160"/>
    <mergeCell ref="L274:M274"/>
    <mergeCell ref="B356:M356"/>
    <mergeCell ref="B368:M368"/>
    <mergeCell ref="B135:M135"/>
    <mergeCell ref="F249:G249"/>
    <mergeCell ref="B227:M227"/>
    <mergeCell ref="H249:I249"/>
    <mergeCell ref="B224:M224"/>
    <mergeCell ref="B72:M72"/>
    <mergeCell ref="B199:M199"/>
    <mergeCell ref="B370:M370"/>
    <mergeCell ref="B291:M291"/>
    <mergeCell ref="B237:C237"/>
    <mergeCell ref="B228:M228"/>
    <mergeCell ref="B293:M293"/>
    <mergeCell ref="B322:M322"/>
    <mergeCell ref="B88:M88"/>
    <mergeCell ref="B238:C238"/>
    <mergeCell ref="D267:E267"/>
    <mergeCell ref="F267:G267"/>
    <mergeCell ref="B253:C253"/>
    <mergeCell ref="B146:M146"/>
    <mergeCell ref="L264:M264"/>
    <mergeCell ref="B317:M317"/>
    <mergeCell ref="B240:C240"/>
    <mergeCell ref="D269:E269"/>
    <mergeCell ref="B304:M304"/>
    <mergeCell ref="H247:I247"/>
    <mergeCell ref="B83:M83"/>
    <mergeCell ref="B319:M319"/>
    <mergeCell ref="F262:G262"/>
    <mergeCell ref="H262:I262"/>
    <mergeCell ref="H237:I237"/>
    <mergeCell ref="D273:E273"/>
    <mergeCell ref="F273:G273"/>
    <mergeCell ref="F239:G239"/>
    <mergeCell ref="H239:I239"/>
    <mergeCell ref="B141:M141"/>
    <mergeCell ref="B159:M159"/>
    <mergeCell ref="F257:G257"/>
    <mergeCell ref="E29:M29"/>
    <mergeCell ref="B161:M161"/>
    <mergeCell ref="B136:M136"/>
    <mergeCell ref="B225:M225"/>
    <mergeCell ref="L277:M277"/>
    <mergeCell ref="E31:M31"/>
    <mergeCell ref="F252:G252"/>
    <mergeCell ref="H252:I252"/>
    <mergeCell ref="B373:M373"/>
    <mergeCell ref="H250:I250"/>
    <mergeCell ref="J250:K250"/>
    <mergeCell ref="J237:K237"/>
    <mergeCell ref="B154:M154"/>
    <mergeCell ref="B325:M325"/>
    <mergeCell ref="J239:K239"/>
    <mergeCell ref="B25:D25"/>
    <mergeCell ref="B254:C254"/>
    <mergeCell ref="E24:M24"/>
    <mergeCell ref="B156:M156"/>
    <mergeCell ref="B327:M327"/>
    <mergeCell ref="F270:G270"/>
    <mergeCell ref="B22:D22"/>
    <mergeCell ref="E42:M42"/>
    <mergeCell ref="F245:G245"/>
    <mergeCell ref="B256:C256"/>
    <mergeCell ref="B320:M320"/>
    <mergeCell ref="D256:E256"/>
    <mergeCell ref="B220:M220"/>
    <mergeCell ref="H263:I263"/>
    <mergeCell ref="J263:K263"/>
    <mergeCell ref="F265:G265"/>
    <mergeCell ref="H265:I265"/>
    <mergeCell ref="B101:M101"/>
    <mergeCell ref="H240:I240"/>
    <mergeCell ref="B38:D38"/>
    <mergeCell ref="B272:C272"/>
    <mergeCell ref="B259:C259"/>
    <mergeCell ref="B40:D40"/>
    <mergeCell ref="B211:M211"/>
    <mergeCell ref="B274:C274"/>
    <mergeCell ref="B338:M338"/>
    <mergeCell ref="B33:D33"/>
    <mergeCell ref="B183:M183"/>
    <mergeCell ref="B267:C267"/>
    <mergeCell ref="B104:M104"/>
    <mergeCell ref="E37:M37"/>
    <mergeCell ref="B340:M340"/>
    <mergeCell ref="F258:G258"/>
    <mergeCell ref="B269:C269"/>
    <mergeCell ref="B106:M106"/>
    <mergeCell ref="H258:I258"/>
    <mergeCell ref="B302:M302"/>
    <mergeCell ref="H245:I245"/>
    <mergeCell ref="B81:M81"/>
    <mergeCell ref="B366:M366"/>
    <mergeCell ref="F260:G260"/>
    <mergeCell ref="J251:K251"/>
    <mergeCell ref="H260:I260"/>
    <mergeCell ref="L251:M251"/>
    <mergeCell ref="J238:K238"/>
    <mergeCell ref="L238:M238"/>
    <mergeCell ref="J253:K253"/>
    <mergeCell ref="L253:M253"/>
    <mergeCell ref="J240:K240"/>
    <mergeCell ref="B264:C264"/>
    <mergeCell ref="L246:M246"/>
    <mergeCell ref="B247:C247"/>
    <mergeCell ref="B34:D34"/>
    <mergeCell ref="H271:I271"/>
    <mergeCell ref="B28:D28"/>
    <mergeCell ref="B172:M172"/>
    <mergeCell ref="D257:E257"/>
    <mergeCell ref="B262:C262"/>
    <mergeCell ref="L273:M273"/>
    <mergeCell ref="E27:M27"/>
    <mergeCell ref="L248:M248"/>
    <mergeCell ref="B288:M288"/>
    <mergeCell ref="B30:D30"/>
    <mergeCell ref="B92:M92"/>
    <mergeCell ref="B94:M94"/>
    <mergeCell ref="E22:M22"/>
    <mergeCell ref="B246:C246"/>
    <mergeCell ref="B54:M54"/>
    <mergeCell ref="B125:M125"/>
    <mergeCell ref="B185:M185"/>
    <mergeCell ref="B275:C275"/>
    <mergeCell ref="B56:M56"/>
    <mergeCell ref="L241:M241"/>
    <mergeCell ref="D241:E241"/>
    <mergeCell ref="B347:M347"/>
    <mergeCell ref="F241:G241"/>
    <mergeCell ref="B277:C277"/>
    <mergeCell ref="E38:M38"/>
    <mergeCell ref="B341:M341"/>
    <mergeCell ref="B252:C252"/>
    <mergeCell ref="J243:K243"/>
    <mergeCell ref="L243:M243"/>
    <mergeCell ref="D243:E243"/>
    <mergeCell ref="H259:I259"/>
    <mergeCell ref="D270:E270"/>
    <mergeCell ref="J259:K259"/>
    <mergeCell ref="E40:M40"/>
    <mergeCell ref="B57:M57"/>
    <mergeCell ref="B171:M171"/>
    <mergeCell ref="H261:I261"/>
    <mergeCell ref="J261:K261"/>
    <mergeCell ref="J254:K254"/>
    <mergeCell ref="L254:M254"/>
    <mergeCell ref="B36:D36"/>
    <mergeCell ref="B359:M359"/>
    <mergeCell ref="J256:K256"/>
    <mergeCell ref="B204:M204"/>
    <mergeCell ref="L256:M256"/>
    <mergeCell ref="B257:C257"/>
    <mergeCell ref="B296:M296"/>
    <mergeCell ref="B173:M173"/>
    <mergeCell ref="B75:M75"/>
    <mergeCell ref="B31:D31"/>
    <mergeCell ref="B202:M202"/>
    <mergeCell ref="B265:C265"/>
    <mergeCell ref="D265:E265"/>
    <mergeCell ref="D252:E252"/>
    <mergeCell ref="H272:I272"/>
    <mergeCell ref="B39:D39"/>
    <mergeCell ref="J272:K272"/>
    <mergeCell ref="B70:M70"/>
    <mergeCell ref="D247:E247"/>
    <mergeCell ref="H274:I274"/>
    <mergeCell ref="J274:K274"/>
    <mergeCell ref="B191:M191"/>
    <mergeCell ref="D249:E249"/>
    <mergeCell ref="B276:C276"/>
    <mergeCell ref="D276:E276"/>
    <mergeCell ref="L267:M267"/>
    <mergeCell ref="B349:M349"/>
    <mergeCell ref="D242:E242"/>
    <mergeCell ref="B226:M226"/>
    <mergeCell ref="F242:G242"/>
    <mergeCell ref="J269:K269"/>
    <mergeCell ref="L269:M269"/>
    <mergeCell ref="B192:M192"/>
    <mergeCell ref="L244:M244"/>
    <mergeCell ref="D244:E244"/>
    <mergeCell ref="F244:G244"/>
    <mergeCell ref="B284:M284"/>
    <mergeCell ref="E41:M41"/>
    <mergeCell ref="B222:M222"/>
    <mergeCell ref="B344:M344"/>
    <mergeCell ref="B63:M63"/>
    <mergeCell ref="B123:M123"/>
    <mergeCell ref="B50:M50"/>
    <mergeCell ref="B286:M286"/>
    <mergeCell ref="H264:I264"/>
    <mergeCell ref="J264:K264"/>
    <mergeCell ref="L247:M247"/>
    <mergeCell ref="L257:M257"/>
    <mergeCell ref="D271:E271"/>
    <mergeCell ref="D262:E262"/>
    <mergeCell ref="B297:M297"/>
    <mergeCell ref="B235:M235"/>
    <mergeCell ref="D237:E237"/>
    <mergeCell ref="B14:M14"/>
    <mergeCell ref="B273:C273"/>
    <mergeCell ref="B337:M337"/>
    <mergeCell ref="B312:M312"/>
    <mergeCell ref="F255:G255"/>
    <mergeCell ref="B299:M299"/>
    <mergeCell ref="H255:I255"/>
    <mergeCell ref="B103:M103"/>
    <mergeCell ref="B78:M78"/>
    <mergeCell ref="D239:E239"/>
    <mergeCell ref="D266:E266"/>
    <mergeCell ref="B339:M339"/>
    <mergeCell ref="B314:M314"/>
    <mergeCell ref="B363:M363"/>
    <mergeCell ref="D268:E268"/>
    <mergeCell ref="F268:G268"/>
    <mergeCell ref="J275:K275"/>
    <mergeCell ref="L275:M275"/>
    <mergeCell ref="B169:M169"/>
    <mergeCell ref="H277:I277"/>
    <mergeCell ref="J277:K277"/>
    <mergeCell ref="B129:M129"/>
    <mergeCell ref="J252:K252"/>
    <mergeCell ref="B200:M200"/>
    <mergeCell ref="L252:M252"/>
    <mergeCell ref="B194:M194"/>
    <mergeCell ref="J276:K276"/>
    <mergeCell ref="B365:M365"/>
    <mergeCell ref="L276:M276"/>
    <mergeCell ref="B292:M292"/>
    <mergeCell ref="L270:M270"/>
    <mergeCell ref="B131:M131"/>
    <mergeCell ref="B58:M58"/>
    <mergeCell ref="D250:E250"/>
    <mergeCell ref="B52:M52"/>
    <mergeCell ref="F250:G250"/>
    <mergeCell ref="B294:M294"/>
    <mergeCell ref="B350:M350"/>
  </mergeCells>
  <hyperlinks>
    <hyperlink ref="B4" location="'Start Here'!B2" display="START HER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87F8C"/>
    <outlinePr summaryBelow="1" summaryRight="1"/>
    <pageSetUpPr fitToPage="0"/>
  </sheetPr>
  <dimension ref="A1:W94"/>
  <sheetViews>
    <sheetView showFormulas="0" showGridLines="0" showRowColHeaders="1" showZeros="1" rightToLeft="0" tabSelected="0" showOutlineSymbols="1" defaultGridColor="1" view="normal" topLeftCell="A1" colorId="64" zoomScale="80" zoomScaleNormal="8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baseColWidth="8" defaultColWidth="8.6796875" defaultRowHeight="15" customHeight="0" zeroHeight="0" outlineLevelRow="0"/>
  <cols>
    <col width="3" customWidth="1" style="33" min="1" max="1"/>
    <col width="14" customWidth="1" style="33" min="2" max="2"/>
    <col width="22" customWidth="1" style="33" min="3" max="3"/>
    <col width="12" customWidth="1" style="33" min="4" max="4"/>
    <col width="16" customWidth="1" style="33" min="5" max="5"/>
    <col width="12" customWidth="1" style="33" min="6" max="6"/>
    <col width="17" customWidth="1" style="33" min="7" max="7"/>
    <col width="16" customWidth="1" style="33" min="8" max="8"/>
    <col width="18" customWidth="1" style="33" min="9" max="9"/>
    <col width="16" customWidth="1" style="33" min="10" max="11"/>
    <col width="32" customWidth="1" style="33" min="12" max="12"/>
    <col width="16" customWidth="1" style="33" min="13" max="16"/>
    <col width="17" customWidth="1" style="33" min="17" max="17"/>
    <col width="18" customWidth="1" style="33" min="18" max="18"/>
    <col width="30" customWidth="1" style="33" min="19" max="20"/>
    <col width="26" customWidth="1" style="33" min="21" max="21"/>
    <col width="30" customWidth="1" style="33" min="22" max="22"/>
    <col width="14" customWidth="1" style="33" min="23" max="23"/>
  </cols>
  <sheetData>
    <row r="1" ht="9.75" customHeight="1" s="34"/>
    <row r="2" ht="39.75" customHeight="1" s="34">
      <c r="B2" s="35" t="inlineStr">
        <is>
          <t>TRAINING LOGS</t>
        </is>
      </c>
    </row>
    <row r="3" ht="27.75" customHeight="1" s="34">
      <c r="B3" s="36" t="inlineStr">
        <is>
          <t>Blue cells are editable inputs; pale-green cells are formulas. Progression remains a coach decision, not an automatic diagnosis.</t>
        </is>
      </c>
    </row>
    <row r="4" ht="27" customHeight="1" s="34">
      <c r="B4" s="37" t="inlineStr">
        <is>
          <t>START HERE</t>
        </is>
      </c>
    </row>
    <row r="5" ht="27.75" customHeight="1" s="34">
      <c r="B5" s="41" t="inlineStr">
        <is>
          <t>SESSION LOG | Enter Standard or Reduced and Base/P/B/M. Extra task reps include any added baseline, warm-up or challenge work. Blank inputs remain blank; ratios are descriptive, not an advancement gate.</t>
        </is>
      </c>
    </row>
    <row r="6" ht="42.75" customHeight="1" s="34">
      <c r="B6" s="43" t="inlineStr">
        <is>
          <t>Date</t>
        </is>
      </c>
      <c r="C6" s="43" t="inlineStr">
        <is>
          <t>Hitter / group</t>
        </is>
      </c>
      <c r="D6" s="43" t="inlineStr">
        <is>
          <t>Stage</t>
        </is>
      </c>
      <c r="E6" s="43" t="inlineStr">
        <is>
          <t>Dose</t>
        </is>
      </c>
      <c r="F6" s="43" t="inlineStr">
        <is>
          <t>Focus</t>
        </is>
      </c>
      <c r="G6" s="43" t="inlineStr">
        <is>
          <t>Planned task reps</t>
        </is>
      </c>
      <c r="H6" s="43" t="inlineStr">
        <is>
          <t>Extra task reps</t>
        </is>
      </c>
      <c r="I6" s="43" t="inlineStr">
        <is>
          <t>Plan incl. extras</t>
        </is>
      </c>
      <c r="J6" s="43" t="inlineStr">
        <is>
          <t>Actual task reps</t>
        </is>
      </c>
      <c r="K6" s="43" t="inlineStr">
        <is>
          <t>Actual swings</t>
        </is>
      </c>
      <c r="L6" s="43" t="inlineStr">
        <is>
          <t>Primary target</t>
        </is>
      </c>
      <c r="M6" s="43" t="inlineStr">
        <is>
          <t>Baseline controlled</t>
        </is>
      </c>
      <c r="N6" s="43" t="inlineStr">
        <is>
          <t>Baseline assessable</t>
        </is>
      </c>
      <c r="O6" s="43" t="inlineStr">
        <is>
          <t>Exit controlled</t>
        </is>
      </c>
      <c r="P6" s="43" t="inlineStr">
        <is>
          <t>Exit assessable</t>
        </is>
      </c>
      <c r="Q6" s="43" t="inlineStr">
        <is>
          <t>Exit control rate</t>
        </is>
      </c>
      <c r="R6" s="43" t="inlineStr">
        <is>
          <t>Safety / comfort</t>
        </is>
      </c>
      <c r="S6" s="43" t="inlineStr">
        <is>
          <t>Contact outcome</t>
        </is>
      </c>
      <c r="T6" s="43" t="inlineStr">
        <is>
          <t>Retention outcome</t>
        </is>
      </c>
      <c r="U6" s="43" t="inlineStr">
        <is>
          <t>Coach decision</t>
        </is>
      </c>
      <c r="V6" s="43" t="inlineStr">
        <is>
          <t>Next cue</t>
        </is>
      </c>
      <c r="W6" s="43" t="inlineStr">
        <is>
          <t>Focus drill ID</t>
        </is>
      </c>
    </row>
    <row r="7" ht="43.5" customHeight="1" s="34">
      <c r="B7" s="56" t="n"/>
      <c r="C7" s="57" t="n"/>
      <c r="D7" s="58" t="n"/>
      <c r="E7" s="57" t="n"/>
      <c r="F7" s="57" t="n"/>
      <c r="G7" s="59">
        <f>IF(OR(D7="",E7="",F7=""),"",IF(E7="Reduced",20,36)+IF(F7="Base",0,IF(E7="Reduced",4,8)))</f>
        <v/>
      </c>
      <c r="H7" s="58" t="n"/>
      <c r="I7" s="59">
        <f>IF(G7="","",G7+IF(H7="",0,H7))</f>
        <v/>
      </c>
      <c r="J7" s="58" t="n"/>
      <c r="K7" s="58" t="n"/>
      <c r="L7" s="57" t="n"/>
      <c r="M7" s="58" t="n"/>
      <c r="N7" s="58" t="n"/>
      <c r="O7" s="58" t="n"/>
      <c r="P7" s="58" t="n"/>
      <c r="Q7" s="60">
        <f>IF(OR(O7="",P7="",P7=0),"",O7/P7)</f>
        <v/>
      </c>
      <c r="R7" s="57" t="n"/>
      <c r="S7" s="57" t="n"/>
      <c r="T7" s="57" t="n"/>
      <c r="U7" s="57" t="n"/>
      <c r="V7" s="57" t="n"/>
      <c r="W7" s="58" t="n"/>
    </row>
    <row r="8" ht="43.5" customHeight="1" s="34">
      <c r="B8" s="56" t="n"/>
      <c r="C8" s="57" t="n"/>
      <c r="D8" s="58" t="n"/>
      <c r="E8" s="57" t="n"/>
      <c r="F8" s="57" t="n"/>
      <c r="G8" s="59">
        <f>IF(OR(D8="",E8="",F8=""),"",IF(E8="Reduced",20,36)+IF(F8="Base",0,IF(E8="Reduced",4,8)))</f>
        <v/>
      </c>
      <c r="H8" s="58" t="n"/>
      <c r="I8" s="59">
        <f>IF(G8="","",G8+IF(H8="",0,H8))</f>
        <v/>
      </c>
      <c r="J8" s="58" t="n"/>
      <c r="K8" s="58" t="n"/>
      <c r="L8" s="57" t="n"/>
      <c r="M8" s="58" t="n"/>
      <c r="N8" s="58" t="n"/>
      <c r="O8" s="58" t="n"/>
      <c r="P8" s="58" t="n"/>
      <c r="Q8" s="60">
        <f>IF(OR(O8="",P8="",P8=0),"",O8/P8)</f>
        <v/>
      </c>
      <c r="R8" s="57" t="n"/>
      <c r="S8" s="57" t="n"/>
      <c r="T8" s="57" t="n"/>
      <c r="U8" s="57" t="n"/>
      <c r="V8" s="57" t="n"/>
      <c r="W8" s="58" t="n"/>
    </row>
    <row r="9" ht="43.5" customHeight="1" s="34">
      <c r="B9" s="56" t="n"/>
      <c r="C9" s="57" t="n"/>
      <c r="D9" s="58" t="n"/>
      <c r="E9" s="57" t="n"/>
      <c r="F9" s="57" t="n"/>
      <c r="G9" s="59">
        <f>IF(OR(D9="",E9="",F9=""),"",IF(E9="Reduced",20,36)+IF(F9="Base",0,IF(E9="Reduced",4,8)))</f>
        <v/>
      </c>
      <c r="H9" s="58" t="n"/>
      <c r="I9" s="59">
        <f>IF(G9="","",G9+IF(H9="",0,H9))</f>
        <v/>
      </c>
      <c r="J9" s="58" t="n"/>
      <c r="K9" s="58" t="n"/>
      <c r="L9" s="57" t="n"/>
      <c r="M9" s="58" t="n"/>
      <c r="N9" s="58" t="n"/>
      <c r="O9" s="58" t="n"/>
      <c r="P9" s="58" t="n"/>
      <c r="Q9" s="60">
        <f>IF(OR(O9="",P9="",P9=0),"",O9/P9)</f>
        <v/>
      </c>
      <c r="R9" s="57" t="n"/>
      <c r="S9" s="57" t="n"/>
      <c r="T9" s="57" t="n"/>
      <c r="U9" s="57" t="n"/>
      <c r="V9" s="57" t="n"/>
      <c r="W9" s="58" t="n"/>
    </row>
    <row r="10" ht="43.5" customHeight="1" s="34">
      <c r="B10" s="56" t="n"/>
      <c r="C10" s="57" t="n"/>
      <c r="D10" s="58" t="n"/>
      <c r="E10" s="57" t="n"/>
      <c r="F10" s="57" t="n"/>
      <c r="G10" s="59">
        <f>IF(OR(D10="",E10="",F10=""),"",IF(E10="Reduced",20,36)+IF(F10="Base",0,IF(E10="Reduced",4,8)))</f>
        <v/>
      </c>
      <c r="H10" s="58" t="n"/>
      <c r="I10" s="59">
        <f>IF(G10="","",G10+IF(H10="",0,H10))</f>
        <v/>
      </c>
      <c r="J10" s="58" t="n"/>
      <c r="K10" s="58" t="n"/>
      <c r="L10" s="57" t="n"/>
      <c r="M10" s="58" t="n"/>
      <c r="N10" s="58" t="n"/>
      <c r="O10" s="58" t="n"/>
      <c r="P10" s="58" t="n"/>
      <c r="Q10" s="60">
        <f>IF(OR(O10="",P10="",P10=0),"",O10/P10)</f>
        <v/>
      </c>
      <c r="R10" s="57" t="n"/>
      <c r="S10" s="57" t="n"/>
      <c r="T10" s="57" t="n"/>
      <c r="U10" s="57" t="n"/>
      <c r="V10" s="57" t="n"/>
      <c r="W10" s="58" t="n"/>
    </row>
    <row r="11" ht="43.5" customHeight="1" s="34">
      <c r="B11" s="56" t="n"/>
      <c r="C11" s="57" t="n"/>
      <c r="D11" s="58" t="n"/>
      <c r="E11" s="57" t="n"/>
      <c r="F11" s="57" t="n"/>
      <c r="G11" s="59">
        <f>IF(OR(D11="",E11="",F11=""),"",IF(E11="Reduced",20,36)+IF(F11="Base",0,IF(E11="Reduced",4,8)))</f>
        <v/>
      </c>
      <c r="H11" s="58" t="n"/>
      <c r="I11" s="59">
        <f>IF(G11="","",G11+IF(H11="",0,H11))</f>
        <v/>
      </c>
      <c r="J11" s="58" t="n"/>
      <c r="K11" s="58" t="n"/>
      <c r="L11" s="57" t="n"/>
      <c r="M11" s="58" t="n"/>
      <c r="N11" s="58" t="n"/>
      <c r="O11" s="58" t="n"/>
      <c r="P11" s="58" t="n"/>
      <c r="Q11" s="60">
        <f>IF(OR(O11="",P11="",P11=0),"",O11/P11)</f>
        <v/>
      </c>
      <c r="R11" s="57" t="n"/>
      <c r="S11" s="57" t="n"/>
      <c r="T11" s="57" t="n"/>
      <c r="U11" s="57" t="n"/>
      <c r="V11" s="57" t="n"/>
      <c r="W11" s="58" t="n"/>
    </row>
    <row r="12" ht="43.5" customHeight="1" s="34">
      <c r="B12" s="56" t="n"/>
      <c r="C12" s="57" t="n"/>
      <c r="D12" s="58" t="n"/>
      <c r="E12" s="57" t="n"/>
      <c r="F12" s="57" t="n"/>
      <c r="G12" s="59">
        <f>IF(OR(D12="",E12="",F12=""),"",IF(E12="Reduced",20,36)+IF(F12="Base",0,IF(E12="Reduced",4,8)))</f>
        <v/>
      </c>
      <c r="H12" s="58" t="n"/>
      <c r="I12" s="59">
        <f>IF(G12="","",G12+IF(H12="",0,H12))</f>
        <v/>
      </c>
      <c r="J12" s="58" t="n"/>
      <c r="K12" s="58" t="n"/>
      <c r="L12" s="57" t="n"/>
      <c r="M12" s="58" t="n"/>
      <c r="N12" s="58" t="n"/>
      <c r="O12" s="58" t="n"/>
      <c r="P12" s="58" t="n"/>
      <c r="Q12" s="60">
        <f>IF(OR(O12="",P12="",P12=0),"",O12/P12)</f>
        <v/>
      </c>
      <c r="R12" s="57" t="n"/>
      <c r="S12" s="57" t="n"/>
      <c r="T12" s="57" t="n"/>
      <c r="U12" s="57" t="n"/>
      <c r="V12" s="57" t="n"/>
      <c r="W12" s="58" t="n"/>
    </row>
    <row r="13" ht="43.5" customHeight="1" s="34">
      <c r="B13" s="56" t="n"/>
      <c r="C13" s="57" t="n"/>
      <c r="D13" s="58" t="n"/>
      <c r="E13" s="57" t="n"/>
      <c r="F13" s="57" t="n"/>
      <c r="G13" s="59">
        <f>IF(OR(D13="",E13="",F13=""),"",IF(E13="Reduced",20,36)+IF(F13="Base",0,IF(E13="Reduced",4,8)))</f>
        <v/>
      </c>
      <c r="H13" s="58" t="n"/>
      <c r="I13" s="59">
        <f>IF(G13="","",G13+IF(H13="",0,H13))</f>
        <v/>
      </c>
      <c r="J13" s="58" t="n"/>
      <c r="K13" s="58" t="n"/>
      <c r="L13" s="57" t="n"/>
      <c r="M13" s="58" t="n"/>
      <c r="N13" s="58" t="n"/>
      <c r="O13" s="58" t="n"/>
      <c r="P13" s="58" t="n"/>
      <c r="Q13" s="60">
        <f>IF(OR(O13="",P13="",P13=0),"",O13/P13)</f>
        <v/>
      </c>
      <c r="R13" s="57" t="n"/>
      <c r="S13" s="57" t="n"/>
      <c r="T13" s="57" t="n"/>
      <c r="U13" s="57" t="n"/>
      <c r="V13" s="57" t="n"/>
      <c r="W13" s="58" t="n"/>
    </row>
    <row r="14" ht="43.5" customHeight="1" s="34">
      <c r="B14" s="56" t="n"/>
      <c r="C14" s="57" t="n"/>
      <c r="D14" s="58" t="n"/>
      <c r="E14" s="57" t="n"/>
      <c r="F14" s="57" t="n"/>
      <c r="G14" s="59">
        <f>IF(OR(D14="",E14="",F14=""),"",IF(E14="Reduced",20,36)+IF(F14="Base",0,IF(E14="Reduced",4,8)))</f>
        <v/>
      </c>
      <c r="H14" s="58" t="n"/>
      <c r="I14" s="59">
        <f>IF(G14="","",G14+IF(H14="",0,H14))</f>
        <v/>
      </c>
      <c r="J14" s="58" t="n"/>
      <c r="K14" s="58" t="n"/>
      <c r="L14" s="57" t="n"/>
      <c r="M14" s="58" t="n"/>
      <c r="N14" s="58" t="n"/>
      <c r="O14" s="58" t="n"/>
      <c r="P14" s="58" t="n"/>
      <c r="Q14" s="60">
        <f>IF(OR(O14="",P14="",P14=0),"",O14/P14)</f>
        <v/>
      </c>
      <c r="R14" s="57" t="n"/>
      <c r="S14" s="57" t="n"/>
      <c r="T14" s="57" t="n"/>
      <c r="U14" s="57" t="n"/>
      <c r="V14" s="57" t="n"/>
      <c r="W14" s="58" t="n"/>
    </row>
    <row r="15" ht="43.5" customHeight="1" s="34">
      <c r="B15" s="56" t="n"/>
      <c r="C15" s="57" t="n"/>
      <c r="D15" s="58" t="n"/>
      <c r="E15" s="57" t="n"/>
      <c r="F15" s="57" t="n"/>
      <c r="G15" s="59">
        <f>IF(OR(D15="",E15="",F15=""),"",IF(E15="Reduced",20,36)+IF(F15="Base",0,IF(E15="Reduced",4,8)))</f>
        <v/>
      </c>
      <c r="H15" s="58" t="n"/>
      <c r="I15" s="59">
        <f>IF(G15="","",G15+IF(H15="",0,H15))</f>
        <v/>
      </c>
      <c r="J15" s="58" t="n"/>
      <c r="K15" s="58" t="n"/>
      <c r="L15" s="57" t="n"/>
      <c r="M15" s="58" t="n"/>
      <c r="N15" s="58" t="n"/>
      <c r="O15" s="58" t="n"/>
      <c r="P15" s="58" t="n"/>
      <c r="Q15" s="60">
        <f>IF(OR(O15="",P15="",P15=0),"",O15/P15)</f>
        <v/>
      </c>
      <c r="R15" s="57" t="n"/>
      <c r="S15" s="57" t="n"/>
      <c r="T15" s="57" t="n"/>
      <c r="U15" s="57" t="n"/>
      <c r="V15" s="57" t="n"/>
      <c r="W15" s="58" t="n"/>
    </row>
    <row r="16" ht="43.5" customHeight="1" s="34">
      <c r="B16" s="56" t="n"/>
      <c r="C16" s="57" t="n"/>
      <c r="D16" s="58" t="n"/>
      <c r="E16" s="57" t="n"/>
      <c r="F16" s="57" t="n"/>
      <c r="G16" s="59">
        <f>IF(OR(D16="",E16="",F16=""),"",IF(E16="Reduced",20,36)+IF(F16="Base",0,IF(E16="Reduced",4,8)))</f>
        <v/>
      </c>
      <c r="H16" s="58" t="n"/>
      <c r="I16" s="59">
        <f>IF(G16="","",G16+IF(H16="",0,H16))</f>
        <v/>
      </c>
      <c r="J16" s="58" t="n"/>
      <c r="K16" s="58" t="n"/>
      <c r="L16" s="57" t="n"/>
      <c r="M16" s="58" t="n"/>
      <c r="N16" s="58" t="n"/>
      <c r="O16" s="58" t="n"/>
      <c r="P16" s="58" t="n"/>
      <c r="Q16" s="60">
        <f>IF(OR(O16="",P16="",P16=0),"",O16/P16)</f>
        <v/>
      </c>
      <c r="R16" s="57" t="n"/>
      <c r="S16" s="57" t="n"/>
      <c r="T16" s="57" t="n"/>
      <c r="U16" s="57" t="n"/>
      <c r="V16" s="57" t="n"/>
      <c r="W16" s="58" t="n"/>
    </row>
    <row r="17" ht="43.5" customHeight="1" s="34">
      <c r="B17" s="56" t="n"/>
      <c r="C17" s="57" t="n"/>
      <c r="D17" s="58" t="n"/>
      <c r="E17" s="57" t="n"/>
      <c r="F17" s="57" t="n"/>
      <c r="G17" s="59">
        <f>IF(OR(D17="",E17="",F17=""),"",IF(E17="Reduced",20,36)+IF(F17="Base",0,IF(E17="Reduced",4,8)))</f>
        <v/>
      </c>
      <c r="H17" s="58" t="n"/>
      <c r="I17" s="59">
        <f>IF(G17="","",G17+IF(H17="",0,H17))</f>
        <v/>
      </c>
      <c r="J17" s="58" t="n"/>
      <c r="K17" s="58" t="n"/>
      <c r="L17" s="57" t="n"/>
      <c r="M17" s="58" t="n"/>
      <c r="N17" s="58" t="n"/>
      <c r="O17" s="58" t="n"/>
      <c r="P17" s="58" t="n"/>
      <c r="Q17" s="60">
        <f>IF(OR(O17="",P17="",P17=0),"",O17/P17)</f>
        <v/>
      </c>
      <c r="R17" s="57" t="n"/>
      <c r="S17" s="57" t="n"/>
      <c r="T17" s="57" t="n"/>
      <c r="U17" s="57" t="n"/>
      <c r="V17" s="57" t="n"/>
      <c r="W17" s="58" t="n"/>
    </row>
    <row r="18" ht="43.5" customHeight="1" s="34">
      <c r="B18" s="56" t="n"/>
      <c r="C18" s="57" t="n"/>
      <c r="D18" s="58" t="n"/>
      <c r="E18" s="57" t="n"/>
      <c r="F18" s="57" t="n"/>
      <c r="G18" s="59">
        <f>IF(OR(D18="",E18="",F18=""),"",IF(E18="Reduced",20,36)+IF(F18="Base",0,IF(E18="Reduced",4,8)))</f>
        <v/>
      </c>
      <c r="H18" s="58" t="n"/>
      <c r="I18" s="59">
        <f>IF(G18="","",G18+IF(H18="",0,H18))</f>
        <v/>
      </c>
      <c r="J18" s="58" t="n"/>
      <c r="K18" s="58" t="n"/>
      <c r="L18" s="57" t="n"/>
      <c r="M18" s="58" t="n"/>
      <c r="N18" s="58" t="n"/>
      <c r="O18" s="58" t="n"/>
      <c r="P18" s="58" t="n"/>
      <c r="Q18" s="60">
        <f>IF(OR(O18="",P18="",P18=0),"",O18/P18)</f>
        <v/>
      </c>
      <c r="R18" s="57" t="n"/>
      <c r="S18" s="57" t="n"/>
      <c r="T18" s="57" t="n"/>
      <c r="U18" s="57" t="n"/>
      <c r="V18" s="57" t="n"/>
      <c r="W18" s="58" t="n"/>
    </row>
    <row r="19" ht="43.5" customHeight="1" s="34">
      <c r="B19" s="56" t="n"/>
      <c r="C19" s="57" t="n"/>
      <c r="D19" s="58" t="n"/>
      <c r="E19" s="57" t="n"/>
      <c r="F19" s="57" t="n"/>
      <c r="G19" s="59">
        <f>IF(OR(D19="",E19="",F19=""),"",IF(E19="Reduced",20,36)+IF(F19="Base",0,IF(E19="Reduced",4,8)))</f>
        <v/>
      </c>
      <c r="H19" s="58" t="n"/>
      <c r="I19" s="59">
        <f>IF(G19="","",G19+IF(H19="",0,H19))</f>
        <v/>
      </c>
      <c r="J19" s="58" t="n"/>
      <c r="K19" s="58" t="n"/>
      <c r="L19" s="57" t="n"/>
      <c r="M19" s="58" t="n"/>
      <c r="N19" s="58" t="n"/>
      <c r="O19" s="58" t="n"/>
      <c r="P19" s="58" t="n"/>
      <c r="Q19" s="60">
        <f>IF(OR(O19="",P19="",P19=0),"",O19/P19)</f>
        <v/>
      </c>
      <c r="R19" s="57" t="n"/>
      <c r="S19" s="57" t="n"/>
      <c r="T19" s="57" t="n"/>
      <c r="U19" s="57" t="n"/>
      <c r="V19" s="57" t="n"/>
      <c r="W19" s="58" t="n"/>
    </row>
    <row r="20" ht="43.5" customHeight="1" s="34">
      <c r="B20" s="56" t="n"/>
      <c r="C20" s="57" t="n"/>
      <c r="D20" s="58" t="n"/>
      <c r="E20" s="57" t="n"/>
      <c r="F20" s="57" t="n"/>
      <c r="G20" s="59">
        <f>IF(OR(D20="",E20="",F20=""),"",IF(E20="Reduced",20,36)+IF(F20="Base",0,IF(E20="Reduced",4,8)))</f>
        <v/>
      </c>
      <c r="H20" s="58" t="n"/>
      <c r="I20" s="59">
        <f>IF(G20="","",G20+IF(H20="",0,H20))</f>
        <v/>
      </c>
      <c r="J20" s="58" t="n"/>
      <c r="K20" s="58" t="n"/>
      <c r="L20" s="57" t="n"/>
      <c r="M20" s="58" t="n"/>
      <c r="N20" s="58" t="n"/>
      <c r="O20" s="58" t="n"/>
      <c r="P20" s="58" t="n"/>
      <c r="Q20" s="60">
        <f>IF(OR(O20="",P20="",P20=0),"",O20/P20)</f>
        <v/>
      </c>
      <c r="R20" s="57" t="n"/>
      <c r="S20" s="57" t="n"/>
      <c r="T20" s="57" t="n"/>
      <c r="U20" s="57" t="n"/>
      <c r="V20" s="57" t="n"/>
      <c r="W20" s="58" t="n"/>
    </row>
    <row r="21" ht="43.5" customHeight="1" s="34">
      <c r="B21" s="56" t="n"/>
      <c r="C21" s="57" t="n"/>
      <c r="D21" s="58" t="n"/>
      <c r="E21" s="57" t="n"/>
      <c r="F21" s="57" t="n"/>
      <c r="G21" s="59">
        <f>IF(OR(D21="",E21="",F21=""),"",IF(E21="Reduced",20,36)+IF(F21="Base",0,IF(E21="Reduced",4,8)))</f>
        <v/>
      </c>
      <c r="H21" s="58" t="n"/>
      <c r="I21" s="59">
        <f>IF(G21="","",G21+IF(H21="",0,H21))</f>
        <v/>
      </c>
      <c r="J21" s="58" t="n"/>
      <c r="K21" s="58" t="n"/>
      <c r="L21" s="57" t="n"/>
      <c r="M21" s="58" t="n"/>
      <c r="N21" s="58" t="n"/>
      <c r="O21" s="58" t="n"/>
      <c r="P21" s="58" t="n"/>
      <c r="Q21" s="60">
        <f>IF(OR(O21="",P21="",P21=0),"",O21/P21)</f>
        <v/>
      </c>
      <c r="R21" s="57" t="n"/>
      <c r="S21" s="57" t="n"/>
      <c r="T21" s="57" t="n"/>
      <c r="U21" s="57" t="n"/>
      <c r="V21" s="57" t="n"/>
      <c r="W21" s="58" t="n"/>
    </row>
    <row r="22" ht="43.5" customHeight="1" s="34">
      <c r="B22" s="56" t="n"/>
      <c r="C22" s="57" t="n"/>
      <c r="D22" s="58" t="n"/>
      <c r="E22" s="57" t="n"/>
      <c r="F22" s="57" t="n"/>
      <c r="G22" s="59">
        <f>IF(OR(D22="",E22="",F22=""),"",IF(E22="Reduced",20,36)+IF(F22="Base",0,IF(E22="Reduced",4,8)))</f>
        <v/>
      </c>
      <c r="H22" s="58" t="n"/>
      <c r="I22" s="59">
        <f>IF(G22="","",G22+IF(H22="",0,H22))</f>
        <v/>
      </c>
      <c r="J22" s="58" t="n"/>
      <c r="K22" s="58" t="n"/>
      <c r="L22" s="57" t="n"/>
      <c r="M22" s="58" t="n"/>
      <c r="N22" s="58" t="n"/>
      <c r="O22" s="58" t="n"/>
      <c r="P22" s="58" t="n"/>
      <c r="Q22" s="60">
        <f>IF(OR(O22="",P22="",P22=0),"",O22/P22)</f>
        <v/>
      </c>
      <c r="R22" s="57" t="n"/>
      <c r="S22" s="57" t="n"/>
      <c r="T22" s="57" t="n"/>
      <c r="U22" s="57" t="n"/>
      <c r="V22" s="57" t="n"/>
      <c r="W22" s="58" t="n"/>
    </row>
    <row r="23" ht="43.5" customHeight="1" s="34">
      <c r="B23" s="56" t="n"/>
      <c r="C23" s="57" t="n"/>
      <c r="D23" s="58" t="n"/>
      <c r="E23" s="57" t="n"/>
      <c r="F23" s="57" t="n"/>
      <c r="G23" s="59">
        <f>IF(OR(D23="",E23="",F23=""),"",IF(E23="Reduced",20,36)+IF(F23="Base",0,IF(E23="Reduced",4,8)))</f>
        <v/>
      </c>
      <c r="H23" s="58" t="n"/>
      <c r="I23" s="59">
        <f>IF(G23="","",G23+IF(H23="",0,H23))</f>
        <v/>
      </c>
      <c r="J23" s="58" t="n"/>
      <c r="K23" s="58" t="n"/>
      <c r="L23" s="57" t="n"/>
      <c r="M23" s="58" t="n"/>
      <c r="N23" s="58" t="n"/>
      <c r="O23" s="58" t="n"/>
      <c r="P23" s="58" t="n"/>
      <c r="Q23" s="60">
        <f>IF(OR(O23="",P23="",P23=0),"",O23/P23)</f>
        <v/>
      </c>
      <c r="R23" s="57" t="n"/>
      <c r="S23" s="57" t="n"/>
      <c r="T23" s="57" t="n"/>
      <c r="U23" s="57" t="n"/>
      <c r="V23" s="57" t="n"/>
      <c r="W23" s="58" t="n"/>
    </row>
    <row r="24" ht="43.5" customHeight="1" s="34">
      <c r="B24" s="56" t="n"/>
      <c r="C24" s="57" t="n"/>
      <c r="D24" s="58" t="n"/>
      <c r="E24" s="57" t="n"/>
      <c r="F24" s="57" t="n"/>
      <c r="G24" s="59">
        <f>IF(OR(D24="",E24="",F24=""),"",IF(E24="Reduced",20,36)+IF(F24="Base",0,IF(E24="Reduced",4,8)))</f>
        <v/>
      </c>
      <c r="H24" s="58" t="n"/>
      <c r="I24" s="59">
        <f>IF(G24="","",G24+IF(H24="",0,H24))</f>
        <v/>
      </c>
      <c r="J24" s="58" t="n"/>
      <c r="K24" s="58" t="n"/>
      <c r="L24" s="57" t="n"/>
      <c r="M24" s="58" t="n"/>
      <c r="N24" s="58" t="n"/>
      <c r="O24" s="58" t="n"/>
      <c r="P24" s="58" t="n"/>
      <c r="Q24" s="60">
        <f>IF(OR(O24="",P24="",P24=0),"",O24/P24)</f>
        <v/>
      </c>
      <c r="R24" s="57" t="n"/>
      <c r="S24" s="57" t="n"/>
      <c r="T24" s="57" t="n"/>
      <c r="U24" s="57" t="n"/>
      <c r="V24" s="57" t="n"/>
      <c r="W24" s="58" t="n"/>
    </row>
    <row r="25" ht="43.5" customHeight="1" s="34">
      <c r="B25" s="56" t="n"/>
      <c r="C25" s="57" t="n"/>
      <c r="D25" s="58" t="n"/>
      <c r="E25" s="57" t="n"/>
      <c r="F25" s="57" t="n"/>
      <c r="G25" s="59">
        <f>IF(OR(D25="",E25="",F25=""),"",IF(E25="Reduced",20,36)+IF(F25="Base",0,IF(E25="Reduced",4,8)))</f>
        <v/>
      </c>
      <c r="H25" s="58" t="n"/>
      <c r="I25" s="59">
        <f>IF(G25="","",G25+IF(H25="",0,H25))</f>
        <v/>
      </c>
      <c r="J25" s="58" t="n"/>
      <c r="K25" s="58" t="n"/>
      <c r="L25" s="57" t="n"/>
      <c r="M25" s="58" t="n"/>
      <c r="N25" s="58" t="n"/>
      <c r="O25" s="58" t="n"/>
      <c r="P25" s="58" t="n"/>
      <c r="Q25" s="60">
        <f>IF(OR(O25="",P25="",P25=0),"",O25/P25)</f>
        <v/>
      </c>
      <c r="R25" s="57" t="n"/>
      <c r="S25" s="57" t="n"/>
      <c r="T25" s="57" t="n"/>
      <c r="U25" s="57" t="n"/>
      <c r="V25" s="57" t="n"/>
      <c r="W25" s="58" t="n"/>
    </row>
    <row r="26" ht="43.5" customHeight="1" s="34">
      <c r="B26" s="56" t="n"/>
      <c r="C26" s="57" t="n"/>
      <c r="D26" s="58" t="n"/>
      <c r="E26" s="57" t="n"/>
      <c r="F26" s="57" t="n"/>
      <c r="G26" s="59">
        <f>IF(OR(D26="",E26="",F26=""),"",IF(E26="Reduced",20,36)+IF(F26="Base",0,IF(E26="Reduced",4,8)))</f>
        <v/>
      </c>
      <c r="H26" s="58" t="n"/>
      <c r="I26" s="59">
        <f>IF(G26="","",G26+IF(H26="",0,H26))</f>
        <v/>
      </c>
      <c r="J26" s="58" t="n"/>
      <c r="K26" s="58" t="n"/>
      <c r="L26" s="57" t="n"/>
      <c r="M26" s="58" t="n"/>
      <c r="N26" s="58" t="n"/>
      <c r="O26" s="58" t="n"/>
      <c r="P26" s="58" t="n"/>
      <c r="Q26" s="60">
        <f>IF(OR(O26="",P26="",P26=0),"",O26/P26)</f>
        <v/>
      </c>
      <c r="R26" s="57" t="n"/>
      <c r="S26" s="57" t="n"/>
      <c r="T26" s="57" t="n"/>
      <c r="U26" s="57" t="n"/>
      <c r="V26" s="57" t="n"/>
      <c r="W26" s="58" t="n"/>
    </row>
    <row r="27" ht="43.5" customHeight="1" s="34">
      <c r="B27" s="56" t="n"/>
      <c r="C27" s="57" t="n"/>
      <c r="D27" s="58" t="n"/>
      <c r="E27" s="57" t="n"/>
      <c r="F27" s="57" t="n"/>
      <c r="G27" s="59">
        <f>IF(OR(D27="",E27="",F27=""),"",IF(E27="Reduced",20,36)+IF(F27="Base",0,IF(E27="Reduced",4,8)))</f>
        <v/>
      </c>
      <c r="H27" s="58" t="n"/>
      <c r="I27" s="59">
        <f>IF(G27="","",G27+IF(H27="",0,H27))</f>
        <v/>
      </c>
      <c r="J27" s="58" t="n"/>
      <c r="K27" s="58" t="n"/>
      <c r="L27" s="57" t="n"/>
      <c r="M27" s="58" t="n"/>
      <c r="N27" s="58" t="n"/>
      <c r="O27" s="58" t="n"/>
      <c r="P27" s="58" t="n"/>
      <c r="Q27" s="60">
        <f>IF(OR(O27="",P27="",P27=0),"",O27/P27)</f>
        <v/>
      </c>
      <c r="R27" s="57" t="n"/>
      <c r="S27" s="57" t="n"/>
      <c r="T27" s="57" t="n"/>
      <c r="U27" s="57" t="n"/>
      <c r="V27" s="57" t="n"/>
      <c r="W27" s="58" t="n"/>
    </row>
    <row r="28" ht="43.5" customHeight="1" s="34">
      <c r="B28" s="56" t="n"/>
      <c r="C28" s="57" t="n"/>
      <c r="D28" s="58" t="n"/>
      <c r="E28" s="57" t="n"/>
      <c r="F28" s="57" t="n"/>
      <c r="G28" s="59">
        <f>IF(OR(D28="",E28="",F28=""),"",IF(E28="Reduced",20,36)+IF(F28="Base",0,IF(E28="Reduced",4,8)))</f>
        <v/>
      </c>
      <c r="H28" s="58" t="n"/>
      <c r="I28" s="59">
        <f>IF(G28="","",G28+IF(H28="",0,H28))</f>
        <v/>
      </c>
      <c r="J28" s="58" t="n"/>
      <c r="K28" s="58" t="n"/>
      <c r="L28" s="57" t="n"/>
      <c r="M28" s="58" t="n"/>
      <c r="N28" s="58" t="n"/>
      <c r="O28" s="58" t="n"/>
      <c r="P28" s="58" t="n"/>
      <c r="Q28" s="60">
        <f>IF(OR(O28="",P28="",P28=0),"",O28/P28)</f>
        <v/>
      </c>
      <c r="R28" s="57" t="n"/>
      <c r="S28" s="57" t="n"/>
      <c r="T28" s="57" t="n"/>
      <c r="U28" s="57" t="n"/>
      <c r="V28" s="57" t="n"/>
      <c r="W28" s="58" t="n"/>
    </row>
    <row r="29" ht="43.5" customHeight="1" s="34">
      <c r="B29" s="56" t="n"/>
      <c r="C29" s="57" t="n"/>
      <c r="D29" s="58" t="n"/>
      <c r="E29" s="57" t="n"/>
      <c r="F29" s="57" t="n"/>
      <c r="G29" s="59">
        <f>IF(OR(D29="",E29="",F29=""),"",IF(E29="Reduced",20,36)+IF(F29="Base",0,IF(E29="Reduced",4,8)))</f>
        <v/>
      </c>
      <c r="H29" s="58" t="n"/>
      <c r="I29" s="59">
        <f>IF(G29="","",G29+IF(H29="",0,H29))</f>
        <v/>
      </c>
      <c r="J29" s="58" t="n"/>
      <c r="K29" s="58" t="n"/>
      <c r="L29" s="57" t="n"/>
      <c r="M29" s="58" t="n"/>
      <c r="N29" s="58" t="n"/>
      <c r="O29" s="58" t="n"/>
      <c r="P29" s="58" t="n"/>
      <c r="Q29" s="60">
        <f>IF(OR(O29="",P29="",P29=0),"",O29/P29)</f>
        <v/>
      </c>
      <c r="R29" s="57" t="n"/>
      <c r="S29" s="57" t="n"/>
      <c r="T29" s="57" t="n"/>
      <c r="U29" s="57" t="n"/>
      <c r="V29" s="57" t="n"/>
      <c r="W29" s="58" t="n"/>
    </row>
    <row r="30" ht="43.5" customHeight="1" s="34">
      <c r="B30" s="56" t="n"/>
      <c r="C30" s="57" t="n"/>
      <c r="D30" s="58" t="n"/>
      <c r="E30" s="57" t="n"/>
      <c r="F30" s="57" t="n"/>
      <c r="G30" s="59">
        <f>IF(OR(D30="",E30="",F30=""),"",IF(E30="Reduced",20,36)+IF(F30="Base",0,IF(E30="Reduced",4,8)))</f>
        <v/>
      </c>
      <c r="H30" s="58" t="n"/>
      <c r="I30" s="59">
        <f>IF(G30="","",G30+IF(H30="",0,H30))</f>
        <v/>
      </c>
      <c r="J30" s="58" t="n"/>
      <c r="K30" s="58" t="n"/>
      <c r="L30" s="57" t="n"/>
      <c r="M30" s="58" t="n"/>
      <c r="N30" s="58" t="n"/>
      <c r="O30" s="58" t="n"/>
      <c r="P30" s="58" t="n"/>
      <c r="Q30" s="60">
        <f>IF(OR(O30="",P30="",P30=0),"",O30/P30)</f>
        <v/>
      </c>
      <c r="R30" s="57" t="n"/>
      <c r="S30" s="57" t="n"/>
      <c r="T30" s="57" t="n"/>
      <c r="U30" s="57" t="n"/>
      <c r="V30" s="57" t="n"/>
      <c r="W30" s="58" t="n"/>
    </row>
    <row r="31" ht="43.5" customHeight="1" s="34">
      <c r="B31" s="56" t="n"/>
      <c r="C31" s="57" t="n"/>
      <c r="D31" s="58" t="n"/>
      <c r="E31" s="57" t="n"/>
      <c r="F31" s="57" t="n"/>
      <c r="G31" s="59">
        <f>IF(OR(D31="",E31="",F31=""),"",IF(E31="Reduced",20,36)+IF(F31="Base",0,IF(E31="Reduced",4,8)))</f>
        <v/>
      </c>
      <c r="H31" s="58" t="n"/>
      <c r="I31" s="59">
        <f>IF(G31="","",G31+IF(H31="",0,H31))</f>
        <v/>
      </c>
      <c r="J31" s="58" t="n"/>
      <c r="K31" s="58" t="n"/>
      <c r="L31" s="57" t="n"/>
      <c r="M31" s="58" t="n"/>
      <c r="N31" s="58" t="n"/>
      <c r="O31" s="58" t="n"/>
      <c r="P31" s="58" t="n"/>
      <c r="Q31" s="60">
        <f>IF(OR(O31="",P31="",P31=0),"",O31/P31)</f>
        <v/>
      </c>
      <c r="R31" s="57" t="n"/>
      <c r="S31" s="57" t="n"/>
      <c r="T31" s="57" t="n"/>
      <c r="U31" s="57" t="n"/>
      <c r="V31" s="57" t="n"/>
      <c r="W31" s="58" t="n"/>
    </row>
    <row r="32" ht="43.5" customHeight="1" s="34">
      <c r="B32" s="56" t="n"/>
      <c r="C32" s="57" t="n"/>
      <c r="D32" s="58" t="n"/>
      <c r="E32" s="57" t="n"/>
      <c r="F32" s="57" t="n"/>
      <c r="G32" s="59">
        <f>IF(OR(D32="",E32="",F32=""),"",IF(E32="Reduced",20,36)+IF(F32="Base",0,IF(E32="Reduced",4,8)))</f>
        <v/>
      </c>
      <c r="H32" s="58" t="n"/>
      <c r="I32" s="59">
        <f>IF(G32="","",G32+IF(H32="",0,H32))</f>
        <v/>
      </c>
      <c r="J32" s="58" t="n"/>
      <c r="K32" s="58" t="n"/>
      <c r="L32" s="57" t="n"/>
      <c r="M32" s="58" t="n"/>
      <c r="N32" s="58" t="n"/>
      <c r="O32" s="58" t="n"/>
      <c r="P32" s="58" t="n"/>
      <c r="Q32" s="60">
        <f>IF(OR(O32="",P32="",P32=0),"",O32/P32)</f>
        <v/>
      </c>
      <c r="R32" s="57" t="n"/>
      <c r="S32" s="57" t="n"/>
      <c r="T32" s="57" t="n"/>
      <c r="U32" s="57" t="n"/>
      <c r="V32" s="57" t="n"/>
      <c r="W32" s="58" t="n"/>
    </row>
    <row r="33" ht="43.5" customHeight="1" s="34">
      <c r="B33" s="56" t="n"/>
      <c r="C33" s="57" t="n"/>
      <c r="D33" s="58" t="n"/>
      <c r="E33" s="57" t="n"/>
      <c r="F33" s="57" t="n"/>
      <c r="G33" s="59">
        <f>IF(OR(D33="",E33="",F33=""),"",IF(E33="Reduced",20,36)+IF(F33="Base",0,IF(E33="Reduced",4,8)))</f>
        <v/>
      </c>
      <c r="H33" s="58" t="n"/>
      <c r="I33" s="59">
        <f>IF(G33="","",G33+IF(H33="",0,H33))</f>
        <v/>
      </c>
      <c r="J33" s="58" t="n"/>
      <c r="K33" s="58" t="n"/>
      <c r="L33" s="57" t="n"/>
      <c r="M33" s="58" t="n"/>
      <c r="N33" s="58" t="n"/>
      <c r="O33" s="58" t="n"/>
      <c r="P33" s="58" t="n"/>
      <c r="Q33" s="60">
        <f>IF(OR(O33="",P33="",P33=0),"",O33/P33)</f>
        <v/>
      </c>
      <c r="R33" s="57" t="n"/>
      <c r="S33" s="57" t="n"/>
      <c r="T33" s="57" t="n"/>
      <c r="U33" s="57" t="n"/>
      <c r="V33" s="57" t="n"/>
      <c r="W33" s="58" t="n"/>
    </row>
    <row r="34" ht="43.5" customHeight="1" s="34">
      <c r="B34" s="56" t="n"/>
      <c r="C34" s="57" t="n"/>
      <c r="D34" s="58" t="n"/>
      <c r="E34" s="57" t="n"/>
      <c r="F34" s="57" t="n"/>
      <c r="G34" s="59">
        <f>IF(OR(D34="",E34="",F34=""),"",IF(E34="Reduced",20,36)+IF(F34="Base",0,IF(E34="Reduced",4,8)))</f>
        <v/>
      </c>
      <c r="H34" s="58" t="n"/>
      <c r="I34" s="59">
        <f>IF(G34="","",G34+IF(H34="",0,H34))</f>
        <v/>
      </c>
      <c r="J34" s="58" t="n"/>
      <c r="K34" s="58" t="n"/>
      <c r="L34" s="57" t="n"/>
      <c r="M34" s="58" t="n"/>
      <c r="N34" s="58" t="n"/>
      <c r="O34" s="58" t="n"/>
      <c r="P34" s="58" t="n"/>
      <c r="Q34" s="60">
        <f>IF(OR(O34="",P34="",P34=0),"",O34/P34)</f>
        <v/>
      </c>
      <c r="R34" s="57" t="n"/>
      <c r="S34" s="57" t="n"/>
      <c r="T34" s="57" t="n"/>
      <c r="U34" s="57" t="n"/>
      <c r="V34" s="57" t="n"/>
      <c r="W34" s="58" t="n"/>
    </row>
    <row r="35" ht="43.5" customHeight="1" s="34">
      <c r="B35" s="56" t="n"/>
      <c r="C35" s="57" t="n"/>
      <c r="D35" s="58" t="n"/>
      <c r="E35" s="57" t="n"/>
      <c r="F35" s="57" t="n"/>
      <c r="G35" s="59">
        <f>IF(OR(D35="",E35="",F35=""),"",IF(E35="Reduced",20,36)+IF(F35="Base",0,IF(E35="Reduced",4,8)))</f>
        <v/>
      </c>
      <c r="H35" s="58" t="n"/>
      <c r="I35" s="59">
        <f>IF(G35="","",G35+IF(H35="",0,H35))</f>
        <v/>
      </c>
      <c r="J35" s="58" t="n"/>
      <c r="K35" s="58" t="n"/>
      <c r="L35" s="57" t="n"/>
      <c r="M35" s="58" t="n"/>
      <c r="N35" s="58" t="n"/>
      <c r="O35" s="58" t="n"/>
      <c r="P35" s="58" t="n"/>
      <c r="Q35" s="60">
        <f>IF(OR(O35="",P35="",P35=0),"",O35/P35)</f>
        <v/>
      </c>
      <c r="R35" s="57" t="n"/>
      <c r="S35" s="57" t="n"/>
      <c r="T35" s="57" t="n"/>
      <c r="U35" s="57" t="n"/>
      <c r="V35" s="57" t="n"/>
      <c r="W35" s="58" t="n"/>
    </row>
    <row r="36" ht="43.5" customHeight="1" s="34">
      <c r="B36" s="56" t="n"/>
      <c r="C36" s="57" t="n"/>
      <c r="D36" s="58" t="n"/>
      <c r="E36" s="57" t="n"/>
      <c r="F36" s="57" t="n"/>
      <c r="G36" s="59">
        <f>IF(OR(D36="",E36="",F36=""),"",IF(E36="Reduced",20,36)+IF(F36="Base",0,IF(E36="Reduced",4,8)))</f>
        <v/>
      </c>
      <c r="H36" s="58" t="n"/>
      <c r="I36" s="59">
        <f>IF(G36="","",G36+IF(H36="",0,H36))</f>
        <v/>
      </c>
      <c r="J36" s="58" t="n"/>
      <c r="K36" s="58" t="n"/>
      <c r="L36" s="57" t="n"/>
      <c r="M36" s="58" t="n"/>
      <c r="N36" s="58" t="n"/>
      <c r="O36" s="58" t="n"/>
      <c r="P36" s="58" t="n"/>
      <c r="Q36" s="60">
        <f>IF(OR(O36="",P36="",P36=0),"",O36/P36)</f>
        <v/>
      </c>
      <c r="R36" s="57" t="n"/>
      <c r="S36" s="57" t="n"/>
      <c r="T36" s="57" t="n"/>
      <c r="U36" s="57" t="n"/>
      <c r="V36" s="57" t="n"/>
      <c r="W36" s="58" t="n"/>
    </row>
    <row r="37"/>
    <row r="38"/>
    <row r="39" ht="30.75" customHeight="1" s="34">
      <c r="B39" s="42" t="inlineStr">
        <is>
          <t>MEDICINE-BALL LOG | separate task outcomes from hitting transfer</t>
        </is>
      </c>
    </row>
    <row r="40" ht="42.75" customHeight="1" s="34">
      <c r="B40" s="43" t="inlineStr">
        <is>
          <t>Date / session</t>
        </is>
      </c>
      <c r="C40" s="43" t="inlineStr">
        <is>
          <t>Stage</t>
        </is>
      </c>
      <c r="D40" s="43" t="inlineStr">
        <is>
          <t>M drill ID</t>
        </is>
      </c>
      <c r="E40" s="43" t="inlineStr">
        <is>
          <t>Ball mass (kg)</t>
        </is>
      </c>
      <c r="F40" s="43" t="inlineStr">
        <is>
          <t>Ball type</t>
        </is>
      </c>
      <c r="G40" s="43" t="inlineStr">
        <is>
          <t>Direction 1</t>
        </is>
      </c>
      <c r="H40" s="43" t="inlineStr">
        <is>
          <t>Reps direction 1</t>
        </is>
      </c>
      <c r="I40" s="43" t="inlineStr">
        <is>
          <t>Direction 2</t>
        </is>
      </c>
      <c r="J40" s="43" t="inlineStr">
        <is>
          <t>Reps direction 2</t>
        </is>
      </c>
      <c r="K40" s="43" t="inlineStr">
        <is>
          <t>Total M task reps</t>
        </is>
      </c>
      <c r="L40" s="43" t="inlineStr">
        <is>
          <t>Target / approach / effort</t>
        </is>
      </c>
      <c r="M40" s="43" t="inlineStr">
        <is>
          <t>Control / recovery</t>
        </is>
      </c>
      <c r="N40" s="43" t="inlineStr">
        <is>
          <t>Normal-swing transfer</t>
        </is>
      </c>
    </row>
    <row r="41" ht="43.5" customHeight="1" s="34">
      <c r="B41" s="57" t="n"/>
      <c r="C41" s="57" t="n"/>
      <c r="D41" s="57" t="n"/>
      <c r="E41" s="61" t="n"/>
      <c r="F41" s="57" t="n"/>
      <c r="G41" s="57" t="n"/>
      <c r="H41" s="57" t="n"/>
      <c r="I41" s="57" t="n"/>
      <c r="J41" s="57" t="n"/>
      <c r="K41" s="59">
        <f>IF(AND(H41="",J41=""),"",SUM(H41,J41))</f>
        <v/>
      </c>
      <c r="L41" s="57" t="n"/>
      <c r="M41" s="57" t="n"/>
      <c r="N41" s="57" t="n"/>
    </row>
    <row r="42" ht="43.5" customHeight="1" s="34">
      <c r="B42" s="57" t="n"/>
      <c r="C42" s="57" t="n"/>
      <c r="D42" s="57" t="n"/>
      <c r="E42" s="61" t="n"/>
      <c r="F42" s="57" t="n"/>
      <c r="G42" s="57" t="n"/>
      <c r="H42" s="57" t="n"/>
      <c r="I42" s="57" t="n"/>
      <c r="J42" s="57" t="n"/>
      <c r="K42" s="59">
        <f>IF(AND(H42="",J42=""),"",SUM(H42,J42))</f>
        <v/>
      </c>
      <c r="L42" s="57" t="n"/>
      <c r="M42" s="57" t="n"/>
      <c r="N42" s="57" t="n"/>
    </row>
    <row r="43" ht="43.5" customHeight="1" s="34">
      <c r="B43" s="57" t="n"/>
      <c r="C43" s="57" t="n"/>
      <c r="D43" s="57" t="n"/>
      <c r="E43" s="61" t="n"/>
      <c r="F43" s="57" t="n"/>
      <c r="G43" s="57" t="n"/>
      <c r="H43" s="57" t="n"/>
      <c r="I43" s="57" t="n"/>
      <c r="J43" s="57" t="n"/>
      <c r="K43" s="59">
        <f>IF(AND(H43="",J43=""),"",SUM(H43,J43))</f>
        <v/>
      </c>
      <c r="L43" s="57" t="n"/>
      <c r="M43" s="57" t="n"/>
      <c r="N43" s="57" t="n"/>
    </row>
    <row r="44" ht="43.5" customHeight="1" s="34">
      <c r="B44" s="57" t="n"/>
      <c r="C44" s="57" t="n"/>
      <c r="D44" s="57" t="n"/>
      <c r="E44" s="61" t="n"/>
      <c r="F44" s="57" t="n"/>
      <c r="G44" s="57" t="n"/>
      <c r="H44" s="57" t="n"/>
      <c r="I44" s="57" t="n"/>
      <c r="J44" s="57" t="n"/>
      <c r="K44" s="59">
        <f>IF(AND(H44="",J44=""),"",SUM(H44,J44))</f>
        <v/>
      </c>
      <c r="L44" s="57" t="n"/>
      <c r="M44" s="57" t="n"/>
      <c r="N44" s="57" t="n"/>
    </row>
    <row r="45" ht="43.5" customHeight="1" s="34">
      <c r="B45" s="57" t="n"/>
      <c r="C45" s="57" t="n"/>
      <c r="D45" s="57" t="n"/>
      <c r="E45" s="61" t="n"/>
      <c r="F45" s="57" t="n"/>
      <c r="G45" s="57" t="n"/>
      <c r="H45" s="57" t="n"/>
      <c r="I45" s="57" t="n"/>
      <c r="J45" s="57" t="n"/>
      <c r="K45" s="59">
        <f>IF(AND(H45="",J45=""),"",SUM(H45,J45))</f>
        <v/>
      </c>
      <c r="L45" s="57" t="n"/>
      <c r="M45" s="57" t="n"/>
      <c r="N45" s="57" t="n"/>
    </row>
    <row r="46" ht="43.5" customHeight="1" s="34">
      <c r="B46" s="57" t="n"/>
      <c r="C46" s="57" t="n"/>
      <c r="D46" s="57" t="n"/>
      <c r="E46" s="61" t="n"/>
      <c r="F46" s="57" t="n"/>
      <c r="G46" s="57" t="n"/>
      <c r="H46" s="57" t="n"/>
      <c r="I46" s="57" t="n"/>
      <c r="J46" s="57" t="n"/>
      <c r="K46" s="59">
        <f>IF(AND(H46="",J46=""),"",SUM(H46,J46))</f>
        <v/>
      </c>
      <c r="L46" s="57" t="n"/>
      <c r="M46" s="57" t="n"/>
      <c r="N46" s="57" t="n"/>
    </row>
    <row r="47" ht="43.5" customHeight="1" s="34">
      <c r="B47" s="57" t="n"/>
      <c r="C47" s="57" t="n"/>
      <c r="D47" s="57" t="n"/>
      <c r="E47" s="61" t="n"/>
      <c r="F47" s="57" t="n"/>
      <c r="G47" s="57" t="n"/>
      <c r="H47" s="57" t="n"/>
      <c r="I47" s="57" t="n"/>
      <c r="J47" s="57" t="n"/>
      <c r="K47" s="59">
        <f>IF(AND(H47="",J47=""),"",SUM(H47,J47))</f>
        <v/>
      </c>
      <c r="L47" s="57" t="n"/>
      <c r="M47" s="57" t="n"/>
      <c r="N47" s="57" t="n"/>
    </row>
    <row r="48" ht="43.5" customHeight="1" s="34">
      <c r="B48" s="57" t="n"/>
      <c r="C48" s="57" t="n"/>
      <c r="D48" s="57" t="n"/>
      <c r="E48" s="61" t="n"/>
      <c r="F48" s="57" t="n"/>
      <c r="G48" s="57" t="n"/>
      <c r="H48" s="57" t="n"/>
      <c r="I48" s="57" t="n"/>
      <c r="J48" s="57" t="n"/>
      <c r="K48" s="59">
        <f>IF(AND(H48="",J48=""),"",SUM(H48,J48))</f>
        <v/>
      </c>
      <c r="L48" s="57" t="n"/>
      <c r="M48" s="57" t="n"/>
      <c r="N48" s="57" t="n"/>
    </row>
    <row r="49" ht="43.5" customHeight="1" s="34">
      <c r="B49" s="57" t="n"/>
      <c r="C49" s="57" t="n"/>
      <c r="D49" s="57" t="n"/>
      <c r="E49" s="61" t="n"/>
      <c r="F49" s="57" t="n"/>
      <c r="G49" s="57" t="n"/>
      <c r="H49" s="57" t="n"/>
      <c r="I49" s="57" t="n"/>
      <c r="J49" s="57" t="n"/>
      <c r="K49" s="59">
        <f>IF(AND(H49="",J49=""),"",SUM(H49,J49))</f>
        <v/>
      </c>
      <c r="L49" s="57" t="n"/>
      <c r="M49" s="57" t="n"/>
      <c r="N49" s="57" t="n"/>
    </row>
    <row r="50" ht="43.5" customHeight="1" s="34">
      <c r="B50" s="57" t="n"/>
      <c r="C50" s="57" t="n"/>
      <c r="D50" s="57" t="n"/>
      <c r="E50" s="61" t="n"/>
      <c r="F50" s="57" t="n"/>
      <c r="G50" s="57" t="n"/>
      <c r="H50" s="57" t="n"/>
      <c r="I50" s="57" t="n"/>
      <c r="J50" s="57" t="n"/>
      <c r="K50" s="59">
        <f>IF(AND(H50="",J50=""),"",SUM(H50,J50))</f>
        <v/>
      </c>
      <c r="L50" s="57" t="n"/>
      <c r="M50" s="57" t="n"/>
      <c r="N50" s="57" t="n"/>
    </row>
    <row r="51" ht="43.5" customHeight="1" s="34">
      <c r="B51" s="57" t="n"/>
      <c r="C51" s="57" t="n"/>
      <c r="D51" s="57" t="n"/>
      <c r="E51" s="61" t="n"/>
      <c r="F51" s="57" t="n"/>
      <c r="G51" s="57" t="n"/>
      <c r="H51" s="57" t="n"/>
      <c r="I51" s="57" t="n"/>
      <c r="J51" s="57" t="n"/>
      <c r="K51" s="59">
        <f>IF(AND(H51="",J51=""),"",SUM(H51,J51))</f>
        <v/>
      </c>
      <c r="L51" s="57" t="n"/>
      <c r="M51" s="57" t="n"/>
      <c r="N51" s="57" t="n"/>
    </row>
    <row r="52" ht="43.5" customHeight="1" s="34">
      <c r="B52" s="57" t="n"/>
      <c r="C52" s="57" t="n"/>
      <c r="D52" s="57" t="n"/>
      <c r="E52" s="61" t="n"/>
      <c r="F52" s="57" t="n"/>
      <c r="G52" s="57" t="n"/>
      <c r="H52" s="57" t="n"/>
      <c r="I52" s="57" t="n"/>
      <c r="J52" s="57" t="n"/>
      <c r="K52" s="59">
        <f>IF(AND(H52="",J52=""),"",SUM(H52,J52))</f>
        <v/>
      </c>
      <c r="L52" s="57" t="n"/>
      <c r="M52" s="57" t="n"/>
      <c r="N52" s="57" t="n"/>
    </row>
    <row r="53" ht="43.5" customHeight="1" s="34">
      <c r="B53" s="57" t="n"/>
      <c r="C53" s="57" t="n"/>
      <c r="D53" s="57" t="n"/>
      <c r="E53" s="61" t="n"/>
      <c r="F53" s="57" t="n"/>
      <c r="G53" s="57" t="n"/>
      <c r="H53" s="57" t="n"/>
      <c r="I53" s="57" t="n"/>
      <c r="J53" s="57" t="n"/>
      <c r="K53" s="59">
        <f>IF(AND(H53="",J53=""),"",SUM(H53,J53))</f>
        <v/>
      </c>
      <c r="L53" s="57" t="n"/>
      <c r="M53" s="57" t="n"/>
      <c r="N53" s="57" t="n"/>
    </row>
    <row r="54" ht="43.5" customHeight="1" s="34">
      <c r="B54" s="57" t="n"/>
      <c r="C54" s="57" t="n"/>
      <c r="D54" s="57" t="n"/>
      <c r="E54" s="61" t="n"/>
      <c r="F54" s="57" t="n"/>
      <c r="G54" s="57" t="n"/>
      <c r="H54" s="57" t="n"/>
      <c r="I54" s="57" t="n"/>
      <c r="J54" s="57" t="n"/>
      <c r="K54" s="59">
        <f>IF(AND(H54="",J54=""),"",SUM(H54,J54))</f>
        <v/>
      </c>
      <c r="L54" s="57" t="n"/>
      <c r="M54" s="57" t="n"/>
      <c r="N54" s="57" t="n"/>
    </row>
    <row r="55" ht="43.5" customHeight="1" s="34">
      <c r="B55" s="57" t="n"/>
      <c r="C55" s="57" t="n"/>
      <c r="D55" s="57" t="n"/>
      <c r="E55" s="61" t="n"/>
      <c r="F55" s="57" t="n"/>
      <c r="G55" s="57" t="n"/>
      <c r="H55" s="57" t="n"/>
      <c r="I55" s="57" t="n"/>
      <c r="J55" s="57" t="n"/>
      <c r="K55" s="59">
        <f>IF(AND(H55="",J55=""),"",SUM(H55,J55))</f>
        <v/>
      </c>
      <c r="L55" s="57" t="n"/>
      <c r="M55" s="57" t="n"/>
      <c r="N55" s="57" t="n"/>
    </row>
    <row r="56" ht="43.5" customHeight="1" s="34">
      <c r="B56" s="57" t="n"/>
      <c r="C56" s="57" t="n"/>
      <c r="D56" s="57" t="n"/>
      <c r="E56" s="61" t="n"/>
      <c r="F56" s="57" t="n"/>
      <c r="G56" s="57" t="n"/>
      <c r="H56" s="57" t="n"/>
      <c r="I56" s="57" t="n"/>
      <c r="J56" s="57" t="n"/>
      <c r="K56" s="59">
        <f>IF(AND(H56="",J56=""),"",SUM(H56,J56))</f>
        <v/>
      </c>
      <c r="L56" s="57" t="n"/>
      <c r="M56" s="57" t="n"/>
      <c r="N56" s="57" t="n"/>
    </row>
    <row r="57" ht="43.5" customHeight="1" s="34">
      <c r="B57" s="57" t="n"/>
      <c r="C57" s="57" t="n"/>
      <c r="D57" s="57" t="n"/>
      <c r="E57" s="61" t="n"/>
      <c r="F57" s="57" t="n"/>
      <c r="G57" s="57" t="n"/>
      <c r="H57" s="57" t="n"/>
      <c r="I57" s="57" t="n"/>
      <c r="J57" s="57" t="n"/>
      <c r="K57" s="59">
        <f>IF(AND(H57="",J57=""),"",SUM(H57,J57))</f>
        <v/>
      </c>
      <c r="L57" s="57" t="n"/>
      <c r="M57" s="57" t="n"/>
      <c r="N57" s="57" t="n"/>
    </row>
    <row r="58" ht="43.5" customHeight="1" s="34">
      <c r="B58" s="57" t="n"/>
      <c r="C58" s="57" t="n"/>
      <c r="D58" s="57" t="n"/>
      <c r="E58" s="61" t="n"/>
      <c r="F58" s="57" t="n"/>
      <c r="G58" s="57" t="n"/>
      <c r="H58" s="57" t="n"/>
      <c r="I58" s="57" t="n"/>
      <c r="J58" s="57" t="n"/>
      <c r="K58" s="59">
        <f>IF(AND(H58="",J58=""),"",SUM(H58,J58))</f>
        <v/>
      </c>
      <c r="L58" s="57" t="n"/>
      <c r="M58" s="57" t="n"/>
      <c r="N58" s="57" t="n"/>
    </row>
    <row r="59" ht="43.5" customHeight="1" s="34">
      <c r="B59" s="57" t="n"/>
      <c r="C59" s="57" t="n"/>
      <c r="D59" s="57" t="n"/>
      <c r="E59" s="61" t="n"/>
      <c r="F59" s="57" t="n"/>
      <c r="G59" s="57" t="n"/>
      <c r="H59" s="57" t="n"/>
      <c r="I59" s="57" t="n"/>
      <c r="J59" s="57" t="n"/>
      <c r="K59" s="59">
        <f>IF(AND(H59="",J59=""),"",SUM(H59,J59))</f>
        <v/>
      </c>
      <c r="L59" s="57" t="n"/>
      <c r="M59" s="57" t="n"/>
      <c r="N59" s="57" t="n"/>
    </row>
    <row r="60" ht="43.5" customHeight="1" s="34">
      <c r="B60" s="57" t="n"/>
      <c r="C60" s="57" t="n"/>
      <c r="D60" s="57" t="n"/>
      <c r="E60" s="61" t="n"/>
      <c r="F60" s="57" t="n"/>
      <c r="G60" s="57" t="n"/>
      <c r="H60" s="57" t="n"/>
      <c r="I60" s="57" t="n"/>
      <c r="J60" s="57" t="n"/>
      <c r="K60" s="59">
        <f>IF(AND(H60="",J60=""),"",SUM(H60,J60))</f>
        <v/>
      </c>
      <c r="L60" s="57" t="n"/>
      <c r="M60" s="57" t="n"/>
      <c r="N60" s="57" t="n"/>
    </row>
    <row r="61"/>
    <row r="62"/>
    <row r="63" ht="30.75" customHeight="1" s="34">
      <c r="B63" s="42" t="inlineStr">
        <is>
          <t>PER-REPETITION REVIEW | optional, confidence-aware observation record</t>
        </is>
      </c>
    </row>
    <row r="64" ht="42.75" customHeight="1" s="34">
      <c r="B64" s="43" t="inlineStr">
        <is>
          <t>Session / rep</t>
        </is>
      </c>
      <c r="C64" s="43" t="inlineStr">
        <is>
          <t>Stage / block</t>
        </is>
      </c>
      <c r="D64" s="43" t="inlineStr">
        <is>
          <t>Drill ID / normal</t>
        </is>
      </c>
      <c r="E64" s="43" t="inlineStr">
        <is>
          <t>Handedness</t>
        </is>
      </c>
      <c r="F64" s="43" t="inlineStr">
        <is>
          <t>Bat / ball / load</t>
        </is>
      </c>
      <c r="G64" s="43" t="inlineStr">
        <is>
          <t>Camera / feed / location</t>
        </is>
      </c>
      <c r="H64" s="43" t="inlineStr">
        <is>
          <t>Event / phase</t>
        </is>
      </c>
      <c r="I64" s="43" t="inlineStr">
        <is>
          <t>Observed movement</t>
        </is>
      </c>
      <c r="J64" s="43" t="inlineStr">
        <is>
          <t>Candidate interpretation</t>
        </is>
      </c>
      <c r="K64" s="43" t="inlineStr">
        <is>
          <t>Assessability</t>
        </is>
      </c>
      <c r="L64" s="43" t="inlineStr">
        <is>
          <t>Contact / task outcome</t>
        </is>
      </c>
      <c r="M64" s="43" t="inlineStr">
        <is>
          <t>Coach cue / response</t>
        </is>
      </c>
    </row>
    <row r="65" ht="43.5" customHeight="1" s="34">
      <c r="B65" s="57" t="n"/>
      <c r="C65" s="57" t="n"/>
      <c r="D65" s="57" t="n"/>
      <c r="E65" s="57" t="n"/>
      <c r="F65" s="57" t="n"/>
      <c r="G65" s="57" t="n"/>
      <c r="H65" s="57" t="n"/>
      <c r="I65" s="57" t="n"/>
      <c r="J65" s="57" t="n"/>
      <c r="K65" s="57" t="n"/>
      <c r="L65" s="57" t="n"/>
      <c r="M65" s="57" t="n"/>
    </row>
    <row r="66" ht="43.5" customHeight="1" s="34">
      <c r="B66" s="57" t="n"/>
      <c r="C66" s="57" t="n"/>
      <c r="D66" s="57" t="n"/>
      <c r="E66" s="57" t="n"/>
      <c r="F66" s="57" t="n"/>
      <c r="G66" s="57" t="n"/>
      <c r="H66" s="57" t="n"/>
      <c r="I66" s="57" t="n"/>
      <c r="J66" s="57" t="n"/>
      <c r="K66" s="57" t="n"/>
      <c r="L66" s="57" t="n"/>
      <c r="M66" s="57" t="n"/>
    </row>
    <row r="67" ht="43.5" customHeight="1" s="34">
      <c r="B67" s="57" t="n"/>
      <c r="C67" s="57" t="n"/>
      <c r="D67" s="57" t="n"/>
      <c r="E67" s="57" t="n"/>
      <c r="F67" s="57" t="n"/>
      <c r="G67" s="57" t="n"/>
      <c r="H67" s="57" t="n"/>
      <c r="I67" s="57" t="n"/>
      <c r="J67" s="57" t="n"/>
      <c r="K67" s="57" t="n"/>
      <c r="L67" s="57" t="n"/>
      <c r="M67" s="57" t="n"/>
    </row>
    <row r="68" ht="43.5" customHeight="1" s="34">
      <c r="B68" s="57" t="n"/>
      <c r="C68" s="57" t="n"/>
      <c r="D68" s="57" t="n"/>
      <c r="E68" s="57" t="n"/>
      <c r="F68" s="57" t="n"/>
      <c r="G68" s="57" t="n"/>
      <c r="H68" s="57" t="n"/>
      <c r="I68" s="57" t="n"/>
      <c r="J68" s="57" t="n"/>
      <c r="K68" s="57" t="n"/>
      <c r="L68" s="57" t="n"/>
      <c r="M68" s="57" t="n"/>
    </row>
    <row r="69" ht="43.5" customHeight="1" s="34">
      <c r="B69" s="57" t="n"/>
      <c r="C69" s="57" t="n"/>
      <c r="D69" s="57" t="n"/>
      <c r="E69" s="57" t="n"/>
      <c r="F69" s="57" t="n"/>
      <c r="G69" s="57" t="n"/>
      <c r="H69" s="57" t="n"/>
      <c r="I69" s="57" t="n"/>
      <c r="J69" s="57" t="n"/>
      <c r="K69" s="57" t="n"/>
      <c r="L69" s="57" t="n"/>
      <c r="M69" s="57" t="n"/>
    </row>
    <row r="70" ht="43.5" customHeight="1" s="34">
      <c r="B70" s="57" t="n"/>
      <c r="C70" s="57" t="n"/>
      <c r="D70" s="57" t="n"/>
      <c r="E70" s="57" t="n"/>
      <c r="F70" s="57" t="n"/>
      <c r="G70" s="57" t="n"/>
      <c r="H70" s="57" t="n"/>
      <c r="I70" s="57" t="n"/>
      <c r="J70" s="57" t="n"/>
      <c r="K70" s="57" t="n"/>
      <c r="L70" s="57" t="n"/>
      <c r="M70" s="57" t="n"/>
    </row>
    <row r="71" ht="43.5" customHeight="1" s="34">
      <c r="B71" s="57" t="n"/>
      <c r="C71" s="57" t="n"/>
      <c r="D71" s="57" t="n"/>
      <c r="E71" s="57" t="n"/>
      <c r="F71" s="57" t="n"/>
      <c r="G71" s="57" t="n"/>
      <c r="H71" s="57" t="n"/>
      <c r="I71" s="57" t="n"/>
      <c r="J71" s="57" t="n"/>
      <c r="K71" s="57" t="n"/>
      <c r="L71" s="57" t="n"/>
      <c r="M71" s="57" t="n"/>
    </row>
    <row r="72" ht="43.5" customHeight="1" s="34">
      <c r="B72" s="57" t="n"/>
      <c r="C72" s="57" t="n"/>
      <c r="D72" s="57" t="n"/>
      <c r="E72" s="57" t="n"/>
      <c r="F72" s="57" t="n"/>
      <c r="G72" s="57" t="n"/>
      <c r="H72" s="57" t="n"/>
      <c r="I72" s="57" t="n"/>
      <c r="J72" s="57" t="n"/>
      <c r="K72" s="57" t="n"/>
      <c r="L72" s="57" t="n"/>
      <c r="M72" s="57" t="n"/>
    </row>
    <row r="73" ht="43.5" customHeight="1" s="34">
      <c r="B73" s="57" t="n"/>
      <c r="C73" s="57" t="n"/>
      <c r="D73" s="57" t="n"/>
      <c r="E73" s="57" t="n"/>
      <c r="F73" s="57" t="n"/>
      <c r="G73" s="57" t="n"/>
      <c r="H73" s="57" t="n"/>
      <c r="I73" s="57" t="n"/>
      <c r="J73" s="57" t="n"/>
      <c r="K73" s="57" t="n"/>
      <c r="L73" s="57" t="n"/>
      <c r="M73" s="57" t="n"/>
    </row>
    <row r="74" ht="43.5" customHeight="1" s="34">
      <c r="B74" s="57" t="n"/>
      <c r="C74" s="57" t="n"/>
      <c r="D74" s="57" t="n"/>
      <c r="E74" s="57" t="n"/>
      <c r="F74" s="57" t="n"/>
      <c r="G74" s="57" t="n"/>
      <c r="H74" s="57" t="n"/>
      <c r="I74" s="57" t="n"/>
      <c r="J74" s="57" t="n"/>
      <c r="K74" s="57" t="n"/>
      <c r="L74" s="57" t="n"/>
      <c r="M74" s="57" t="n"/>
    </row>
    <row r="75" ht="43.5" customHeight="1" s="34">
      <c r="B75" s="57" t="n"/>
      <c r="C75" s="57" t="n"/>
      <c r="D75" s="57" t="n"/>
      <c r="E75" s="57" t="n"/>
      <c r="F75" s="57" t="n"/>
      <c r="G75" s="57" t="n"/>
      <c r="H75" s="57" t="n"/>
      <c r="I75" s="57" t="n"/>
      <c r="J75" s="57" t="n"/>
      <c r="K75" s="57" t="n"/>
      <c r="L75" s="57" t="n"/>
      <c r="M75" s="57" t="n"/>
    </row>
    <row r="76" ht="43.5" customHeight="1" s="34">
      <c r="B76" s="57" t="n"/>
      <c r="C76" s="57" t="n"/>
      <c r="D76" s="57" t="n"/>
      <c r="E76" s="57" t="n"/>
      <c r="F76" s="57" t="n"/>
      <c r="G76" s="57" t="n"/>
      <c r="H76" s="57" t="n"/>
      <c r="I76" s="57" t="n"/>
      <c r="J76" s="57" t="n"/>
      <c r="K76" s="57" t="n"/>
      <c r="L76" s="57" t="n"/>
      <c r="M76" s="57" t="n"/>
    </row>
    <row r="77" ht="43.5" customHeight="1" s="34">
      <c r="B77" s="57" t="n"/>
      <c r="C77" s="57" t="n"/>
      <c r="D77" s="57" t="n"/>
      <c r="E77" s="57" t="n"/>
      <c r="F77" s="57" t="n"/>
      <c r="G77" s="57" t="n"/>
      <c r="H77" s="57" t="n"/>
      <c r="I77" s="57" t="n"/>
      <c r="J77" s="57" t="n"/>
      <c r="K77" s="57" t="n"/>
      <c r="L77" s="57" t="n"/>
      <c r="M77" s="57" t="n"/>
    </row>
    <row r="78" ht="43.5" customHeight="1" s="34">
      <c r="B78" s="57" t="n"/>
      <c r="C78" s="57" t="n"/>
      <c r="D78" s="57" t="n"/>
      <c r="E78" s="57" t="n"/>
      <c r="F78" s="57" t="n"/>
      <c r="G78" s="57" t="n"/>
      <c r="H78" s="57" t="n"/>
      <c r="I78" s="57" t="n"/>
      <c r="J78" s="57" t="n"/>
      <c r="K78" s="57" t="n"/>
      <c r="L78" s="57" t="n"/>
      <c r="M78" s="57" t="n"/>
    </row>
    <row r="79" ht="43.5" customHeight="1" s="34">
      <c r="B79" s="57" t="n"/>
      <c r="C79" s="57" t="n"/>
      <c r="D79" s="57" t="n"/>
      <c r="E79" s="57" t="n"/>
      <c r="F79" s="57" t="n"/>
      <c r="G79" s="57" t="n"/>
      <c r="H79" s="57" t="n"/>
      <c r="I79" s="57" t="n"/>
      <c r="J79" s="57" t="n"/>
      <c r="K79" s="57" t="n"/>
      <c r="L79" s="57" t="n"/>
      <c r="M79" s="57" t="n"/>
    </row>
    <row r="80" ht="43.5" customHeight="1" s="34">
      <c r="B80" s="57" t="n"/>
      <c r="C80" s="57" t="n"/>
      <c r="D80" s="57" t="n"/>
      <c r="E80" s="57" t="n"/>
      <c r="F80" s="57" t="n"/>
      <c r="G80" s="57" t="n"/>
      <c r="H80" s="57" t="n"/>
      <c r="I80" s="57" t="n"/>
      <c r="J80" s="57" t="n"/>
      <c r="K80" s="57" t="n"/>
      <c r="L80" s="57" t="n"/>
      <c r="M80" s="57" t="n"/>
    </row>
    <row r="81" ht="43.5" customHeight="1" s="34">
      <c r="B81" s="57" t="n"/>
      <c r="C81" s="57" t="n"/>
      <c r="D81" s="57" t="n"/>
      <c r="E81" s="57" t="n"/>
      <c r="F81" s="57" t="n"/>
      <c r="G81" s="57" t="n"/>
      <c r="H81" s="57" t="n"/>
      <c r="I81" s="57" t="n"/>
      <c r="J81" s="57" t="n"/>
      <c r="K81" s="57" t="n"/>
      <c r="L81" s="57" t="n"/>
      <c r="M81" s="57" t="n"/>
    </row>
    <row r="82" ht="43.5" customHeight="1" s="34">
      <c r="B82" s="57" t="n"/>
      <c r="C82" s="57" t="n"/>
      <c r="D82" s="57" t="n"/>
      <c r="E82" s="57" t="n"/>
      <c r="F82" s="57" t="n"/>
      <c r="G82" s="57" t="n"/>
      <c r="H82" s="57" t="n"/>
      <c r="I82" s="57" t="n"/>
      <c r="J82" s="57" t="n"/>
      <c r="K82" s="57" t="n"/>
      <c r="L82" s="57" t="n"/>
      <c r="M82" s="57" t="n"/>
    </row>
    <row r="83" ht="43.5" customHeight="1" s="34">
      <c r="B83" s="57" t="n"/>
      <c r="C83" s="57" t="n"/>
      <c r="D83" s="57" t="n"/>
      <c r="E83" s="57" t="n"/>
      <c r="F83" s="57" t="n"/>
      <c r="G83" s="57" t="n"/>
      <c r="H83" s="57" t="n"/>
      <c r="I83" s="57" t="n"/>
      <c r="J83" s="57" t="n"/>
      <c r="K83" s="57" t="n"/>
      <c r="L83" s="57" t="n"/>
      <c r="M83" s="57" t="n"/>
    </row>
    <row r="84" ht="43.5" customHeight="1" s="34">
      <c r="B84" s="57" t="n"/>
      <c r="C84" s="57" t="n"/>
      <c r="D84" s="57" t="n"/>
      <c r="E84" s="57" t="n"/>
      <c r="F84" s="57" t="n"/>
      <c r="G84" s="57" t="n"/>
      <c r="H84" s="57" t="n"/>
      <c r="I84" s="57" t="n"/>
      <c r="J84" s="57" t="n"/>
      <c r="K84" s="57" t="n"/>
      <c r="L84" s="57" t="n"/>
      <c r="M84" s="57" t="n"/>
    </row>
    <row r="85" ht="43.5" customHeight="1" s="34">
      <c r="B85" s="57" t="n"/>
      <c r="C85" s="57" t="n"/>
      <c r="D85" s="57" t="n"/>
      <c r="E85" s="57" t="n"/>
      <c r="F85" s="57" t="n"/>
      <c r="G85" s="57" t="n"/>
      <c r="H85" s="57" t="n"/>
      <c r="I85" s="57" t="n"/>
      <c r="J85" s="57" t="n"/>
      <c r="K85" s="57" t="n"/>
      <c r="L85" s="57" t="n"/>
      <c r="M85" s="57" t="n"/>
    </row>
    <row r="86" ht="43.5" customHeight="1" s="34">
      <c r="B86" s="57" t="n"/>
      <c r="C86" s="57" t="n"/>
      <c r="D86" s="57" t="n"/>
      <c r="E86" s="57" t="n"/>
      <c r="F86" s="57" t="n"/>
      <c r="G86" s="57" t="n"/>
      <c r="H86" s="57" t="n"/>
      <c r="I86" s="57" t="n"/>
      <c r="J86" s="57" t="n"/>
      <c r="K86" s="57" t="n"/>
      <c r="L86" s="57" t="n"/>
      <c r="M86" s="57" t="n"/>
    </row>
    <row r="87" ht="43.5" customHeight="1" s="34">
      <c r="B87" s="57" t="n"/>
      <c r="C87" s="57" t="n"/>
      <c r="D87" s="57" t="n"/>
      <c r="E87" s="57" t="n"/>
      <c r="F87" s="57" t="n"/>
      <c r="G87" s="57" t="n"/>
      <c r="H87" s="57" t="n"/>
      <c r="I87" s="57" t="n"/>
      <c r="J87" s="57" t="n"/>
      <c r="K87" s="57" t="n"/>
      <c r="L87" s="57" t="n"/>
      <c r="M87" s="57" t="n"/>
    </row>
    <row r="88" ht="43.5" customHeight="1" s="34">
      <c r="B88" s="57" t="n"/>
      <c r="C88" s="57" t="n"/>
      <c r="D88" s="57" t="n"/>
      <c r="E88" s="57" t="n"/>
      <c r="F88" s="57" t="n"/>
      <c r="G88" s="57" t="n"/>
      <c r="H88" s="57" t="n"/>
      <c r="I88" s="57" t="n"/>
      <c r="J88" s="57" t="n"/>
      <c r="K88" s="57" t="n"/>
      <c r="L88" s="57" t="n"/>
      <c r="M88" s="57" t="n"/>
    </row>
    <row r="89" ht="43.5" customHeight="1" s="34">
      <c r="B89" s="57" t="n"/>
      <c r="C89" s="57" t="n"/>
      <c r="D89" s="57" t="n"/>
      <c r="E89" s="57" t="n"/>
      <c r="F89" s="57" t="n"/>
      <c r="G89" s="57" t="n"/>
      <c r="H89" s="57" t="n"/>
      <c r="I89" s="57" t="n"/>
      <c r="J89" s="57" t="n"/>
      <c r="K89" s="57" t="n"/>
      <c r="L89" s="57" t="n"/>
      <c r="M89" s="57" t="n"/>
    </row>
    <row r="90" ht="43.5" customHeight="1" s="34">
      <c r="B90" s="57" t="n"/>
      <c r="C90" s="57" t="n"/>
      <c r="D90" s="57" t="n"/>
      <c r="E90" s="57" t="n"/>
      <c r="F90" s="57" t="n"/>
      <c r="G90" s="57" t="n"/>
      <c r="H90" s="57" t="n"/>
      <c r="I90" s="57" t="n"/>
      <c r="J90" s="57" t="n"/>
      <c r="K90" s="57" t="n"/>
      <c r="L90" s="57" t="n"/>
      <c r="M90" s="57" t="n"/>
    </row>
    <row r="91" ht="43.5" customHeight="1" s="34">
      <c r="B91" s="57" t="n"/>
      <c r="C91" s="57" t="n"/>
      <c r="D91" s="57" t="n"/>
      <c r="E91" s="57" t="n"/>
      <c r="F91" s="57" t="n"/>
      <c r="G91" s="57" t="n"/>
      <c r="H91" s="57" t="n"/>
      <c r="I91" s="57" t="n"/>
      <c r="J91" s="57" t="n"/>
      <c r="K91" s="57" t="n"/>
      <c r="L91" s="57" t="n"/>
      <c r="M91" s="57" t="n"/>
    </row>
    <row r="92" ht="43.5" customHeight="1" s="34">
      <c r="B92" s="57" t="n"/>
      <c r="C92" s="57" t="n"/>
      <c r="D92" s="57" t="n"/>
      <c r="E92" s="57" t="n"/>
      <c r="F92" s="57" t="n"/>
      <c r="G92" s="57" t="n"/>
      <c r="H92" s="57" t="n"/>
      <c r="I92" s="57" t="n"/>
      <c r="J92" s="57" t="n"/>
      <c r="K92" s="57" t="n"/>
      <c r="L92" s="57" t="n"/>
      <c r="M92" s="57" t="n"/>
    </row>
    <row r="93" ht="43.5" customHeight="1" s="34">
      <c r="B93" s="57" t="n"/>
      <c r="C93" s="57" t="n"/>
      <c r="D93" s="57" t="n"/>
      <c r="E93" s="57" t="n"/>
      <c r="F93" s="57" t="n"/>
      <c r="G93" s="57" t="n"/>
      <c r="H93" s="57" t="n"/>
      <c r="I93" s="57" t="n"/>
      <c r="J93" s="57" t="n"/>
      <c r="K93" s="57" t="n"/>
      <c r="L93" s="57" t="n"/>
      <c r="M93" s="57" t="n"/>
    </row>
    <row r="94" ht="43.5" customHeight="1" s="34">
      <c r="B94" s="57" t="n"/>
      <c r="C94" s="57" t="n"/>
      <c r="D94" s="57" t="n"/>
      <c r="E94" s="57" t="n"/>
      <c r="F94" s="57" t="n"/>
      <c r="G94" s="57" t="n"/>
      <c r="H94" s="57" t="n"/>
      <c r="I94" s="57" t="n"/>
      <c r="J94" s="57" t="n"/>
      <c r="K94" s="57" t="n"/>
      <c r="L94" s="57" t="n"/>
      <c r="M94" s="57" t="n"/>
    </row>
  </sheetData>
  <mergeCells count="6">
    <mergeCell ref="B2:M2"/>
    <mergeCell ref="B5:W5"/>
    <mergeCell ref="B3:M3"/>
    <mergeCell ref="B63:W63"/>
    <mergeCell ref="B4:D4"/>
    <mergeCell ref="B39:W39"/>
  </mergeCells>
  <conditionalFormatting sqref="M7:N36">
    <cfRule type="expression" rank="0" priority="2" equalAverage="0" aboveAverage="0" dxfId="7" text="" percent="0" bottom="0">
      <formula>AND($M7&lt;&gt;"",$N7&lt;&gt;"",$M7&gt;$N7)</formula>
    </cfRule>
  </conditionalFormatting>
  <conditionalFormatting sqref="O7:Q36">
    <cfRule type="expression" rank="0" priority="3" equalAverage="0" aboveAverage="0" dxfId="7" text="" percent="0" bottom="0">
      <formula>AND($O7&lt;&gt;"",$P7&lt;&gt;"",$O7&gt;$P7)</formula>
    </cfRule>
  </conditionalFormatting>
  <conditionalFormatting sqref="R7:R36">
    <cfRule type="expression" rank="0" priority="4" equalAverage="0" aboveAverage="0" dxfId="7" text="" percent="0" bottom="0">
      <formula>$R7="Stop"</formula>
    </cfRule>
  </conditionalFormatting>
  <dataValidations count="20">
    <dataValidation sqref="D7:D36" showDropDown="0" showInputMessage="0" showErrorMessage="1" allowBlank="1" errorTitle="Check the entry" error="Choose or enter a value in the allowed range." type="whole" errorStyle="stop" operator="between">
      <formula1>1</formula1>
      <formula2>6</formula2>
    </dataValidation>
    <dataValidation sqref="E7:E36" showDropDown="0" showInputMessage="0" showErrorMessage="1" allowBlank="1" errorTitle="Check the entry" error="Choose or enter a value in the allowed range." type="list" errorStyle="stop" operator="between">
      <formula1>"Standard,Reduced"</formula1>
      <formula2>0</formula2>
    </dataValidation>
    <dataValidation sqref="F7:F36" showDropDown="0" showInputMessage="0" showErrorMessage="1" allowBlank="1" errorTitle="Check the entry" error="Choose or enter a value in the allowed range." type="list" errorStyle="stop" operator="between">
      <formula1>"Base,P,B,M"</formula1>
      <formula2>0</formula2>
    </dataValidation>
    <dataValidation sqref="R7:R36" showDropDown="0" showInputMessage="0" showErrorMessage="1" allowBlank="1" errorTitle="Check the entry" error="Choose or enter a value in the allowed range." type="list" errorStyle="stop" operator="between">
      <formula1>"Clear,Review,Stop"</formula1>
      <formula2>0</formula2>
    </dataValidation>
    <dataValidation sqref="U7:U36" showDropDown="0" showInputMessage="0" showErrorMessage="1" allowBlank="1" errorTitle="Check the entry" error="Choose or enter a value in the allowed range." type="list" errorStyle="stop" operator="between">
      <formula1>"Advance provisionally,Repeat,Simplify,Fix capture,Stop"</formula1>
      <formula2>0</formula2>
    </dataValidation>
    <dataValidation sqref="W7:W36" showDropDown="0" showInputMessage="0" showErrorMessage="1" allowBlank="1" errorTitle="Check the entry" error="Choose or enter a value in the allowed range." type="whole" errorStyle="stop" operator="between">
      <formula1>1</formula1>
      <formula2>69</formula2>
    </dataValidation>
    <dataValidation sqref="H7:H36" showDropDown="0" showInputMessage="0" showErrorMessage="1" allowBlank="1" errorTitle="Check the entry" error="Choose or enter a value in the allowed range." type="whole" errorStyle="stop" operator="between">
      <formula1>0</formula1>
      <formula2>1000</formula2>
    </dataValidation>
    <dataValidation sqref="J7:J36" showDropDown="0" showInputMessage="0" showErrorMessage="1" allowBlank="1" errorTitle="Check the entry" error="Choose or enter a value in the allowed range." type="whole" errorStyle="stop" operator="between">
      <formula1>0</formula1>
      <formula2>1000</formula2>
    </dataValidation>
    <dataValidation sqref="K7:K36" showDropDown="0" showInputMessage="0" showErrorMessage="1" allowBlank="1" errorTitle="Check the entry" error="Choose or enter a value in the allowed range." type="whole" errorStyle="stop" operator="between">
      <formula1>0</formula1>
      <formula2>1000</formula2>
    </dataValidation>
    <dataValidation sqref="M7:M36" showDropDown="0" showInputMessage="0" showErrorMessage="1" allowBlank="1" errorTitle="Check the entry" error="Choose or enter a value in the allowed range." type="whole" errorStyle="stop" operator="between">
      <formula1>0</formula1>
      <formula2>1000</formula2>
    </dataValidation>
    <dataValidation sqref="N7:N36" showDropDown="0" showInputMessage="0" showErrorMessage="1" allowBlank="1" errorTitle="Check the entry" error="Choose or enter a value in the allowed range." type="whole" errorStyle="stop" operator="between">
      <formula1>0</formula1>
      <formula2>1000</formula2>
    </dataValidation>
    <dataValidation sqref="O7:O36" showDropDown="0" showInputMessage="0" showErrorMessage="1" allowBlank="1" errorTitle="Check the entry" error="Choose or enter a value in the allowed range." type="whole" errorStyle="stop" operator="between">
      <formula1>0</formula1>
      <formula2>1000</formula2>
    </dataValidation>
    <dataValidation sqref="P7:P36" showDropDown="0" showInputMessage="0" showErrorMessage="1" allowBlank="1" errorTitle="Check the entry" error="Choose or enter a value in the allowed range." type="whole" errorStyle="stop" operator="between">
      <formula1>0</formula1>
      <formula2>1000</formula2>
    </dataValidation>
    <dataValidation sqref="C41:C60" showDropDown="0" showInputMessage="0" showErrorMessage="1" allowBlank="1" errorTitle="Check the entry" error="Choose or enter a value in the allowed range." type="whole" errorStyle="stop" operator="between">
      <formula1>1</formula1>
      <formula2>6</formula2>
    </dataValidation>
    <dataValidation sqref="D41:D60" showDropDown="0" showInputMessage="0" showErrorMessage="1" allowBlank="1" errorTitle="Check the entry" error="Choose or enter a value in the allowed range." type="list" errorStyle="stop" operator="between">
      <formula1>"30,58,59,60,61,62,63,64,65,66,67,68,69"</formula1>
      <formula2>0</formula2>
    </dataValidation>
    <dataValidation sqref="E41:E60" showDropDown="0" showInputMessage="0" showErrorMessage="1" allowBlank="1" errorTitle="Check the entry" error="Choose or enter a value in the allowed range." type="decimal" errorStyle="stop" operator="between">
      <formula1>0</formula1>
      <formula2>100</formula2>
    </dataValidation>
    <dataValidation sqref="H41:H60" showDropDown="0" showInputMessage="0" showErrorMessage="1" allowBlank="1" errorTitle="Check the entry" error="Choose or enter a value in the allowed range." type="whole" errorStyle="stop" operator="between">
      <formula1>0</formula1>
      <formula2>1000</formula2>
    </dataValidation>
    <dataValidation sqref="J41:J60" showDropDown="0" showInputMessage="0" showErrorMessage="1" allowBlank="1" errorTitle="Check the entry" error="Choose or enter a value in the allowed range." type="whole" errorStyle="stop" operator="between">
      <formula1>0</formula1>
      <formula2>1000</formula2>
    </dataValidation>
    <dataValidation sqref="K65:K94" showDropDown="0" showInputMessage="0" showErrorMessage="1" allowBlank="1" errorTitle="Check the entry" error="Choose or enter a value in the allowed range." type="list" errorStyle="stop" operator="between">
      <formula1>"Assessable,Not assessable,Coach review"</formula1>
      <formula2>0</formula2>
    </dataValidation>
    <dataValidation sqref="E65:E94" showDropDown="0" showInputMessage="0" showErrorMessage="1" allowBlank="1" errorTitle="Check the entry" error="Choose or enter a value in the allowed range." type="list" errorStyle="stop" operator="between">
      <formula1>"Right,Left,Switch"</formula1>
      <formula2>0</formula2>
    </dataValidation>
  </dataValidations>
  <hyperlinks>
    <hyperlink ref="B4" location="'Start Here'!B2" display="START HER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filterMode="0">
    <tabColor rgb="FF087F8C"/>
    <outlinePr summaryBelow="1" summaryRight="1"/>
    <pageSetUpPr fitToPage="0"/>
  </sheetPr>
  <dimension ref="A1:M68"/>
  <sheetViews>
    <sheetView showFormulas="0" showGridLines="0" showRowColHeaders="1" showZeros="1" rightToLeft="0" tabSelected="0" showOutlineSymbols="1" defaultGridColor="1"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3" customWidth="1" style="33" min="1" max="1"/>
    <col width="120" customWidth="1" style="33" min="2" max="2"/>
    <col width="4" customWidth="1" style="33" min="3" max="3"/>
    <col width="4" customWidth="1" style="33" min="4" max="4"/>
    <col width="4" customWidth="1" style="33" min="5" max="5"/>
    <col width="16" customWidth="1" style="33" min="6" max="13"/>
  </cols>
  <sheetData>
    <row r="1" ht="9.75" customHeight="1" s="34"/>
    <row r="2" ht="39.75" customHeight="1" s="34">
      <c r="B2" s="35" t="inlineStr">
        <is>
          <t>BASIS &amp; LIMITS</t>
        </is>
      </c>
    </row>
    <row r="3" ht="27.75" customHeight="1" s="34">
      <c r="B3" s="36" t="inlineStr">
        <is>
          <t>What this workbook rests on, and what it does not claim.</t>
        </is>
      </c>
    </row>
    <row r="4" ht="27" customHeight="1" s="34">
      <c r="B4" s="37" t="inlineStr">
        <is>
          <t>START HERE</t>
        </is>
      </c>
    </row>
    <row r="5" ht="42.75" customHeight="1" s="34">
      <c r="B5" s="43" t="n"/>
      <c r="C5" s="43" t="n"/>
      <c r="D5" s="43" t="n"/>
      <c r="E5" s="43" t="n"/>
    </row>
    <row r="6" ht="27.75" customHeight="1" s="34">
      <c r="B6" s="62" t="inlineStr">
        <is>
          <t>• The drills adapt common coaching drill families. Outside organisations’ names and links were removed at the founder’s request (2026-11-02), and every drill was given a generic Base Recruits name.</t>
        </is>
      </c>
      <c r="C6" s="36" t="n"/>
      <c r="D6" s="53" t="n"/>
      <c r="E6" s="36" t="n"/>
    </row>
    <row r="7" ht="42.75" customHeight="1" s="34">
      <c r="B7" s="36" t="n"/>
      <c r="C7" s="36" t="n"/>
      <c r="D7" s="53" t="n"/>
      <c r="E7" s="36" t="n"/>
    </row>
    <row r="8" ht="27.75" customHeight="1" s="34">
      <c r="B8" s="62" t="inlineStr">
        <is>
          <t>• Nothing in this workbook is presented as a sourced fact. Instructions, rep counts, pairings, the six-stage order and the 4-of-6 advancement rule are coaching proposals, not validated biomechanical or age-specific standards.</t>
        </is>
      </c>
      <c r="C8" s="36" t="n"/>
      <c r="D8" s="53" t="n"/>
      <c r="E8" s="36" t="n"/>
    </row>
    <row r="9" ht="27.75" customHeight="1" s="34">
      <c r="B9" s="36" t="n"/>
      <c r="C9" s="36" t="n"/>
      <c r="D9" s="53" t="n"/>
      <c r="E9" s="36" t="n"/>
    </row>
    <row r="10" ht="27.75" customHeight="1" s="34">
      <c r="B10" s="62" t="inlineStr">
        <is>
          <t>• The AI-analysis fields are proposed review rules for video, not a validated computer-vision system. Body pose cannot measure eye gaze, force, foot pressure or muscle activation.</t>
        </is>
      </c>
      <c r="C10" s="36" t="n"/>
      <c r="D10" s="53" t="n"/>
      <c r="E10" s="36" t="n"/>
    </row>
    <row r="11" ht="27.75" customHeight="1" s="34">
      <c r="B11" s="36" t="n"/>
      <c r="C11" s="36" t="n"/>
      <c r="D11" s="53" t="n"/>
      <c r="E11" s="36" t="n"/>
    </row>
    <row r="12" ht="27.75" customHeight="1" s="34">
      <c r="B12" s="62" t="inlineStr">
        <is>
          <t>• The hitter’s age, training history, injury history and current workload are not known to the workbook. A coach scales the plan before use and makes every advancement decision.</t>
        </is>
      </c>
      <c r="C12" s="36" t="n"/>
      <c r="D12" s="53" t="n"/>
      <c r="E12" s="36" t="n"/>
    </row>
    <row r="13" ht="27.75" customHeight="1" s="34">
      <c r="B13" s="36" t="n"/>
      <c r="C13" s="36" t="n"/>
      <c r="D13" s="53" t="n"/>
      <c r="E13" s="36" t="n"/>
    </row>
    <row r="14" ht="27.75" customHeight="1" s="34">
      <c r="B14" s="62" t="inlineStr">
        <is>
          <t>• Medicine-ball work needs a coach-selected ball of known, manageable mass, an approved wall or landing area, a clear lane and discrete throws. No rebound catching, no universal ball weight and no power score.</t>
        </is>
      </c>
      <c r="C14" s="36" t="n"/>
      <c r="D14" s="53" t="n"/>
      <c r="E14" s="36" t="n"/>
    </row>
    <row r="15" ht="27.75" customHeight="1" s="34">
      <c r="B15" s="36" t="n"/>
      <c r="C15" s="36" t="n"/>
      <c r="D15" s="53" t="n"/>
      <c r="E15" s="36" t="n"/>
    </row>
    <row r="16" ht="27.75" customHeight="1" s="34">
      <c r="B16" s="62" t="inlineStr">
        <is>
          <t>• Stop any task for pain, slipping, unsafe bat control or repeated loss of balance, and seek appropriate professional advice for pain or injury concerns.</t>
        </is>
      </c>
      <c r="C16" s="36" t="n"/>
      <c r="D16" s="53" t="n"/>
      <c r="E16" s="36" t="n"/>
    </row>
    <row r="17" ht="27.75" customHeight="1" s="34">
      <c r="B17" s="36" t="n"/>
      <c r="C17" s="36" t="n"/>
      <c r="D17" s="53" t="n"/>
      <c r="E17" s="36" t="n"/>
    </row>
    <row r="18" ht="27.75" customHeight="1" s="34">
      <c r="B18" s="36" t="n"/>
      <c r="C18" s="36" t="n"/>
      <c r="D18" s="53" t="n"/>
      <c r="E18" s="36" t="n"/>
    </row>
    <row r="19" ht="27.75" customHeight="1" s="34">
      <c r="B19" s="36" t="n"/>
      <c r="C19" s="36" t="n"/>
      <c r="D19" s="53" t="n"/>
      <c r="E19" s="36" t="n"/>
    </row>
    <row r="20" ht="27.75" customHeight="1" s="34">
      <c r="B20" s="36" t="n"/>
      <c r="C20" s="36" t="n"/>
      <c r="D20" s="53" t="n"/>
      <c r="E20" s="36" t="n"/>
    </row>
    <row r="21" ht="27.75" customHeight="1" s="34">
      <c r="B21" s="36" t="n"/>
      <c r="C21" s="36" t="n"/>
      <c r="D21" s="53" t="n"/>
      <c r="E21" s="36" t="n"/>
    </row>
    <row r="22" ht="27.75" customHeight="1" s="34">
      <c r="B22" s="36" t="n"/>
      <c r="C22" s="36" t="n"/>
      <c r="D22" s="53" t="n"/>
      <c r="E22" s="36" t="n"/>
    </row>
    <row r="23" ht="27.75" customHeight="1" s="34">
      <c r="B23" s="36" t="n"/>
      <c r="C23" s="36" t="n"/>
      <c r="D23" s="53" t="n"/>
      <c r="E23" s="36" t="n"/>
    </row>
    <row r="24" ht="27.75" customHeight="1" s="34">
      <c r="B24" s="36" t="n"/>
      <c r="C24" s="36" t="n"/>
      <c r="D24" s="53" t="n"/>
      <c r="E24" s="36" t="n"/>
    </row>
    <row r="25" ht="27.75" customHeight="1" s="34">
      <c r="B25" s="36" t="n"/>
      <c r="C25" s="36" t="n"/>
      <c r="D25" s="53" t="n"/>
      <c r="E25" s="36" t="n"/>
    </row>
    <row r="26" ht="27.75" customHeight="1" s="34">
      <c r="B26" s="36" t="n"/>
      <c r="C26" s="36" t="n"/>
      <c r="D26" s="53" t="n"/>
      <c r="E26" s="36" t="n"/>
    </row>
    <row r="27" ht="27.75" customHeight="1" s="34">
      <c r="B27" s="36" t="n"/>
      <c r="C27" s="36" t="n"/>
      <c r="D27" s="53" t="n"/>
      <c r="E27" s="36" t="n"/>
    </row>
    <row r="28" ht="27.75" customHeight="1" s="34">
      <c r="B28" s="36" t="n"/>
      <c r="C28" s="36" t="n"/>
      <c r="D28" s="53" t="n"/>
      <c r="E28" s="36" t="n"/>
    </row>
    <row r="29" ht="27.75" customHeight="1" s="34">
      <c r="B29" s="36" t="n"/>
      <c r="C29" s="36" t="n"/>
      <c r="D29" s="53" t="n"/>
      <c r="E29" s="36" t="n"/>
    </row>
    <row r="30" ht="27.75" customHeight="1" s="34">
      <c r="B30" s="36" t="n"/>
      <c r="C30" s="36" t="n"/>
      <c r="D30" s="53" t="n"/>
      <c r="E30" s="36" t="n"/>
    </row>
    <row r="31" ht="27.75" customHeight="1" s="34">
      <c r="B31" s="36" t="n"/>
      <c r="C31" s="36" t="n"/>
      <c r="D31" s="53" t="n"/>
      <c r="E31" s="36" t="n"/>
    </row>
    <row r="32" ht="27.75" customHeight="1" s="34">
      <c r="B32" s="36" t="n"/>
      <c r="C32" s="36" t="n"/>
      <c r="D32" s="53" t="n"/>
      <c r="E32" s="36" t="n"/>
    </row>
    <row r="33" ht="27.75" customHeight="1" s="34">
      <c r="B33" s="36" t="n"/>
      <c r="C33" s="36" t="n"/>
      <c r="D33" s="53" t="n"/>
      <c r="E33" s="36" t="n"/>
    </row>
    <row r="34" ht="42.75" customHeight="1" s="34">
      <c r="B34" s="36" t="n"/>
      <c r="C34" s="36" t="n"/>
      <c r="D34" s="53" t="n"/>
      <c r="E34" s="36" t="n"/>
    </row>
    <row r="35" ht="27.75" customHeight="1" s="34">
      <c r="B35" s="36" t="n"/>
      <c r="C35" s="36" t="n"/>
      <c r="D35" s="53" t="n"/>
      <c r="E35" s="36" t="n"/>
    </row>
    <row r="36" ht="27.75" customHeight="1" s="34">
      <c r="B36" s="36" t="n"/>
      <c r="C36" s="36" t="n"/>
      <c r="D36" s="53" t="n"/>
      <c r="E36" s="36" t="n"/>
    </row>
    <row r="37" ht="27.75" customHeight="1" s="34">
      <c r="B37" s="36" t="n"/>
      <c r="C37" s="36" t="n"/>
      <c r="D37" s="53" t="n"/>
      <c r="E37" s="36" t="n"/>
    </row>
    <row r="38" ht="27.75" customHeight="1" s="34">
      <c r="B38" s="36" t="n"/>
      <c r="C38" s="36" t="n"/>
      <c r="D38" s="53" t="n"/>
      <c r="E38" s="36" t="n"/>
    </row>
    <row r="39" ht="27.75" customHeight="1" s="34">
      <c r="B39" s="36" t="n"/>
      <c r="C39" s="36" t="n"/>
      <c r="D39" s="53" t="n"/>
      <c r="E39" s="36" t="n"/>
    </row>
    <row r="40" ht="27.75" customHeight="1" s="34">
      <c r="B40" s="36" t="n"/>
      <c r="C40" s="36" t="n"/>
      <c r="D40" s="53" t="n"/>
      <c r="E40" s="36" t="n"/>
    </row>
    <row r="41" ht="27.75" customHeight="1" s="34">
      <c r="B41" s="36" t="n"/>
      <c r="C41" s="36" t="n"/>
      <c r="D41" s="53" t="n"/>
      <c r="E41" s="36" t="n"/>
    </row>
    <row r="42" ht="27.75" customHeight="1" s="34">
      <c r="B42" s="36" t="n"/>
      <c r="C42" s="36" t="n"/>
      <c r="D42" s="53" t="n"/>
      <c r="E42" s="36" t="n"/>
    </row>
    <row r="43" ht="27.75" customHeight="1" s="34">
      <c r="B43" s="36" t="n"/>
      <c r="C43" s="36" t="n"/>
      <c r="D43" s="53" t="n"/>
      <c r="E43" s="36" t="n"/>
    </row>
    <row r="44" ht="27.75" customHeight="1" s="34">
      <c r="B44" s="36" t="n"/>
      <c r="C44" s="36" t="n"/>
      <c r="D44" s="53" t="n"/>
      <c r="E44" s="36" t="n"/>
    </row>
    <row r="45" ht="27.75" customHeight="1" s="34">
      <c r="B45" s="36" t="n"/>
      <c r="C45" s="36" t="n"/>
      <c r="D45" s="53" t="n"/>
      <c r="E45" s="36" t="n"/>
    </row>
    <row r="46" ht="27.75" customHeight="1" s="34">
      <c r="B46" s="36" t="n"/>
      <c r="C46" s="36" t="n"/>
      <c r="D46" s="53" t="n"/>
      <c r="E46" s="36" t="n"/>
    </row>
    <row r="47" ht="27.75" customHeight="1" s="34">
      <c r="B47" s="36" t="n"/>
      <c r="C47" s="36" t="n"/>
      <c r="D47" s="53" t="n"/>
      <c r="E47" s="36" t="n"/>
    </row>
    <row r="48" ht="27.75" customHeight="1" s="34">
      <c r="B48" s="36" t="n"/>
      <c r="C48" s="36" t="n"/>
      <c r="D48" s="53" t="n"/>
      <c r="E48" s="36" t="n"/>
    </row>
    <row r="49" ht="27.75" customHeight="1" s="34">
      <c r="B49" s="36" t="n"/>
      <c r="C49" s="36" t="n"/>
      <c r="D49" s="53" t="n"/>
      <c r="E49" s="36" t="n"/>
    </row>
    <row r="50" ht="27.75" customHeight="1" s="34">
      <c r="B50" s="36" t="n"/>
      <c r="C50" s="36" t="n"/>
      <c r="D50" s="53" t="n"/>
      <c r="E50" s="36" t="n"/>
    </row>
    <row r="51" ht="27.75" customHeight="1" s="34">
      <c r="B51" s="36" t="n"/>
      <c r="C51" s="36" t="n"/>
      <c r="D51" s="53" t="n"/>
      <c r="E51" s="36" t="n"/>
    </row>
    <row r="52" ht="27.75" customHeight="1" s="34">
      <c r="B52" s="36" t="n"/>
      <c r="C52" s="36" t="n"/>
      <c r="D52" s="53" t="n"/>
      <c r="E52" s="36" t="n"/>
    </row>
    <row r="53" ht="27.75" customHeight="1" s="34">
      <c r="B53" s="36" t="n"/>
      <c r="C53" s="36" t="n"/>
      <c r="D53" s="53" t="n"/>
      <c r="E53" s="36" t="n"/>
    </row>
    <row r="54" ht="27.75" customHeight="1" s="34">
      <c r="B54" s="36" t="n"/>
      <c r="C54" s="36" t="n"/>
      <c r="D54" s="53" t="n"/>
      <c r="E54" s="36" t="n"/>
    </row>
    <row r="55" ht="27.75" customHeight="1" s="34">
      <c r="B55" s="36" t="n"/>
      <c r="C55" s="36" t="n"/>
      <c r="D55" s="53" t="n"/>
      <c r="E55" s="36" t="n"/>
    </row>
    <row r="56" ht="27.75" customHeight="1" s="34">
      <c r="B56" s="36" t="n"/>
      <c r="C56" s="36" t="n"/>
      <c r="D56" s="53" t="n"/>
      <c r="E56" s="36" t="n"/>
    </row>
    <row r="57" ht="27.75" customHeight="1" s="34">
      <c r="B57" s="36" t="n"/>
      <c r="C57" s="36" t="n"/>
      <c r="D57" s="53" t="n"/>
      <c r="E57" s="36" t="n"/>
    </row>
    <row r="58" ht="27.75" customHeight="1" s="34">
      <c r="B58" s="36" t="n"/>
      <c r="C58" s="36" t="n"/>
      <c r="D58" s="53" t="n"/>
      <c r="E58" s="36" t="n"/>
    </row>
    <row r="59" ht="27.75" customHeight="1" s="34">
      <c r="B59" s="36" t="n"/>
      <c r="C59" s="36" t="n"/>
      <c r="D59" s="53" t="n"/>
      <c r="E59" s="36" t="n"/>
    </row>
    <row r="60" ht="27.75" customHeight="1" s="34">
      <c r="B60" s="36" t="n"/>
      <c r="C60" s="36" t="n"/>
      <c r="D60" s="53" t="n"/>
      <c r="E60" s="36" t="n"/>
    </row>
    <row r="61" ht="27.75" customHeight="1" s="34">
      <c r="B61" s="36" t="n"/>
      <c r="C61" s="36" t="n"/>
      <c r="D61" s="53" t="n"/>
      <c r="E61" s="36" t="n"/>
    </row>
    <row r="62" ht="27.75" customHeight="1" s="34">
      <c r="B62" s="36" t="n"/>
      <c r="C62" s="36" t="n"/>
      <c r="D62" s="53" t="n"/>
      <c r="E62" s="36" t="n"/>
    </row>
    <row r="63" ht="27.75" customHeight="1" s="34">
      <c r="B63" s="36" t="n"/>
      <c r="C63" s="36" t="n"/>
      <c r="D63" s="53" t="n"/>
      <c r="E63" s="36" t="n"/>
    </row>
    <row r="64" ht="27.75" customHeight="1" s="34">
      <c r="B64" s="36" t="n"/>
      <c r="C64" s="36" t="n"/>
      <c r="D64" s="53" t="n"/>
      <c r="E64" s="36" t="n"/>
    </row>
    <row r="65" ht="27.75" customHeight="1" s="34">
      <c r="B65" s="36" t="n"/>
      <c r="C65" s="36" t="n"/>
      <c r="D65" s="53" t="n"/>
      <c r="E65" s="36" t="n"/>
    </row>
    <row r="66" ht="27.75" customHeight="1" s="34">
      <c r="B66" s="36" t="n"/>
      <c r="C66" s="36" t="n"/>
      <c r="D66" s="53" t="n"/>
      <c r="E66" s="36" t="n"/>
    </row>
    <row r="67" ht="27.75" customHeight="1" s="34">
      <c r="B67" s="36" t="n"/>
      <c r="C67" s="36" t="n"/>
      <c r="D67" s="53" t="n"/>
      <c r="E67" s="36" t="n"/>
    </row>
    <row r="68" ht="27.75" customHeight="1" s="34">
      <c r="B68" s="36" t="n"/>
      <c r="C68" s="36" t="n"/>
      <c r="D68" s="53" t="n"/>
      <c r="E68" s="36" t="n"/>
    </row>
  </sheetData>
  <mergeCells count="3">
    <mergeCell ref="B3:M3"/>
    <mergeCell ref="B2:M2"/>
    <mergeCell ref="B4:D4"/>
  </mergeCells>
  <hyperlinks>
    <hyperlink ref="B4" location="'Start Here'!B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Perplexity</dc:creator>
  <dc:title xmlns:dc="http://purl.org/dc/elements/1.1/">Baseball Hitting Master Workbook</dc:title>
  <dc:subject xmlns:dc="http://purl.org/dc/elements/1.1/">69 drills, complete practice progression, coach cards and training logs</dc:subject>
  <dc:language xmlns:dc="http://purl.org/dc/elements/1.1/">en-US</dc:language>
  <dcterms:created xmlns:dcterms="http://purl.org/dc/terms/" xmlns:xsi="http://www.w3.org/2001/XMLSchema-instance" xsi:type="dcterms:W3CDTF">2026-11-01T22:47:55Z</dcterms:created>
  <dcterms:modified xmlns:dcterms="http://purl.org/dc/terms/" xmlns:xsi="http://www.w3.org/2001/XMLSchema-instance" xsi:type="dcterms:W3CDTF">2026-11-02T04:21:11Z</dcterms:modified>
  <cp:revision>0</cp:revision>
</cp:coreProperties>
</file>